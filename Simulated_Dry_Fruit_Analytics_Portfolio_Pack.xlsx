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7.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8.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282d4601ea42f6" /></Relationships>
</file>

<file path=xl/workbook.xml><?xml version="1.0" encoding="utf-8"?>
<x:workbook xmlns:x="http://schemas.openxmlformats.org/spreadsheetml/2006/main">
  <x:sheets>
    <x:sheet xmlns:r="http://schemas.openxmlformats.org/officeDocument/2006/relationships" name="Raw_Data" sheetId="1" r:id="R3281ed398a1446d6"/>
    <x:sheet xmlns:r="http://schemas.openxmlformats.org/officeDocument/2006/relationships" name="Analysis_Calc" sheetId="2" r:id="R0766d7474a5b4384"/>
    <x:sheet xmlns:r="http://schemas.openxmlformats.org/officeDocument/2006/relationships" name="README" sheetId="3" r:id="Rd7d56ba172454a70"/>
    <x:sheet xmlns:r="http://schemas.openxmlformats.org/officeDocument/2006/relationships" name="Data_Dictionary" sheetId="4" r:id="Rff2de2262d4e454e"/>
    <x:sheet xmlns:r="http://schemas.openxmlformats.org/officeDocument/2006/relationships" name="Phase4_Summary" sheetId="5" r:id="Rc7ebf6bde8b24683"/>
    <x:sheet xmlns:r="http://schemas.openxmlformats.org/officeDocument/2006/relationships" name="Phase4_Findings" sheetId="6" r:id="Re135ecd3772647b7"/>
    <x:sheet xmlns:r="http://schemas.openxmlformats.org/officeDocument/2006/relationships" name="Phase4_Recommendations" sheetId="7" r:id="R9bcb8181402c4a4d"/>
    <x:sheet xmlns:r="http://schemas.openxmlformats.org/officeDocument/2006/relationships" name="Phase4_SQL" sheetId="8" r:id="R06f240d95f1046b0"/>
    <x:sheet xmlns:r="http://schemas.openxmlformats.org/officeDocument/2006/relationships" name="Phase4_Interactions" sheetId="9" r:id="R984a53667c914f10"/>
    <x:sheet xmlns:r="http://schemas.openxmlformats.org/officeDocument/2006/relationships" name="Phase5_Deep_Analysis" sheetId="10" r:id="Ra76ddc6a44bb49ea"/>
    <x:sheet xmlns:r="http://schemas.openxmlformats.org/officeDocument/2006/relationships" name="Phase5_Robustness" sheetId="11" r:id="R60ac10f0c4ce4e3d"/>
    <x:sheet xmlns:r="http://schemas.openxmlformats.org/officeDocument/2006/relationships" name="Phase5_Readout" sheetId="12" r:id="R75ffeffdc2ee4cf4"/>
    <x:sheet xmlns:r="http://schemas.openxmlformats.org/officeDocument/2006/relationships" name="Phase5_Dashboard_Blueprint" sheetId="13" r:id="R98486003dde140c3"/>
    <x:sheet xmlns:r="http://schemas.openxmlformats.org/officeDocument/2006/relationships" name="Phase5_SQL" sheetId="14" r:id="R5cc56b4cc1e84fcf"/>
    <x:sheet xmlns:r="http://schemas.openxmlformats.org/officeDocument/2006/relationships" name="Phase6_Calculations" sheetId="15" r:id="R680a960919af48b0"/>
    <x:sheet xmlns:r="http://schemas.openxmlformats.org/officeDocument/2006/relationships" name="Dashboard_Executive" sheetId="16" r:id="Rae21b2ca21194e04"/>
    <x:sheet xmlns:r="http://schemas.openxmlformats.org/officeDocument/2006/relationships" name="Dashboard_Operations" sheetId="17" r:id="R5290182282d84d6a"/>
    <x:sheet xmlns:r="http://schemas.openxmlformats.org/officeDocument/2006/relationships" name="Dashboard_HSE" sheetId="18" r:id="R5e6865ea0291457b"/>
    <x:sheet xmlns:r="http://schemas.openxmlformats.org/officeDocument/2006/relationships" name="Phase7_Case_Study" sheetId="19" r:id="R214571850df143ba"/>
    <x:sheet xmlns:r="http://schemas.openxmlformats.org/officeDocument/2006/relationships" name="Phase7_Evidence_Log" sheetId="20" r:id="Rb3f28d57f1dc4127"/>
    <x:sheet xmlns:r="http://schemas.openxmlformats.org/officeDocument/2006/relationships" name="Phase7_Portfolio_Pack" sheetId="21" r:id="Rf9d37776c8e64731"/>
    <x:sheet xmlns:r="http://schemas.openxmlformats.org/officeDocument/2006/relationships" name="Phase7_Quality_Gate" sheetId="22" r:id="Rc522eae815794190"/>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00"/>
    <x:numFmt numFmtId="202" formatCode="0.000"/>
    <x:numFmt numFmtId="203" formatCode="#,##0"/>
    <x:numFmt numFmtId="204" formatCode="mmm-yy"/>
    <x:numFmt numFmtId="205" formatCode="0.0%"/>
    <x:numFmt numFmtId="206" formatCode="0.0&quot;%&quot;"/>
    <x:numFmt numFmtId="207" formatCode="0.00&quot;%&quot;"/>
  </x:numFmts>
  <x:fonts count="22">
    <x:font>
      <x:sz val="11"/>
      <x:name val="Carlito"/>
    </x:font>
    <x:font>
      <x:b/>
      <x:sz val="11"/>
      <x:color rgb="FFFFFFFF"/>
      <x:name val="Carlito"/>
    </x:font>
    <x:font>
      <x:b/>
      <x:sz val="11"/>
      <x:name val="Carlito"/>
    </x:font>
    <x:font>
      <x:b/>
      <x:sz val="16"/>
      <x:color rgb="FFFFFFFF"/>
      <x:name val="Carlito"/>
    </x:font>
    <x:font>
      <x:i/>
      <x:sz val="11"/>
      <x:color rgb="FF4F4F4F"/>
      <x:name val="Carlito"/>
    </x:font>
    <x:font>
      <x:b/>
      <x:sz val="11"/>
      <x:color rgb="FF17365D"/>
      <x:name val="Carlito"/>
    </x:font>
    <x:font>
      <x:i/>
      <x:sz val="11"/>
      <x:color rgb="FF7F6000"/>
      <x:name val="Carlito"/>
    </x:font>
    <x:font>
      <x:i/>
      <x:sz val="11"/>
      <x:color rgb="FF1F1F1F"/>
      <x:name val="Carlito"/>
    </x:font>
    <x:font>
      <x:sz val="9"/>
      <x:color rgb="FF1F1F1F"/>
      <x:name val="Consolas"/>
    </x:font>
    <x:font>
      <x:i/>
      <x:sz val="11"/>
      <x:color rgb="FF111827"/>
      <x:name val="Carlito"/>
    </x:font>
    <x:font>
      <x:b/>
      <x:sz val="19"/>
      <x:color rgb="FFFFFFFF"/>
      <x:name val="Carlito"/>
    </x:font>
    <x:font>
      <x:i/>
      <x:sz val="10"/>
      <x:color rgb="FF111827"/>
      <x:name val="Carlito"/>
    </x:font>
    <x:font>
      <x:b/>
      <x:sz val="9"/>
      <x:color rgb="FFB45309"/>
      <x:name val="Carlito"/>
    </x:font>
    <x:font>
      <x:b/>
      <x:sz val="10"/>
      <x:color rgb="FFFFFFFF"/>
      <x:name val="Carlito"/>
    </x:font>
    <x:font>
      <x:b/>
      <x:sz val="18"/>
      <x:color rgb="FF111827"/>
      <x:name val="Carlito"/>
    </x:font>
    <x:font>
      <x:b/>
      <x:sz val="11"/>
      <x:color rgb="FF0F766E"/>
      <x:name val="Carlito"/>
    </x:font>
    <x:font>
      <x:i/>
      <x:sz val="11"/>
      <x:color rgb="FFB45309"/>
      <x:name val="Carlito"/>
    </x:font>
    <x:font>
      <x:b/>
      <x:sz val="10"/>
      <x:color rgb="FF111827"/>
      <x:name val="Carlito"/>
    </x:font>
    <x:font>
      <x:sz val="10"/>
      <x:color rgb="FF111827"/>
      <x:name val="Carlito"/>
    </x:font>
    <x:font>
      <x:b/>
      <x:sz val="11"/>
      <x:color rgb="FF17324D"/>
      <x:name val="Carlito"/>
    </x:font>
    <x:font>
      <x:b/>
      <x:sz val="15"/>
      <x:color rgb="FFFFFFFF"/>
      <x:name val="Carlito"/>
    </x:font>
    <x:font>
      <x:b/>
      <x:sz val="11"/>
      <x:color rgb="FF2E7D32"/>
      <x:name val="Carlito"/>
    </x:font>
  </x:fonts>
  <x:fills count="20">
    <x:fill>
      <x:patternFill patternType="none"/>
    </x:fill>
    <x:fill>
      <x:patternFill patternType="gray125"/>
    </x:fill>
    <x:fill>
      <x:patternFill patternType="solid">
        <x:fgColor rgb="FF0F3D3E"/>
      </x:patternFill>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5B9BD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EAF2F8"/>
      </x:patternFill>
    </x:fill>
    <x:fill>
      <x:patternFill patternType="solid">
        <x:fgColor rgb="FFFFF7ED"/>
      </x:patternFill>
    </x:fill>
    <x:fill>
      <x:patternFill patternType="solid">
        <x:fgColor rgb="FF0F766E"/>
      </x:patternFill>
    </x:fill>
    <x:fill>
      <x:patternFill patternType="solid">
        <x:fgColor rgb="FFE8F5F2"/>
      </x:patternFill>
    </x:fill>
    <x:fill>
      <x:patternFill patternType="solid">
        <x:fgColor rgb="FFFAFAFA"/>
      </x:patternFill>
    </x:fill>
    <x:fill>
      <x:patternFill patternType="solid">
        <x:fgColor rgb="FF17324D"/>
      </x:patternFill>
    </x:fill>
    <x:fill>
      <x:patternFill patternType="solid">
        <x:fgColor rgb="FF2F75B5"/>
      </x:patternFill>
    </x:fill>
    <x:fill>
      <x:patternFill patternType="solid">
        <x:fgColor rgb="FFF3F5F7"/>
      </x:patternFill>
    </x:fill>
  </x:fills>
  <x:borders count="2">
    <x:border/>
    <x:border/>
  </x:borders>
  <x:cellStyleXfs count="1">
    <x:xf numFmtId="0" fontId="0" fillId="0" borderId="0"/>
  </x:cellStyleXfs>
  <x:cellXfs count="2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201" fontId="0" fillId="0" borderId="0"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3" fillId="3" borderId="0" xfId="0" applyNumberFormat="1" applyFont="1" applyFill="1" applyBorder="1" applyAlignment="1">
      <x:alignment horizontal="left" vertical="center" wrapText="1"/>
    </x:xf>
    <x:xf numFmtId="0" fontId="5" fillId="5"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 fillId="3" borderId="0" xfId="0" applyNumberFormat="1" applyFont="1" applyFill="1" applyBorder="1" applyAlignment="1">
      <x:alignment horizontal="left" vertical="top"/>
    </x:xf>
    <x:xf numFmtId="0" fontId="1" fillId="7" borderId="0" xfId="0" applyNumberFormat="1" applyFont="1" applyFill="1" applyBorder="1" applyAlignment="1">
      <x:alignment horizontal="center" vertical="top"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left"/>
    </x:xf>
    <x:xf numFmtId="0" fontId="3" fillId="8" borderId="0" xfId="0" applyNumberFormat="1" applyFont="1" applyFill="1" applyBorder="1" applyAlignment="1">
      <x:alignment horizontal="lef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3" fillId="8" borderId="0" xfId="0" applyNumberFormat="1" applyFont="1" applyFill="1" applyBorder="1" applyAlignment="1">
      <x:alignment horizontal="left" vertical="center" wrapText="1"/>
    </x:xf>
    <x:xf numFmtId="0" fontId="3" fillId="8" xfId="0" applyNumberFormat="1" applyFont="1" applyFill="1" applyBorder="0" applyAlignment="1">
      <x:alignment horizontal="left" vertical="center" wrapText="1"/>
    </x:xf>
    <x:xf numFmtId="0" fontId="0" fillId="0" xfId="0" applyNumberFormat="1" applyFont="1" applyFill="1" applyBorder="0" applyAlignment="1">
      <x:alignment wrapText="1"/>
    </x:xf>
    <x:xf numFmtId="0" fontId="7" fillId="9" xfId="0" applyNumberFormat="1" applyFont="1" applyFill="1" applyBorder="0" applyAlignment="1">
      <x:alignment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10" xfId="0" applyNumberFormat="1" applyFont="1" applyFill="1" applyBorder="0" applyAlignment="1">
      <x:alignment horizontal="center" vertical="center" wrapText="1"/>
    </x:xf>
    <x:xf numFmtId="0" fontId="0" fillId="0" xfId="0" applyNumberFormat="1" applyFont="1" applyFill="1" applyBorder="0" applyAlignment="1">
      <x:alignment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x:xf numFmtId="201" fontId="0" fillId="0" xfId="0" applyNumberFormat="1" applyFont="1" applyFill="1" applyBorder="0" applyAlignment="1">
      <x:alignment wrapText="1"/>
    </x:xf>
    <x:xf numFmtId="203" fontId="0" fillId="0" borderId="0" xfId="0" applyNumberFormat="1" applyFont="1" applyFill="1" applyBorder="1"/>
    <x:xf numFmtId="0" fontId="8" fillId="0" borderId="0" xfId="0" applyNumberFormat="1" applyFont="1" applyFill="1" applyBorder="1" applyAlignment="1">
      <x:alignment wrapText="1"/>
    </x:xf>
    <x:xf numFmtId="0" fontId="8" fillId="0" xfId="0" applyNumberFormat="1" applyFont="1" applyFill="1" applyBorder="0" applyAlignment="1">
      <x:alignment wrapText="1"/>
    </x:xf>
    <x:xf numFmtId="0" fontId="0" fillId="0" xfId="0" applyNumberFormat="1" applyFont="1" applyFill="1" applyBorder="0"/>
    <x:xf numFmtId="201" fontId="0" fillId="0" xfId="0" applyNumberFormat="1" applyFont="1" applyFill="1" applyBorder="0"/>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3" fillId="3" xfId="0" applyNumberFormat="1" applyFont="1" applyFill="1" applyBorder="0" applyAlignment="1">
      <x:alignment horizontal="left" vertical="center" wrapText="1"/>
    </x:xf>
    <x:xf numFmtId="0" fontId="7" fillId="5" xfId="0" applyNumberFormat="1" applyFont="1" applyFill="1" applyBorder="0" applyAlignment="1">
      <x:alignment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1" xfId="0" applyNumberFormat="1" applyFont="1" applyFill="1" applyBorder="0"/>
    <x:xf numFmtId="0" fontId="1" fillId="11" xfId="0" applyNumberFormat="1" applyFont="1" applyFill="1" applyBorder="0"/>
    <x:xf numFmtId="0" fontId="1" fillId="11" xfId="0" applyNumberFormat="1" applyFont="1" applyFill="1" applyBorder="0" applyAlignment="1">
      <x:alignment horizontal="center"/>
    </x:xf>
    <x:xf numFmtId="0" fontId="1" fillId="11" xfId="0" applyNumberFormat="1" applyFont="1" applyFill="1" applyBorder="0" applyAlignment="1">
      <x:alignment horizontal="center" vertical="center"/>
    </x:xf>
    <x:xf numFmtId="203" fontId="0" fillId="0" xfId="0" applyNumberFormat="1" applyFont="1" applyFill="1" applyBorder="0"/>
    <x:xf numFmtId="201" fontId="1" fillId="11" xfId="0" applyNumberFormat="1" applyFont="1" applyFill="1" applyBorder="0" applyAlignment="1">
      <x:alignment horizontal="center" vertical="center"/>
    </x:xf>
    <x:xf numFmtId="204" fontId="0" fillId="0" xfId="0" applyNumberFormat="1" applyFont="1" applyFill="1" applyBorder="0"/>
    <x:xf numFmtId="0" fontId="3" fillId="11" borderId="0" xfId="0" applyNumberFormat="1" applyFont="1" applyFill="1" applyBorder="1" applyAlignment="1">
      <x:alignment horizontal="center" vertical="center" wrapText="1"/>
    </x:xf>
    <x:xf numFmtId="0" fontId="1" fillId="11" xfId="0" applyNumberFormat="1" applyFont="1" applyFill="1" applyBorder="0" applyAlignment="1">
      <x:alignment horizontal="center" vertical="center" wrapText="1"/>
    </x:xf>
    <x:xf numFmtId="204" fontId="0" fillId="0" xfId="0" applyNumberFormat="1" applyFont="1" applyFill="1" applyBorder="0" applyAlignment="1">
      <x:alignment wrapText="1"/>
    </x:xf>
    <x:xf numFmtId="203" fontId="0" fillId="0" xfId="0" applyNumberFormat="1" applyFont="1" applyFill="1" applyBorder="0" applyAlignment="1">
      <x:alignment wrapText="1"/>
    </x:xf>
    <x:xf numFmtId="201" fontId="1" fillId="11" xfId="0" applyNumberFormat="1" applyFont="1" applyFill="1" applyBorder="0" applyAlignment="1">
      <x:alignment horizontal="center" vertical="center" wrapText="1"/>
    </x:xf>
    <x:xf numFmtId="0" fontId="10" fillId="11" borderId="0" xfId="0" applyNumberFormat="1" applyFont="1" applyFill="1" applyBorder="1"/>
    <x:xf numFmtId="0" fontId="10" fillId="11" borderId="0" xfId="0" applyNumberFormat="1" applyFont="1" applyFill="1" applyBorder="1" applyAlignment="1">
      <x:alignment horizontal="left"/>
    </x:xf>
    <x:xf numFmtId="0" fontId="10" fillId="11" borderId="0" xfId="0" applyNumberFormat="1" applyFont="1" applyFill="1" applyBorder="1" applyAlignment="1">
      <x:alignment horizontal="left" vertical="center"/>
    </x:xf>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12" fillId="13" borderId="0" xfId="0" applyNumberFormat="1" applyFont="1" applyFill="1" applyBorder="1" applyAlignment="1">
      <x:alignment vertical="center" wrapText="1"/>
    </x:xf>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horizontal="center"/>
    </x:xf>
    <x:xf numFmtId="0" fontId="13" fillId="14" borderId="0" xfId="0" applyNumberFormat="1" applyFont="1" applyFill="1" applyBorder="1" applyAlignment="1">
      <x:alignment horizontal="center" vertical="center"/>
    </x:xf>
    <x:xf numFmtId="0" fontId="0" fillId="15" borderId="0" xfId="0" applyNumberFormat="1" applyFont="1" applyFill="1" applyBorder="1"/>
    <x:xf numFmtId="0" fontId="14" fillId="15" borderId="0" xfId="0" applyNumberFormat="1" applyFont="1" applyFill="1" applyBorder="1"/>
    <x:xf numFmtId="205" fontId="14" fillId="15" borderId="0" xfId="0" applyNumberFormat="1" applyFont="1" applyFill="1" applyBorder="1"/>
    <x:xf numFmtId="205" fontId="14" fillId="15" borderId="0" xfId="0" applyNumberFormat="1" applyFont="1" applyFill="1" applyBorder="1" applyAlignment="1">
      <x:alignment horizontal="center"/>
    </x:xf>
    <x:xf numFmtId="205" fontId="14" fillId="15" borderId="0" xfId="0" applyNumberFormat="1" applyFont="1" applyFill="1" applyBorder="1" applyAlignment="1">
      <x:alignment horizontal="center" vertical="center"/>
    </x:xf>
    <x:xf numFmtId="203" fontId="14" fillId="15" borderId="0" xfId="0" applyNumberFormat="1" applyFont="1" applyFill="1" applyBorder="1"/>
    <x:xf numFmtId="203" fontId="14" fillId="15" borderId="0" xfId="0" applyNumberFormat="1" applyFont="1" applyFill="1" applyBorder="1" applyAlignment="1">
      <x:alignment horizontal="center"/>
    </x:xf>
    <x:xf numFmtId="203" fontId="14" fillId="15" borderId="0" xfId="0" applyNumberFormat="1" applyFont="1" applyFill="1" applyBorder="1" applyAlignment="1">
      <x:alignment horizontal="center" vertical="center"/>
    </x:xf>
    <x:xf numFmtId="0" fontId="1" fillId="11" borderId="0" xfId="0" applyNumberFormat="1" applyFont="1" applyFill="1" applyBorder="1"/>
    <x:xf numFmtId="0" fontId="0" fillId="16" borderId="0" xfId="0" applyNumberFormat="1" applyFont="1" applyFill="1" applyBorder="1"/>
    <x:xf numFmtId="0" fontId="0" fillId="16" xfId="0" applyNumberFormat="1" applyFont="1" applyFill="1" applyBorder="0"/>
    <x:xf numFmtId="0" fontId="0" fillId="16" xfId="0" applyNumberFormat="1" applyFont="1" applyFill="1" applyBorder="0" applyAlignment="1">
      <x:alignment wrapText="1"/>
    </x:xf>
    <x:xf numFmtId="0" fontId="15" fillId="16" xfId="0" applyNumberFormat="1" applyFont="1" applyFill="1" applyBorder="0" applyAlignment="1">
      <x:alignment wrapText="1"/>
    </x:xf>
    <x:xf numFmtId="0" fontId="15" fillId="16" xfId="0" applyNumberFormat="1" applyFont="1" applyFill="1" applyBorder="0" applyAlignment="1">
      <x:alignment horizontal="center" wrapText="1"/>
    </x:xf>
    <x:xf numFmtId="0" fontId="15" fillId="16" xfId="0" applyNumberFormat="1" applyFont="1" applyFill="1" applyBorder="0" applyAlignment="1">
      <x:alignment horizontal="center" vertical="top" wrapText="1"/>
    </x:xf>
    <x:xf numFmtId="0" fontId="0" fillId="14" xfId="0" applyNumberFormat="1" applyFont="1" applyFill="1" applyBorder="0" applyAlignment="1">
      <x:alignment wrapText="1"/>
    </x:xf>
    <x:xf numFmtId="0" fontId="1" fillId="14" xfId="0" applyNumberFormat="1" applyFont="1" applyFill="1" applyBorder="0" applyAlignment="1">
      <x:alignment wrapText="1"/>
    </x:xf>
    <x:xf numFmtId="0" fontId="1" fillId="14" xfId="0" applyNumberFormat="1" applyFont="1" applyFill="1" applyBorder="0" applyAlignment="1">
      <x:alignment horizontal="center" wrapText="1"/>
    </x:xf>
    <x:xf numFmtId="0" fontId="0" fillId="14" xfId="0" applyNumberFormat="1" applyFont="1" applyFill="1" applyBorder="0"/>
    <x:xf numFmtId="0" fontId="1" fillId="14" xfId="0" applyNumberFormat="1" applyFont="1" applyFill="1" applyBorder="0"/>
    <x:xf numFmtId="0" fontId="1" fillId="14" xfId="0" applyNumberFormat="1" applyFont="1" applyFill="1" applyBorder="0" applyAlignment="1">
      <x:alignment horizontal="center"/>
    </x:xf>
    <x:xf numFmtId="0" fontId="0" fillId="0" xfId="0" applyNumberFormat="1" applyFont="1" applyFill="1" applyBorder="0" applyAlignment="1">
      <x:alignment horizontal="center"/>
    </x:xf>
    <x:xf numFmtId="0" fontId="0" fillId="14" xfId="0" applyNumberFormat="1" applyFont="1" applyFill="1" applyBorder="0" applyAlignment="1">
      <x:alignment horizontal="center"/>
    </x:xf>
    <x:xf numFmtId="201" fontId="0" fillId="0" xfId="0" applyNumberFormat="1" applyFont="1" applyFill="1" applyBorder="0" applyAlignment="1">
      <x:alignment horizontal="center"/>
    </x:xf>
    <x:xf numFmtId="0" fontId="15" fillId="0" xfId="0" applyNumberFormat="1" applyFont="1" applyFill="1" applyBorder="0" applyAlignment="1">
      <x:alignment wrapText="1"/>
    </x:xf>
    <x:xf numFmtId="0" fontId="15" fillId="0" xfId="0" applyNumberFormat="1" applyFont="1" applyFill="1" applyBorder="0" applyAlignment="1">
      <x:alignment horizontal="center" wrapText="1"/>
    </x:xf>
    <x:xf numFmtId="0" fontId="0" fillId="13" xfId="0" applyNumberFormat="1" applyFont="1" applyFill="1" applyBorder="0" applyAlignment="1">
      <x:alignment wrapText="1"/>
    </x:xf>
    <x:xf numFmtId="0" fontId="16" fillId="13" xfId="0" applyNumberFormat="1" applyFont="1" applyFill="1" applyBorder="0" applyAlignment="1">
      <x:alignment wrapText="1"/>
    </x:xf>
    <x:xf numFmtId="0" fontId="10" fillId="11" borderId="0" xfId="0" applyNumberFormat="1" applyFont="1" applyFill="1" applyBorder="1" applyAlignment="1">
      <x:alignment horizontal="left" vertical="center" wrapText="1"/>
    </x:xf>
    <x:xf numFmtId="0" fontId="13" fillId="14" borderId="0" xfId="0" applyNumberFormat="1" applyFont="1" applyFill="1" applyBorder="1" applyAlignment="1">
      <x:alignment horizontal="center" vertical="center" wrapText="1"/>
    </x:xf>
    <x:xf numFmtId="205" fontId="14" fillId="15" borderId="0" xfId="0" applyNumberFormat="1" applyFont="1" applyFill="1" applyBorder="1" applyAlignment="1">
      <x:alignment horizontal="center" vertical="center" wrapText="1"/>
    </x:xf>
    <x:xf numFmtId="203" fontId="14" fillId="15" borderId="0" xfId="0" applyNumberFormat="1" applyFont="1" applyFill="1" applyBorder="1" applyAlignment="1">
      <x:alignment horizontal="center" vertical="center" wrapText="1"/>
    </x:xf>
    <x:xf numFmtId="0" fontId="1" fillId="11" borderId="0" xfId="0" applyNumberFormat="1" applyFont="1" applyFill="1" applyBorder="1" applyAlignment="1">
      <x:alignment wrapText="1"/>
    </x:xf>
    <x:xf numFmtId="0" fontId="17" fillId="11" borderId="0" xfId="0" applyNumberFormat="1" applyFont="1" applyFill="1" applyBorder="1" applyAlignment="1">
      <x:alignment horizontal="left" vertical="center" wrapText="1"/>
    </x:xf>
    <x:xf numFmtId="0" fontId="18" fillId="0" borderId="0" xfId="0" applyNumberFormat="1" applyFont="1" applyFill="1" applyBorder="1" applyAlignment="1">
      <x:alignment wrapText="1"/>
    </x:xf>
    <x:xf numFmtId="0" fontId="17" fillId="13" borderId="0" xfId="0" applyNumberFormat="1" applyFont="1" applyFill="1" applyBorder="1" applyAlignment="1">
      <x:alignment vertical="center" wrapText="1"/>
    </x:xf>
    <x:xf numFmtId="0" fontId="17" fillId="14" borderId="0" xfId="0" applyNumberFormat="1" applyFont="1" applyFill="1" applyBorder="1" applyAlignment="1">
      <x:alignment horizontal="center" vertical="center" wrapText="1"/>
    </x:xf>
    <x:xf numFmtId="205" fontId="17" fillId="15" borderId="0" xfId="0" applyNumberFormat="1" applyFont="1" applyFill="1" applyBorder="1" applyAlignment="1">
      <x:alignment horizontal="center" vertical="center" wrapText="1"/>
    </x:xf>
    <x:xf numFmtId="203" fontId="17" fillId="15" borderId="0" xfId="0" applyNumberFormat="1" applyFont="1" applyFill="1" applyBorder="1" applyAlignment="1">
      <x:alignment horizontal="center" vertical="center" wrapText="1"/>
    </x:xf>
    <x:xf numFmtId="0" fontId="17" fillId="11" borderId="0" xfId="0" applyNumberFormat="1" applyFont="1" applyFill="1" applyBorder="1" applyAlignment="1">
      <x:alignment wrapText="1"/>
    </x:xf>
    <x:xf numFmtId="0" fontId="17" fillId="16" xfId="0" applyNumberFormat="1" applyFont="1" applyFill="1" applyBorder="0" applyAlignment="1">
      <x:alignment horizontal="center" vertical="top" wrapText="1"/>
    </x:xf>
    <x:xf numFmtId="0" fontId="18" fillId="16" xfId="0" applyNumberFormat="1" applyFont="1" applyFill="1" applyBorder="0" applyAlignment="1">
      <x:alignment wrapText="1"/>
    </x:xf>
    <x:xf numFmtId="0" fontId="17" fillId="14" xfId="0" applyNumberFormat="1" applyFont="1" applyFill="1" applyBorder="0" applyAlignment="1">
      <x:alignment horizontal="center" wrapText="1"/>
    </x:xf>
    <x:xf numFmtId="0" fontId="18" fillId="0" xfId="0" applyNumberFormat="1" applyFont="1" applyFill="1" applyBorder="0" applyAlignment="1">
      <x:alignment wrapText="1"/>
    </x:xf>
    <x:xf numFmtId="0" fontId="0" fillId="0" xfId="0" applyNumberFormat="1" applyFont="1" applyFill="1" applyBorder="0" applyAlignment="1">
      <x:alignment horizontal="center" wrapText="1"/>
    </x:xf>
    <x:xf numFmtId="201" fontId="0" fillId="0" xfId="0" applyNumberFormat="1" applyFont="1" applyFill="1" applyBorder="0" applyAlignment="1">
      <x:alignment horizontal="center" wrapText="1"/>
    </x:xf>
    <x:xf numFmtId="203" fontId="18" fillId="0" xfId="0" applyNumberFormat="1" applyFont="1" applyFill="1" applyBorder="0" applyAlignment="1">
      <x:alignment wrapText="1"/>
    </x:xf>
    <x:xf numFmtId="201" fontId="18" fillId="0" xfId="0" applyNumberFormat="1" applyFont="1" applyFill="1" applyBorder="0" applyAlignment="1">
      <x:alignment wrapText="1"/>
    </x:xf>
    <x:xf numFmtId="0" fontId="18" fillId="0" xfId="0" applyNumberFormat="1" applyFont="1" applyFill="1" applyBorder="0" applyAlignment="1">
      <x:alignment horizontal="center" wrapText="1"/>
    </x:xf>
    <x:xf numFmtId="201" fontId="18" fillId="0" xfId="0" applyNumberFormat="1" applyFont="1" applyFill="1" applyBorder="0" applyAlignment="1">
      <x:alignment horizontal="center" wrapText="1"/>
    </x:xf>
    <x:xf numFmtId="0" fontId="17" fillId="0" xfId="0" applyNumberFormat="1" applyFont="1" applyFill="1" applyBorder="0" applyAlignment="1">
      <x:alignment horizontal="center" wrapText="1"/>
    </x:xf>
    <x:xf numFmtId="0" fontId="11" fillId="13" xfId="0" applyNumberFormat="1" applyFont="1" applyFill="1" applyBorder="0" applyAlignment="1">
      <x:alignment wrapText="1"/>
    </x:xf>
    <x:xf numFmtId="0" fontId="17" fillId="14" xfId="0" applyNumberFormat="1" applyFont="1" applyFill="1" applyBorder="0" applyAlignment="1">
      <x:alignment wrapText="1"/>
    </x:xf>
    <x:xf numFmtId="204" fontId="0" fillId="0" borderId="0" xfId="0" applyNumberFormat="1" applyFont="1" applyFill="1" applyBorder="1"/>
    <x:xf numFmtId="206" fontId="17" fillId="15" borderId="0" xfId="0" applyNumberFormat="1" applyFont="1" applyFill="1" applyBorder="1" applyAlignment="1">
      <x:alignment horizontal="center" vertical="center" wrapText="1"/>
    </x:xf>
    <x:xf numFmtId="207" fontId="18" fillId="0" xfId="0" applyNumberFormat="1" applyFont="1" applyFill="1" applyBorder="0" applyAlignment="1">
      <x:alignment wrapText="1"/>
    </x:xf>
    <x:xf numFmtId="207" fontId="18" fillId="0" xfId="0" applyNumberFormat="1" applyFont="1" applyFill="1" applyBorder="0" applyAlignment="1">
      <x:alignment horizontal="center" wrapText="1"/>
    </x:xf>
    <x:xf numFmtId="0" fontId="18" fillId="11" borderId="0" xfId="0" applyNumberFormat="1" applyFont="1" applyFill="1" applyBorder="1" applyAlignment="1">
      <x:alignment wrapText="1"/>
    </x:xf>
    <x:xf numFmtId="0" fontId="10" fillId="11" borderId="0" xfId="0" applyNumberFormat="1" applyFont="1" applyFill="1" applyBorder="1" applyAlignment="1">
      <x:alignment wrapText="1"/>
    </x:xf>
    <x:xf numFmtId="0" fontId="10" fillId="11" borderId="0" xfId="0" applyNumberFormat="1" applyFont="1" applyFill="1" applyBorder="1" applyAlignment="1">
      <x:alignment horizontal="left" wrapText="1"/>
    </x:xf>
    <x:xf numFmtId="0" fontId="18" fillId="12" borderId="0" xfId="0" applyNumberFormat="1" applyFont="1" applyFill="1" applyBorder="1" applyAlignment="1">
      <x:alignment wrapText="1"/>
    </x:xf>
    <x:xf numFmtId="0" fontId="18" fillId="13" borderId="0" xfId="0" applyNumberFormat="1" applyFont="1" applyFill="1" applyBorder="1" applyAlignment="1">
      <x:alignment wrapText="1"/>
    </x:xf>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wrapText="1"/>
    </x:xf>
    <x:xf numFmtId="0" fontId="0" fillId="3" xfId="0" applyNumberFormat="1" applyFont="1" applyFill="1" applyBorder="0"/>
    <x:xf numFmtId="0" fontId="1" fillId="3" xfId="0" applyNumberFormat="1" applyFont="1" applyFill="1" applyBorder="0"/>
    <x:xf numFmtId="0" fontId="1" fillId="3" xfId="0" applyNumberFormat="1" applyFont="1" applyFill="1" applyBorder="0" applyAlignment="1">
      <x:alignment horizontal="center"/>
    </x:xf>
    <x:xf numFmtId="0" fontId="1" fillId="3" xfId="0" applyNumberFormat="1" applyFont="1" applyFill="1" applyBorder="0" applyAlignment="1">
      <x:alignment horizontal="center" vertical="center"/>
    </x:xf>
    <x:xf numFmtId="201" fontId="1" fillId="3" xfId="0" applyNumberFormat="1" applyFont="1" applyFill="1" applyBorder="0" applyAlignment="1">
      <x:alignment horizontal="center" vertical="center"/>
    </x:xf>
    <x:xf numFmtId="0" fontId="3" fillId="3" borderId="0" xfId="0" applyNumberFormat="1" applyFont="1" applyFill="1" applyBorder="1" applyAlignment="1">
      <x:alignment horizontal="center" vertical="center" wrapText="1"/>
    </x:xf>
    <x:xf numFmtId="0" fontId="1" fillId="3" xfId="0" applyNumberFormat="1" applyFont="1" applyFill="1" applyBorder="0" applyAlignment="1">
      <x:alignment horizontal="center" vertical="center" wrapText="1"/>
    </x:xf>
    <x:xf numFmtId="201" fontId="1" fillId="3" xfId="0" applyNumberFormat="1" applyFont="1" applyFill="1" applyBorder="0" applyAlignment="1">
      <x:alignment horizontal="center" vertical="center" wrapText="1"/>
    </x:xf>
    <x:xf numFmtId="0" fontId="10" fillId="3" borderId="0" xfId="0" applyNumberFormat="1" applyFont="1" applyFill="1" applyBorder="1"/>
    <x:xf numFmtId="0" fontId="10" fillId="3" borderId="0" xfId="0" applyNumberFormat="1" applyFont="1" applyFill="1" applyBorder="1" applyAlignment="1">
      <x:alignment horizontal="left"/>
    </x:xf>
    <x:xf numFmtId="0" fontId="10" fillId="3" borderId="0" xfId="0" applyNumberFormat="1" applyFont="1" applyFill="1" applyBorder="1" applyAlignment="1">
      <x:alignment horizontal="left" vertical="center"/>
    </x:xf>
    <x:xf numFmtId="0" fontId="11" fillId="4" borderId="0" xfId="0" applyNumberFormat="1" applyFont="1" applyFill="1" applyBorder="1"/>
    <x:xf numFmtId="0" fontId="11" fillId="4" borderId="0" xfId="0" applyNumberFormat="1" applyFont="1" applyFill="1" applyBorder="1" applyAlignment="1">
      <x:alignment wrapText="1"/>
    </x:xf>
    <x:xf numFmtId="0" fontId="1" fillId="3" borderId="0" xfId="0" applyNumberFormat="1" applyFont="1" applyFill="1" applyBorder="1"/>
    <x:xf numFmtId="0" fontId="10" fillId="3" borderId="0" xfId="0" applyNumberFormat="1" applyFont="1" applyFill="1" applyBorder="1" applyAlignment="1">
      <x:alignment horizontal="left" vertical="center" wrapText="1"/>
    </x:xf>
    <x:xf numFmtId="0" fontId="1" fillId="3" borderId="0" xfId="0" applyNumberFormat="1" applyFont="1" applyFill="1" applyBorder="1" applyAlignment="1">
      <x:alignment wrapText="1"/>
    </x:xf>
    <x:xf numFmtId="0" fontId="17" fillId="3" borderId="0" xfId="0" applyNumberFormat="1" applyFont="1" applyFill="1" applyBorder="1" applyAlignment="1">
      <x:alignment horizontal="left" vertical="center" wrapText="1"/>
    </x:xf>
    <x:xf numFmtId="0" fontId="17" fillId="3" borderId="0" xfId="0" applyNumberFormat="1" applyFont="1" applyFill="1" applyBorder="1" applyAlignment="1">
      <x:alignment wrapText="1"/>
    </x:xf>
    <x:xf numFmtId="0" fontId="18" fillId="3" borderId="0" xfId="0" applyNumberFormat="1" applyFont="1" applyFill="1" applyBorder="1" applyAlignment="1">
      <x:alignment wrapText="1"/>
    </x:xf>
    <x:xf numFmtId="0" fontId="10" fillId="3" borderId="0" xfId="0" applyNumberFormat="1" applyFont="1" applyFill="1" applyBorder="1" applyAlignment="1">
      <x:alignment wrapText="1"/>
    </x:xf>
    <x:xf numFmtId="0" fontId="10" fillId="3" borderId="0" xfId="0" applyNumberFormat="1" applyFont="1" applyFill="1" applyBorder="1" applyAlignment="1">
      <x:alignment horizontal="left" wrapText="1"/>
    </x:xf>
    <x:xf numFmtId="0" fontId="18" fillId="4"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vertical="center"/>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0" fillId="19" borderId="0" xfId="0" applyNumberFormat="1" applyFont="1" applyFill="1" applyBorder="1"/>
    <x:xf numFmtId="0" fontId="19" fillId="19" borderId="0" xfId="0" applyNumberFormat="1" applyFont="1" applyFill="1" applyBorder="1"/>
    <x:xf numFmtId="0" fontId="19" fillId="19" borderId="0" xfId="0" applyNumberFormat="1" applyFont="1" applyFill="1" applyBorder="1" applyAlignment="1">
      <x:alignment vertical="top"/>
    </x:xf>
    <x:xf numFmtId="0" fontId="1" fillId="18" xfId="0" applyNumberFormat="1" applyFont="1" applyFill="1" applyBorder="0" applyAlignment="1">
      <x:alignment wrapText="1"/>
    </x:xf>
    <x:xf numFmtId="0" fontId="19" fillId="19" xfId="0" applyNumberFormat="1" applyFont="1" applyFill="1" applyBorder="0" applyAlignment="1">
      <x:alignment vertical="top"/>
    </x:xf>
    <x:xf numFmtId="0" fontId="20" fillId="17" borderId="0" xfId="0" applyNumberFormat="1" applyFont="1" applyFill="1" applyBorder="1"/>
    <x:xf numFmtId="0" fontId="19" fillId="0" borderId="0" xfId="0" applyNumberFormat="1" applyFont="1" applyFill="1" applyBorder="1"/>
    <x:xf numFmtId="0" fontId="19" fillId="0" borderId="0" xfId="0" applyNumberFormat="1" applyFont="1" applyFill="1" applyBorder="1" applyAlignment="1">
      <x:alignment horizontal="center"/>
    </x:xf>
    <x:xf numFmtId="0" fontId="19" fillId="0" xfId="0" applyNumberFormat="1" applyFont="1" applyFill="1" applyBorder="0" applyAlignment="1">
      <x:alignment horizontal="center"/>
    </x:xf>
    <x:xf numFmtId="0" fontId="0" fillId="19" xfId="0" applyNumberFormat="1" applyFont="1" applyFill="1" applyBorder="0" applyAlignment="1">
      <x:alignment vertical="top" wrapText="1"/>
    </x:xf>
    <x:xf numFmtId="0" fontId="19" fillId="19" xfId="0" applyNumberFormat="1" applyFont="1" applyFill="1" applyBorder="0" applyAlignment="1">
      <x:alignment vertical="top" wrapText="1"/>
    </x:xf>
    <x:xf numFmtId="0" fontId="21" fillId="0" xfId="0" applyNumberFormat="1" applyFont="1" applyFill="1" applyBorder="0" applyAlignment="1">
      <x:alignment vertical="top" wrapText="1"/>
    </x:xf>
    <x:xf numFmtId="0" fontId="21" fillId="0" xfId="0" applyNumberFormat="1" applyFont="1" applyFill="1" applyBorder="0" applyAlignment="1">
      <x:alignment horizontal="center" vertical="top" wrapText="1"/>
    </x:xf>
  </x:cellXfs>
  <x:cellStyles count="1">
    <x:cellStyle name="Normal" xfId="0"/>
  </x:cellStyles>
  <x:dxfs count="1">
    <x:dxf>
      <x:font>
        <x:b/>
        <x:color rgb="FF2E7D32"/>
      </x:font>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a17988eb444cc6" /><Relationship Type="http://schemas.openxmlformats.org/officeDocument/2006/relationships/theme" Target="/xl/theme/theme1.xml" Id="R74a4845dfa634ca2" /><Relationship Type="http://schemas.openxmlformats.org/officeDocument/2006/relationships/sharedStrings" Target="/xl/sharedStrings.xml" Id="Rcd434d36197d4726" /><Relationship Type="http://schemas.openxmlformats.org/officeDocument/2006/relationships/worksheet" Target="/xl/worksheets/sheet1.xml" Id="R3281ed398a1446d6" /><Relationship Type="http://schemas.openxmlformats.org/officeDocument/2006/relationships/worksheet" Target="/xl/worksheets/sheet2.xml" Id="R0766d7474a5b4384" /><Relationship Type="http://schemas.openxmlformats.org/officeDocument/2006/relationships/worksheet" Target="/xl/worksheets/sheet3.xml" Id="Rd7d56ba172454a70" /><Relationship Type="http://schemas.openxmlformats.org/officeDocument/2006/relationships/worksheet" Target="/xl/worksheets/sheet4.xml" Id="Rff2de2262d4e454e" /><Relationship Type="http://schemas.openxmlformats.org/officeDocument/2006/relationships/worksheet" Target="/xl/worksheets/sheet5.xml" Id="Rc7ebf6bde8b24683" /><Relationship Type="http://schemas.openxmlformats.org/officeDocument/2006/relationships/worksheet" Target="/xl/worksheets/sheet6.xml" Id="Re135ecd3772647b7" /><Relationship Type="http://schemas.openxmlformats.org/officeDocument/2006/relationships/worksheet" Target="/xl/worksheets/sheet7.xml" Id="R9bcb8181402c4a4d" /><Relationship Type="http://schemas.openxmlformats.org/officeDocument/2006/relationships/worksheet" Target="/xl/worksheets/sheet8.xml" Id="R06f240d95f1046b0" /><Relationship Type="http://schemas.openxmlformats.org/officeDocument/2006/relationships/worksheet" Target="/xl/worksheets/sheet9.xml" Id="R984a53667c914f10" /><Relationship Type="http://schemas.openxmlformats.org/officeDocument/2006/relationships/worksheet" Target="/xl/worksheets/sheet10.xml" Id="Ra76ddc6a44bb49ea" /><Relationship Type="http://schemas.openxmlformats.org/officeDocument/2006/relationships/worksheet" Target="/xl/worksheets/sheet11.xml" Id="R60ac10f0c4ce4e3d" /><Relationship Type="http://schemas.openxmlformats.org/officeDocument/2006/relationships/worksheet" Target="/xl/worksheets/sheet12.xml" Id="R75ffeffdc2ee4cf4" /><Relationship Type="http://schemas.openxmlformats.org/officeDocument/2006/relationships/worksheet" Target="/xl/worksheets/sheet13.xml" Id="R98486003dde140c3" /><Relationship Type="http://schemas.openxmlformats.org/officeDocument/2006/relationships/worksheet" Target="/xl/worksheets/sheet14.xml" Id="R5cc56b4cc1e84fcf" /><Relationship Type="http://schemas.openxmlformats.org/officeDocument/2006/relationships/worksheet" Target="/xl/worksheets/sheet15.xml" Id="R680a960919af48b0" /><Relationship Type="http://schemas.openxmlformats.org/officeDocument/2006/relationships/worksheet" Target="/xl/worksheets/sheet16.xml" Id="Rae21b2ca21194e04" /><Relationship Type="http://schemas.openxmlformats.org/officeDocument/2006/relationships/worksheet" Target="/xl/worksheets/sheet17.xml" Id="R5290182282d84d6a" /><Relationship Type="http://schemas.openxmlformats.org/officeDocument/2006/relationships/worksheet" Target="/xl/worksheets/sheet18.xml" Id="R5e6865ea0291457b" /><Relationship Type="http://schemas.openxmlformats.org/officeDocument/2006/relationships/worksheet" Target="/xl/worksheets/sheet19.xml" Id="R214571850df143ba" /><Relationship Type="http://schemas.openxmlformats.org/officeDocument/2006/relationships/worksheet" Target="/xl/worksheets/sheet20.xml" Id="Rb3f28d57f1dc4127" /><Relationship Type="http://schemas.openxmlformats.org/officeDocument/2006/relationships/worksheet" Target="/xl/worksheets/sheet21.xml" Id="Rf9d37776c8e64731" /><Relationship Type="http://schemas.openxmlformats.org/officeDocument/2006/relationships/worksheet" Target="/xl/worksheets/sheet22.xml" Id="Rc522eae8157941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6c86459f5748e5" /></Relationships>
</file>

<file path=xl/drawings/_rels/drawing2.xml.rels>&#65279;<?xml version="1.0" encoding="utf-8"?><Relationships xmlns="http://schemas.openxmlformats.org/package/2006/relationships"><Relationship Type="http://schemas.openxmlformats.org/officeDocument/2006/relationships/chart" Target="/xl/drawings/charts/chart2.xml" Id="R90584260c7bc4e74" /><Relationship Type="http://schemas.openxmlformats.org/officeDocument/2006/relationships/chart" Target="/xl/drawings/charts/chart3.xml" Id="R183e17919b794eef" /></Relationships>
</file>

<file path=xl/drawings/_rels/drawing3.xml.rels>&#65279;<?xml version="1.0" encoding="utf-8"?><Relationships xmlns="http://schemas.openxmlformats.org/package/2006/relationships"><Relationship Type="http://schemas.openxmlformats.org/officeDocument/2006/relationships/chart" Target="/xl/drawings/charts/chart4.xml" Id="Ra276e012c1be4b69" /></Relationships>
</file>

<file path=xl/drawings/_rels/drawing4.xml.rels>&#65279;<?xml version="1.0" encoding="utf-8"?><Relationships xmlns="http://schemas.openxmlformats.org/package/2006/relationships"><Relationship Type="http://schemas.openxmlformats.org/officeDocument/2006/relationships/chart" Target="/xl/drawings/charts/chart5.xml" Id="R82bb6fb0a59340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attainment vs downtime</a:t>
            </a:r>
          </a:p>
        </c:rich>
      </c:tx>
    </c:title>
    <c:plotArea>
      <c:lineChart>
        <c:grouping val="standard"/>
        <c:varyColors val="0"/>
        <c:ser>
          <c:idx val="0"/>
          <c:order val="0"/>
          <c:tx>
            <c:v>Attainment %</c:v>
          </c:tx>
          <c:marker>
            <c:symbol val="none"/>
          </c:marker>
          <c:cat>
            <c:strRef>
              <c:f>'Phase5_Readout'!$I$14:$I$20</c:f>
              <c:strCache>
                <c:ptCount val="0"/>
              </c:strCache>
            </c:strRef>
          </c:cat>
          <c:val>
            <c:numRef>
              <c:f>'Phase5_Readout'!$J$14:$J$20</c:f>
              <c:numCache>
                <c:formatCode>0.00</c:formatCode>
                <c:ptCount val="0"/>
              </c:numCache>
            </c:numRef>
          </c:val>
        </c:ser>
        <c:ser>
          <c:idx val="1"/>
          <c:order val="1"/>
          <c:tx>
            <c:v>Downtime %</c:v>
          </c:tx>
          <c:marker>
            <c:symbol val="none"/>
          </c:marker>
          <c:cat>
            <c:strRef>
              <c:f>'Phase5_Readout'!$I$14:$I$20</c:f>
              <c:strCache>
                <c:ptCount val="0"/>
              </c:strCache>
            </c:strRef>
          </c:cat>
          <c:val>
            <c:numRef>
              <c:f>'Phase5_Readout'!$K$14:$K$20</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Downtime rate by machine</a:t>
            </a:r>
          </a:p>
        </c:rich>
      </c:tx>
    </c:title>
    <c:plotArea>
      <c:barChart>
        <c:barDir val="col"/>
        <c:varyColors val="0"/>
        <c:ser>
          <c:idx val="0"/>
          <c:order val="0"/>
          <c:tx>
            <c:v>Downtime rate %</c:v>
          </c:tx>
          <c:cat>
            <c:strRef>
              <c:f>'Phase6_Calculations'!$W$5:$W$8</c:f>
              <c:strCache>
                <c:ptCount val="0"/>
              </c:strCache>
            </c:strRef>
          </c:cat>
          <c:val>
            <c:numRef>
              <c:f>'Phase6_Calculations'!$X$5:$X$8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attainment vs downtime rate</a:t>
            </a:r>
          </a:p>
        </c:rich>
      </c:tx>
    </c:title>
    <c:plotArea>
      <c:lineChart>
        <c:grouping val="standard"/>
        <c:varyColors val="0"/>
        <c:ser>
          <c:idx val="0"/>
          <c:order val="0"/>
          <c:tx>
            <c:v>Attainment %</c:v>
          </c:tx>
          <c:marker>
            <c:symbol val="none"/>
          </c:marker>
          <c:cat>
            <c:strRef>
              <c:f>'Phase6_Calculations'!$S$5:$S$11</c:f>
              <c:strCache>
                <c:ptCount val="0"/>
              </c:strCache>
            </c:strRef>
          </c:cat>
          <c:val>
            <c:numRef>
              <c:f>'Phase6_Calculations'!$T$5:$T$11</c:f>
              <c:numCache>
                <c:formatCode>0.00</c:formatCode>
                <c:ptCount val="0"/>
              </c:numCache>
            </c:numRef>
          </c:val>
        </c:ser>
        <c:ser>
          <c:idx val="1"/>
          <c:order val="1"/>
          <c:tx>
            <c:v>Downtime %</c:v>
          </c:tx>
          <c:marker>
            <c:symbol val="none"/>
          </c:marker>
          <c:cat>
            <c:strRef>
              <c:f>'Phase6_Calculations'!$S$5:$S$11</c:f>
              <c:strCache>
                <c:ptCount val="0"/>
              </c:strCache>
            </c:strRef>
          </c:cat>
          <c:val>
            <c:numRef>
              <c:f>'Phase6_Calculations'!$U$5:$U$11</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Total downtime minutes by machine</a:t>
            </a:r>
          </a:p>
        </c:rich>
      </c:tx>
    </c:title>
    <c:plotArea>
      <c:barChart>
        <c:barDir val="col"/>
        <c:varyColors val="0"/>
        <c:ser>
          <c:idx val="0"/>
          <c:order val="0"/>
          <c:tx>
            <c:v>Downtime min</c:v>
          </c:tx>
          <c:cat>
            <c:strRef>
              <c:f>'Phase6_Calculations'!$D$5:$D$8</c:f>
              <c:strCache>
                <c:ptCount val="0"/>
              </c:strCache>
            </c:strRef>
          </c:cat>
          <c:val>
            <c:numRef>
              <c:f>'Phase6_Calculations'!$E$5:$E$8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PPE compliance vs active corrective actions</a:t>
            </a:r>
          </a:p>
        </c:rich>
      </c:tx>
    </c:title>
    <c:plotArea>
      <c:barChart>
        <c:barDir val="col"/>
        <c:varyColors val="0"/>
        <c:ser>
          <c:idx val="0"/>
          <c:order val="0"/>
          <c:tx>
            <c:v>PPE compliance %</c:v>
          </c:tx>
          <c:cat>
            <c:strRef>
              <c:f>'Phase6_Calculations'!$S$15:$S$17</c:f>
              <c:strCache>
                <c:ptCount val="0"/>
              </c:strCache>
            </c:strRef>
          </c:cat>
          <c:val>
            <c:numRef>
              <c:f>'Phase6_Calculations'!$T$15:$T$17</c:f>
              <c:numCache>
                <c:formatCode>0.00</c:formatCode>
                <c:ptCount val="0"/>
              </c:numCache>
            </c:numRef>
          </c:val>
        </c:ser>
        <c:ser>
          <c:idx val="1"/>
          <c:order val="1"/>
          <c:tx>
            <c:v>Active corrective-action %</c:v>
          </c:tx>
          <c:cat>
            <c:strRef>
              <c:f>'Phase6_Calculations'!$S$15:$S$17</c:f>
              <c:strCache>
                <c:ptCount val="0"/>
              </c:strCache>
            </c:strRef>
          </c:cat>
          <c:val>
            <c:numRef>
              <c:f>'Phase6_Calculations'!$U$15:$U$17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12</xdr:row>
      <xdr:rowOff>0</xdr:rowOff>
    </xdr:from>
    <xdr:to>
      <xdr:col>21</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6c86459f5748e5"/>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17</xdr:row>
      <xdr:rowOff>0</xdr:rowOff>
    </xdr:from>
    <xdr:to>
      <xdr:col>7</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584260c7bc4e74"/>
        </a:graphicData>
      </a:graphic>
    </xdr:graphicFrame>
    <xdr:clientData/>
  </xdr:twoCellAnchor>
  <xdr:twoCellAnchor>
    <xdr:from>
      <xdr:col>7</xdr:col>
      <xdr:colOff>0</xdr:colOff>
      <xdr:row>17</xdr:row>
      <xdr:rowOff>0</xdr:rowOff>
    </xdr:from>
    <xdr:to>
      <xdr:col>14</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3e17919b794eef"/>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19</xdr:row>
      <xdr:rowOff>0</xdr:rowOff>
    </xdr:from>
    <xdr:to>
      <xdr:col>6</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76e012c1be4b69"/>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22</xdr:row>
      <xdr:rowOff>0</xdr:rowOff>
    </xdr:from>
    <xdr:to>
      <xdr:col>14</xdr:col>
      <xdr:colOff>0</xdr:colOff>
      <xdr:row>37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bb6fb0a5934078"/>
        </a:graphicData>
      </a:graphic>
    </xdr:graphicFrame>
    <xdr:clientData/>
  </xdr:twoCellAnchor>
</xdr:wsDr>
</file>

<file path=xl/tables/table1.xml><?xml version="1.0" encoding="utf-8"?>
<x:table xmlns:x="http://schemas.openxmlformats.org/spreadsheetml/2006/main" id="1" name="RawDataTable" displayName="RawDataTable" ref="A1:U541" headerRowCount="1" totalsRowCount="0" totalsRowShown="0">
  <x:tableColumns count="21">
    <x:tableColumn id="1" name="Date"/>
    <x:tableColumn id="2" name="Shift"/>
    <x:tableColumn id="3" name="Product"/>
    <x:tableColumn id="4" name="Machine"/>
    <x:tableColumn id="5" name="Supervisor"/>
    <x:tableColumn id="6" name="Scheduled_Minutes"/>
    <x:tableColumn id="7" name="Planned_Changeover_Min"/>
    <x:tableColumn id="8" name="Downtime_Minutes"/>
    <x:tableColumn id="9" name="Target_Output_kg"/>
    <x:tableColumn id="10" name="Actual_Output_kg"/>
    <x:tableColumn id="11" name="Rejects_kg"/>
    <x:tableColumn id="12" name="Rework_kg"/>
    <x:tableColumn id="13" name="PPE_Compliance_pct"/>
    <x:tableColumn id="14" name="Housekeeping_Score"/>
    <x:tableColumn id="15" name="GMP_Score"/>
    <x:tableColumn id="16" name="Safety_Observations"/>
    <x:tableColumn id="17" name="Incident_Type"/>
    <x:tableColumn id="18" name="Corrective_Action_Status"/>
    <x:tableColumn id="19" name="Maintenance_Type"/>
    <x:tableColumn id="20" name="Maintenance_Duration_hr"/>
    <x:tableColumn id="21" name="Fuel_Units"/>
  </x:tableColumns>
  <x:tableStyleInfo name="TableStyleMedium2" showFirstColumn="0" showLastColumn="0" showRowStripes="1" showColumnStripes="0"/>
</x:table>
</file>

<file path=xl/tables/table2.xml><?xml version="1.0" encoding="utf-8"?>
<x:table xmlns:x="http://schemas.openxmlformats.org/spreadsheetml/2006/main" id="2" name="AnalysisCalcTable" displayName="AnalysisCalcTable" ref="A1:Z541" headerRowCount="1" totalsRowCount="0" totalsRowShown="0">
  <x:tableColumns count="26">
    <x:tableColumn id="1" name="Date"/>
    <x:tableColumn id="2" name="Shift"/>
    <x:tableColumn id="3" name="Product"/>
    <x:tableColumn id="4" name="Machine"/>
    <x:tableColumn id="5" name="Supervisor"/>
    <x:tableColumn id="6" name="Scheduled_Minutes"/>
    <x:tableColumn id="7" name="Planned_Changeover_Min"/>
    <x:tableColumn id="8" name="Downtime_Minutes"/>
    <x:tableColumn id="9" name="Target_Output_kg"/>
    <x:tableColumn id="10" name="Actual_Output_kg"/>
    <x:tableColumn id="11" name="Rejects_kg"/>
    <x:tableColumn id="12" name="Rework_kg"/>
    <x:tableColumn id="13" name="PPE_Compliance_pct"/>
    <x:tableColumn id="14" name="Housekeeping_Score"/>
    <x:tableColumn id="15" name="GMP_Score"/>
    <x:tableColumn id="16" name="Safety_Observations"/>
    <x:tableColumn id="17" name="Incident_Type"/>
    <x:tableColumn id="18" name="Corrective_Action_Status"/>
    <x:tableColumn id="19" name="Maintenance_Type"/>
    <x:tableColumn id="20" name="Maintenance_Duration_hr"/>
    <x:tableColumn id="21" name="Fuel_Units"/>
    <x:tableColumn id="22" name="Production_Attainment_pct"/>
    <x:tableColumn id="23" name="Reject_Rate_pct"/>
    <x:tableColumn id="24" name="Downtime_Rate_pct"/>
    <x:tableColumn id="25" name="Net_Good_Output_kg"/>
    <x:tableColumn id="26" name="OEE_like_p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6d8ea18af94df5" /></Relationships>
</file>

<file path=xl/worksheets/_rels/sheet2.xml.rels>&#65279;<?xml version="1.0" encoding="utf-8"?><Relationships xmlns="http://schemas.openxmlformats.org/package/2006/relationships"><Relationship Type="http://schemas.openxmlformats.org/officeDocument/2006/relationships/table" Target="/xl/tables/table2.xml" Id="R9bf10dabe6174dfe" /></Relationships>
</file>

<file path=xl/worksheets/_rels/sheet12.xml.rels>&#65279;<?xml version="1.0" encoding="utf-8"?><Relationships xmlns="http://schemas.openxmlformats.org/package/2006/relationships"><Relationship Type="http://schemas.openxmlformats.org/officeDocument/2006/relationships/drawing" Target="/xl/drawings/drawing1.xml" Id="R0d9f7f44b1594fbc" /></Relationships>
</file>

<file path=xl/worksheets/_rels/sheet16.xml.rels>&#65279;<?xml version="1.0" encoding="utf-8"?><Relationships xmlns="http://schemas.openxmlformats.org/package/2006/relationships"><Relationship Type="http://schemas.openxmlformats.org/officeDocument/2006/relationships/drawing" Target="/xl/drawings/drawing2.xml" Id="R30f9ddd466af43a5" /></Relationships>
</file>

<file path=xl/worksheets/_rels/sheet17.xml.rels>&#65279;<?xml version="1.0" encoding="utf-8"?><Relationships xmlns="http://schemas.openxmlformats.org/package/2006/relationships"><Relationship Type="http://schemas.openxmlformats.org/officeDocument/2006/relationships/drawing" Target="/xl/drawings/drawing3.xml" Id="Rd6b2acf31e944fca" /></Relationships>
</file>

<file path=xl/worksheets/_rels/sheet18.xml.rels>&#65279;<?xml version="1.0" encoding="utf-8"?><Relationships xmlns="http://schemas.openxmlformats.org/package/2006/relationships"><Relationship Type="http://schemas.openxmlformats.org/officeDocument/2006/relationships/drawing" Target="/xl/drawings/drawing4.xml" Id="R795017ea050b4a29" /></Relationships>
</file>

<file path=xl/worksheets/sheet1.xml><?xml version="1.0" encoding="utf-8"?>
<x:worksheet xmlns:x="http://schemas.openxmlformats.org/spreadsheetml/2006/main">
  <x:sheetFormatPr defaultRowHeight="15"/>
  <x:cols>
    <x:col min="1" max="1" width="12" hidden="0" customWidth="1"/>
    <x:col min="2" max="2" width="9" hidden="0" customWidth="1"/>
    <x:col min="3" max="3" width="20" hidden="0" customWidth="1"/>
    <x:col min="4" max="4" width="11" hidden="0" customWidth="1"/>
    <x:col min="5" max="5" width="13" hidden="0" customWidth="1"/>
    <x:col min="6" max="6" width="15" hidden="0" customWidth="1"/>
    <x:col min="7" max="7" width="22" hidden="0" customWidth="1"/>
    <x:col min="8" max="8" width="16" hidden="0" customWidth="1"/>
    <x:col min="9" max="9" width="15" hidden="0" customWidth="1"/>
    <x:col min="10" max="10" width="15" hidden="0" customWidth="1"/>
    <x:col min="11" max="11" width="12" hidden="0" customWidth="1"/>
    <x:col min="12" max="12" width="12" hidden="0" customWidth="1"/>
    <x:col min="13" max="13" width="16" hidden="0" customWidth="1"/>
    <x:col min="14" max="14" width="17" hidden="0" customWidth="1"/>
    <x:col min="15" max="15" width="12" hidden="0" customWidth="1"/>
    <x:col min="16" max="16" width="18" hidden="0" customWidth="1"/>
    <x:col min="17" max="17" width="16" hidden="0" customWidth="1"/>
    <x:col min="18" max="18" width="24" hidden="0" customWidth="1"/>
    <x:col min="19" max="19" width="18" hidden="0" customWidth="1"/>
    <x:col min="20" max="20" width="20" hidden="0" customWidth="1"/>
    <x:col min="21" max="21" width="12" hidden="0" customWidth="1"/>
  </x:cols>
  <x:sheetData>
    <x:row r="1">
      <x:c r="A1" s="6" t="str">
        <x:v>Date</x:v>
      </x:c>
      <x:c r="B1" s="6" t="str">
        <x:v>Shift</x:v>
      </x:c>
      <x:c r="C1" s="6" t="str">
        <x:v>Product</x:v>
      </x:c>
      <x:c r="D1" s="6" t="str">
        <x:v>Machine</x:v>
      </x:c>
      <x:c r="E1" s="6" t="str">
        <x:v>Supervisor</x:v>
      </x:c>
      <x:c r="F1" s="6" t="str">
        <x:v>Scheduled_Minutes</x:v>
      </x:c>
      <x:c r="G1" s="6" t="str">
        <x:v>Planned_Changeover_Min</x:v>
      </x:c>
      <x:c r="H1" s="6" t="str">
        <x:v>Downtime_Minutes</x:v>
      </x:c>
      <x:c r="I1" s="6" t="str">
        <x:v>Target_Output_kg</x:v>
      </x:c>
      <x:c r="J1" s="6" t="str">
        <x:v>Actual_Output_kg</x:v>
      </x:c>
      <x:c r="K1" s="6" t="str">
        <x:v>Rejects_kg</x:v>
      </x:c>
      <x:c r="L1" s="6" t="str">
        <x:v>Rework_kg</x:v>
      </x:c>
      <x:c r="M1" s="6" t="str">
        <x:v>PPE_Compliance_pct</x:v>
      </x:c>
      <x:c r="N1" s="6" t="str">
        <x:v>Housekeeping_Score</x:v>
      </x:c>
      <x:c r="O1" s="6" t="str">
        <x:v>GMP_Score</x:v>
      </x:c>
      <x:c r="P1" s="6" t="str">
        <x:v>Safety_Observations</x:v>
      </x:c>
      <x:c r="Q1" s="6" t="str">
        <x:v>Incident_Type</x:v>
      </x:c>
      <x:c r="R1" s="6" t="str">
        <x:v>Corrective_Action_Status</x:v>
      </x:c>
      <x:c r="S1" s="6" t="str">
        <x:v>Maintenance_Type</x:v>
      </x:c>
      <x:c r="T1" s="6" t="str">
        <x:v>Maintenance_Duration_hr</x:v>
      </x:c>
      <x:c r="U1" s="6" t="str">
        <x:v>Fuel_Units</x:v>
      </x:c>
      <x:c r="V1" s="6"/>
      <x:c r="W1" s="6"/>
      <x:c r="X1" s="6"/>
      <x:c r="Y1" s="6"/>
      <x:c r="Z1" s="6"/>
    </x:row>
    <x:row r="2">
      <x:c r="A2" s="12" t="n">
        <x:v>46027</x:v>
      </x:c>
      <x:c r="B2" t="str">
        <x:v>A</x:v>
      </x:c>
      <x:c r="C2" t="str">
        <x:v>Desiccated Coconut</x:v>
      </x:c>
      <x:c r="D2" t="str">
        <x:v>Dryer 3</x:v>
      </x:c>
      <x:c r="E2" t="str">
        <x:v>Sup 1</x:v>
      </x:c>
      <x:c r="F2" t="n">
        <x:v>450</x:v>
      </x:c>
      <x:c r="G2" t="n">
        <x:v>0</x:v>
      </x:c>
      <x:c r="H2" t="n">
        <x:v>51</x:v>
      </x:c>
      <x:c r="I2" t="n">
        <x:v>1261</x:v>
      </x:c>
      <x:c r="J2" t="n">
        <x:v>1041</x:v>
      </x:c>
      <x:c r="K2" t="n">
        <x:v>35</x:v>
      </x:c>
      <x:c r="L2" t="n">
        <x:v>16</x:v>
      </x:c>
      <x:c r="M2" t="n">
        <x:v>89.4</x:v>
      </x:c>
      <x:c r="N2" t="n">
        <x:v>76.8</x:v>
      </x:c>
      <x:c r="O2" t="n">
        <x:v>81.2</x:v>
      </x:c>
      <x:c r="P2" t="n">
        <x:v>2</x:v>
      </x:c>
      <x:c r="Q2" t="str">
        <x:v>No incident</x:v>
      </x:c>
      <x:c r="R2" t="str">
        <x:v>N/A</x:v>
      </x:c>
      <x:c r="S2" t="str">
        <x:v>Inspection</x:v>
      </x:c>
      <x:c r="T2" t="n">
        <x:v>0.87</x:v>
      </x:c>
      <x:c r="U2" t="n">
        <x:v>8.7</x:v>
      </x:c>
    </x:row>
    <x:row r="3">
      <x:c r="A3" s="12" t="n">
        <x:v>46027</x:v>
      </x:c>
      <x:c r="B3" t="str">
        <x:v>B</x:v>
      </x:c>
      <x:c r="C3" t="str">
        <x:v>Desiccated Coconut</x:v>
      </x:c>
      <x:c r="D3" t="str">
        <x:v>Dryer 3</x:v>
      </x:c>
      <x:c r="E3" t="str">
        <x:v>Sup 2</x:v>
      </x:c>
      <x:c r="F3" t="n">
        <x:v>420</x:v>
      </x:c>
      <x:c r="G3" t="n">
        <x:v>40</x:v>
      </x:c>
      <x:c r="H3" t="n">
        <x:v>59</x:v>
      </x:c>
      <x:c r="I3" t="n">
        <x:v>1134</x:v>
      </x:c>
      <x:c r="J3" t="n">
        <x:v>984</x:v>
      </x:c>
      <x:c r="K3" t="n">
        <x:v>31</x:v>
      </x:c>
      <x:c r="L3" t="n">
        <x:v>15</x:v>
      </x:c>
      <x:c r="M3" t="n">
        <x:v>83</x:v>
      </x:c>
      <x:c r="N3" t="n">
        <x:v>89.7</x:v>
      </x:c>
      <x:c r="O3" t="n">
        <x:v>74.6</x:v>
      </x:c>
      <x:c r="P3" t="n">
        <x:v>3</x:v>
      </x:c>
      <x:c r="Q3" t="str">
        <x:v>Near miss</x:v>
      </x:c>
      <x:c r="R3" t="str">
        <x:v>Closed</x:v>
      </x:c>
      <x:c r="S3" t="str">
        <x:v>Preventive</x:v>
      </x:c>
      <x:c r="T3" t="n">
        <x:v>0.72</x:v>
      </x:c>
      <x:c r="U3" t="n">
        <x:v>7.7</x:v>
      </x:c>
    </x:row>
    <x:row r="4">
      <x:c r="A4" s="12" t="n">
        <x:v>46027</x:v>
      </x:c>
      <x:c r="B4" t="str">
        <x:v>C</x:v>
      </x:c>
      <x:c r="C4" t="str">
        <x:v>Desiccated Coconut</x:v>
      </x:c>
      <x:c r="D4" t="str">
        <x:v>Dryer 3</x:v>
      </x:c>
      <x:c r="E4" t="str">
        <x:v>Sup 1</x:v>
      </x:c>
      <x:c r="F4" t="n">
        <x:v>480</x:v>
      </x:c>
      <x:c r="G4" t="n">
        <x:v>20</x:v>
      </x:c>
      <x:c r="H4" t="n">
        <x:v>57</x:v>
      </x:c>
      <x:c r="I4" t="n">
        <x:v>1211</x:v>
      </x:c>
      <x:c r="J4" t="n">
        <x:v>1025</x:v>
      </x:c>
      <x:c r="K4" t="n">
        <x:v>43</x:v>
      </x:c>
      <x:c r="L4" t="n">
        <x:v>22</x:v>
      </x:c>
      <x:c r="M4" t="n">
        <x:v>83.2</x:v>
      </x:c>
      <x:c r="N4" t="n">
        <x:v>79.5</x:v>
      </x:c>
      <x:c r="O4" t="n">
        <x:v>83.8</x:v>
      </x:c>
      <x:c r="P4" t="n">
        <x:v>2</x:v>
      </x:c>
      <x:c r="Q4" t="str">
        <x:v>No incident</x:v>
      </x:c>
      <x:c r="R4" t="str">
        <x:v>N/A</x:v>
      </x:c>
      <x:c r="S4" t="str">
        <x:v>Inspection</x:v>
      </x:c>
      <x:c r="T4" t="n">
        <x:v>0.5</x:v>
      </x:c>
      <x:c r="U4" t="n">
        <x:v>8.1</x:v>
      </x:c>
    </x:row>
    <x:row r="5">
      <x:c r="A5" s="12" t="n">
        <x:v>46028</x:v>
      </x:c>
      <x:c r="B5" t="str">
        <x:v>A</x:v>
      </x:c>
      <x:c r="C5" t="str">
        <x:v>Dried Mango</x:v>
      </x:c>
      <x:c r="D5" t="str">
        <x:v>Dryer 4</x:v>
      </x:c>
      <x:c r="E5" t="str">
        <x:v>Sup 3</x:v>
      </x:c>
      <x:c r="F5" t="n">
        <x:v>480</x:v>
      </x:c>
      <x:c r="G5" t="n">
        <x:v>30</x:v>
      </x:c>
      <x:c r="H5" t="n">
        <x:v>29</x:v>
      </x:c>
      <x:c r="I5" t="n">
        <x:v>1603</x:v>
      </x:c>
      <x:c r="J5" t="n">
        <x:v>1335</x:v>
      </x:c>
      <x:c r="K5" t="n">
        <x:v>38</x:v>
      </x:c>
      <x:c r="L5" t="n">
        <x:v>12</x:v>
      </x:c>
      <x:c r="M5" t="n">
        <x:v>98</x:v>
      </x:c>
      <x:c r="N5" t="n">
        <x:v>69.8</x:v>
      </x:c>
      <x:c r="O5" t="n">
        <x:v>76</x:v>
      </x:c>
      <x:c r="P5" t="n">
        <x:v>2</x:v>
      </x:c>
      <x:c r="Q5" t="str">
        <x:v>No incident</x:v>
      </x:c>
      <x:c r="R5" t="str">
        <x:v>N/A</x:v>
      </x:c>
      <x:c r="S5" t="str">
        <x:v>Corrective</x:v>
      </x:c>
      <x:c r="T5" t="n">
        <x:v>1.01</x:v>
      </x:c>
      <x:c r="U5" t="n">
        <x:v>12.2</x:v>
      </x:c>
    </x:row>
    <x:row r="6">
      <x:c r="A6" s="12" t="n">
        <x:v>46028</x:v>
      </x:c>
      <x:c r="B6" t="str">
        <x:v>B</x:v>
      </x:c>
      <x:c r="C6" t="str">
        <x:v>Desiccated Coconut</x:v>
      </x:c>
      <x:c r="D6" t="str">
        <x:v>Dryer 4</x:v>
      </x:c>
      <x:c r="E6" t="str">
        <x:v>Sup 2</x:v>
      </x:c>
      <x:c r="F6" t="n">
        <x:v>480</x:v>
      </x:c>
      <x:c r="G6" t="n">
        <x:v>30</x:v>
      </x:c>
      <x:c r="H6" t="n">
        <x:v>61</x:v>
      </x:c>
      <x:c r="I6" t="n">
        <x:v>1257</x:v>
      </x:c>
      <x:c r="J6" t="n">
        <x:v>1081</x:v>
      </x:c>
      <x:c r="K6" t="n">
        <x:v>39</x:v>
      </x:c>
      <x:c r="L6" t="n">
        <x:v>12</x:v>
      </x:c>
      <x:c r="M6" t="n">
        <x:v>99.9</x:v>
      </x:c>
      <x:c r="N6" t="n">
        <x:v>68.5</x:v>
      </x:c>
      <x:c r="O6" t="n">
        <x:v>75.5</x:v>
      </x:c>
      <x:c r="P6" t="n">
        <x:v>5</x:v>
      </x:c>
      <x:c r="Q6" t="str">
        <x:v>No incident</x:v>
      </x:c>
      <x:c r="R6" t="str">
        <x:v>N/A</x:v>
      </x:c>
      <x:c r="S6" t="str">
        <x:v>Corrective</x:v>
      </x:c>
      <x:c r="T6" t="n">
        <x:v>0.88</x:v>
      </x:c>
      <x:c r="U6" t="n">
        <x:v>9.2</x:v>
      </x:c>
    </x:row>
    <x:row r="7">
      <x:c r="A7" s="12" t="n">
        <x:v>46028</x:v>
      </x:c>
      <x:c r="B7" t="str">
        <x:v>C</x:v>
      </x:c>
      <x:c r="C7" t="str">
        <x:v>Dried Mango</x:v>
      </x:c>
      <x:c r="D7" t="str">
        <x:v>Dryer 3</x:v>
      </x:c>
      <x:c r="E7" t="str">
        <x:v>Sup 3</x:v>
      </x:c>
      <x:c r="F7" t="n">
        <x:v>420</x:v>
      </x:c>
      <x:c r="G7" t="n">
        <x:v>20</x:v>
      </x:c>
      <x:c r="H7" t="n">
        <x:v>40</x:v>
      </x:c>
      <x:c r="I7" t="n">
        <x:v>1667</x:v>
      </x:c>
      <x:c r="J7" t="n">
        <x:v>1388</x:v>
      </x:c>
      <x:c r="K7" t="n">
        <x:v>69</x:v>
      </x:c>
      <x:c r="L7" t="n">
        <x:v>43</x:v>
      </x:c>
      <x:c r="M7" t="n">
        <x:v>93.4</x:v>
      </x:c>
      <x:c r="N7" t="n">
        <x:v>70.7</x:v>
      </x:c>
      <x:c r="O7" t="n">
        <x:v>75.2</x:v>
      </x:c>
      <x:c r="P7" t="n">
        <x:v>3</x:v>
      </x:c>
      <x:c r="Q7" t="str">
        <x:v>Near miss</x:v>
      </x:c>
      <x:c r="R7" t="str">
        <x:v>In progress</x:v>
      </x:c>
      <x:c r="S7" t="str">
        <x:v>Preventive</x:v>
      </x:c>
      <x:c r="T7" t="n">
        <x:v>0.97</x:v>
      </x:c>
      <x:c r="U7" t="n">
        <x:v>11.9</x:v>
      </x:c>
    </x:row>
    <x:row r="8">
      <x:c r="A8" s="12" t="n">
        <x:v>46029</x:v>
      </x:c>
      <x:c r="B8" t="str">
        <x:v>A</x:v>
      </x:c>
      <x:c r="C8" t="str">
        <x:v>Desiccated Coconut</x:v>
      </x:c>
      <x:c r="D8" t="str">
        <x:v>Dryer 1</x:v>
      </x:c>
      <x:c r="E8" t="str">
        <x:v>Sup 1</x:v>
      </x:c>
      <x:c r="F8" t="n">
        <x:v>450</x:v>
      </x:c>
      <x:c r="G8" t="n">
        <x:v>40</x:v>
      </x:c>
      <x:c r="H8" t="n">
        <x:v>44</x:v>
      </x:c>
      <x:c r="I8" t="n">
        <x:v>1273</x:v>
      </x:c>
      <x:c r="J8" t="n">
        <x:v>1170</x:v>
      </x:c>
      <x:c r="K8" t="n">
        <x:v>23</x:v>
      </x:c>
      <x:c r="L8" t="n">
        <x:v>14</x:v>
      </x:c>
      <x:c r="M8" t="n">
        <x:v>91.6</x:v>
      </x:c>
      <x:c r="N8" t="n">
        <x:v>95.3</x:v>
      </x:c>
      <x:c r="O8" t="n">
        <x:v>76.4</x:v>
      </x:c>
      <x:c r="P8" t="n">
        <x:v>2</x:v>
      </x:c>
      <x:c r="Q8" t="str">
        <x:v>No incident</x:v>
      </x:c>
      <x:c r="R8" t="str">
        <x:v>N/A</x:v>
      </x:c>
      <x:c r="S8" t="str">
        <x:v>Corrective</x:v>
      </x:c>
      <x:c r="T8" t="n">
        <x:v>1.95</x:v>
      </x:c>
      <x:c r="U8" t="n">
        <x:v>10.5</x:v>
      </x:c>
    </x:row>
    <x:row r="9">
      <x:c r="A9" s="12" t="n">
        <x:v>46029</x:v>
      </x:c>
      <x:c r="B9" t="str">
        <x:v>B</x:v>
      </x:c>
      <x:c r="C9" t="str">
        <x:v>Dried Pineapple</x:v>
      </x:c>
      <x:c r="D9" t="str">
        <x:v>Dryer 3</x:v>
      </x:c>
      <x:c r="E9" t="str">
        <x:v>Sup 2</x:v>
      </x:c>
      <x:c r="F9" t="n">
        <x:v>450</x:v>
      </x:c>
      <x:c r="G9" t="n">
        <x:v>0</x:v>
      </x:c>
      <x:c r="H9" t="n">
        <x:v>57</x:v>
      </x:c>
      <x:c r="I9" t="n">
        <x:v>1799</x:v>
      </x:c>
      <x:c r="J9" t="n">
        <x:v>1520</x:v>
      </x:c>
      <x:c r="K9" t="n">
        <x:v>62</x:v>
      </x:c>
      <x:c r="L9" t="n">
        <x:v>29</x:v>
      </x:c>
      <x:c r="M9" t="n">
        <x:v>90.7</x:v>
      </x:c>
      <x:c r="N9" t="n">
        <x:v>79.6</x:v>
      </x:c>
      <x:c r="O9" t="n">
        <x:v>70.7</x:v>
      </x:c>
      <x:c r="P9" t="n">
        <x:v>5</x:v>
      </x:c>
      <x:c r="Q9" t="str">
        <x:v>No incident</x:v>
      </x:c>
      <x:c r="R9" t="str">
        <x:v>N/A</x:v>
      </x:c>
      <x:c r="S9" t="str">
        <x:v>Inspection</x:v>
      </x:c>
      <x:c r="T9" t="n">
        <x:v>1.34</x:v>
      </x:c>
      <x:c r="U9" t="n">
        <x:v>14</x:v>
      </x:c>
    </x:row>
    <x:row r="10">
      <x:c r="A10" s="12" t="n">
        <x:v>46029</x:v>
      </x:c>
      <x:c r="B10" t="str">
        <x:v>C</x:v>
      </x:c>
      <x:c r="C10" t="str">
        <x:v>Desiccated Coconut</x:v>
      </x:c>
      <x:c r="D10" t="str">
        <x:v>Dryer 3</x:v>
      </x:c>
      <x:c r="E10" t="str">
        <x:v>Sup 1</x:v>
      </x:c>
      <x:c r="F10" t="n">
        <x:v>420</x:v>
      </x:c>
      <x:c r="G10" t="n">
        <x:v>30</x:v>
      </x:c>
      <x:c r="H10" t="n">
        <x:v>61</x:v>
      </x:c>
      <x:c r="I10" t="n">
        <x:v>1211</x:v>
      </x:c>
      <x:c r="J10" t="n">
        <x:v>916</x:v>
      </x:c>
      <x:c r="K10" t="n">
        <x:v>40</x:v>
      </x:c>
      <x:c r="L10" t="n">
        <x:v>21</x:v>
      </x:c>
      <x:c r="M10" t="n">
        <x:v>85.2</x:v>
      </x:c>
      <x:c r="N10" t="n">
        <x:v>77.6</x:v>
      </x:c>
      <x:c r="O10" t="n">
        <x:v>71.6</x:v>
      </x:c>
      <x:c r="P10" t="n">
        <x:v>1</x:v>
      </x:c>
      <x:c r="Q10" t="str">
        <x:v>Near miss</x:v>
      </x:c>
      <x:c r="R10" t="str">
        <x:v>In progress</x:v>
      </x:c>
      <x:c r="S10" t="str">
        <x:v>Corrective</x:v>
      </x:c>
      <x:c r="T10" t="n">
        <x:v>0.81</x:v>
      </x:c>
      <x:c r="U10" t="n">
        <x:v>7.5</x:v>
      </x:c>
    </x:row>
    <x:row r="11">
      <x:c r="A11" s="12" t="n">
        <x:v>46030</x:v>
      </x:c>
      <x:c r="B11" t="str">
        <x:v>A</x:v>
      </x:c>
      <x:c r="C11" t="str">
        <x:v>Desiccated Coconut</x:v>
      </x:c>
      <x:c r="D11" t="str">
        <x:v>Dryer 4</x:v>
      </x:c>
      <x:c r="E11" t="str">
        <x:v>Sup 2</x:v>
      </x:c>
      <x:c r="F11" t="n">
        <x:v>420</x:v>
      </x:c>
      <x:c r="G11" t="n">
        <x:v>40</x:v>
      </x:c>
      <x:c r="H11" t="n">
        <x:v>28</x:v>
      </x:c>
      <x:c r="I11" t="n">
        <x:v>1207</x:v>
      </x:c>
      <x:c r="J11" t="n">
        <x:v>1127</x:v>
      </x:c>
      <x:c r="K11" t="n">
        <x:v>35</x:v>
      </x:c>
      <x:c r="L11" t="n">
        <x:v>13</x:v>
      </x:c>
      <x:c r="M11" t="n">
        <x:v>91.4</x:v>
      </x:c>
      <x:c r="N11" t="n">
        <x:v>71.1</x:v>
      </x:c>
      <x:c r="O11" t="n">
        <x:v>76.1</x:v>
      </x:c>
      <x:c r="P11" t="n">
        <x:v>2</x:v>
      </x:c>
      <x:c r="Q11" t="str">
        <x:v>No incident</x:v>
      </x:c>
      <x:c r="R11" t="str">
        <x:v>N/A</x:v>
      </x:c>
      <x:c r="S11" t="str">
        <x:v>Inspection</x:v>
      </x:c>
      <x:c r="T11" t="n">
        <x:v>0.68</x:v>
      </x:c>
      <x:c r="U11" t="n">
        <x:v>9.5</x:v>
      </x:c>
    </x:row>
    <x:row r="12">
      <x:c r="A12" s="12" t="n">
        <x:v>46030</x:v>
      </x:c>
      <x:c r="B12" t="str">
        <x:v>B</x:v>
      </x:c>
      <x:c r="C12" t="str">
        <x:v>Desiccated Coconut</x:v>
      </x:c>
      <x:c r="D12" t="str">
        <x:v>Dryer 1</x:v>
      </x:c>
      <x:c r="E12" t="str">
        <x:v>Sup 1</x:v>
      </x:c>
      <x:c r="F12" t="n">
        <x:v>450</x:v>
      </x:c>
      <x:c r="G12" t="n">
        <x:v>20</x:v>
      </x:c>
      <x:c r="H12" t="n">
        <x:v>30</x:v>
      </x:c>
      <x:c r="I12" t="n">
        <x:v>1273</x:v>
      </x:c>
      <x:c r="J12" t="n">
        <x:v>1146</x:v>
      </x:c>
      <x:c r="K12" t="n">
        <x:v>35</x:v>
      </x:c>
      <x:c r="L12" t="n">
        <x:v>9</x:v>
      </x:c>
      <x:c r="M12" t="n">
        <x:v>98</x:v>
      </x:c>
      <x:c r="N12" t="n">
        <x:v>79.8</x:v>
      </x:c>
      <x:c r="O12" t="n">
        <x:v>83.4</x:v>
      </x:c>
      <x:c r="P12" t="n">
        <x:v>0</x:v>
      </x:c>
      <x:c r="Q12" t="str">
        <x:v>No incident</x:v>
      </x:c>
      <x:c r="R12" t="str">
        <x:v>N/A</x:v>
      </x:c>
      <x:c r="S12" t="str">
        <x:v>Inspection</x:v>
      </x:c>
      <x:c r="T12" t="n">
        <x:v>0.95</x:v>
      </x:c>
      <x:c r="U12" t="n">
        <x:v>8.8</x:v>
      </x:c>
    </x:row>
    <x:row r="13">
      <x:c r="A13" s="12" t="n">
        <x:v>46030</x:v>
      </x:c>
      <x:c r="B13" t="str">
        <x:v>C</x:v>
      </x:c>
      <x:c r="C13" t="str">
        <x:v>Dried Mango</x:v>
      </x:c>
      <x:c r="D13" t="str">
        <x:v>Dryer 2</x:v>
      </x:c>
      <x:c r="E13" t="str">
        <x:v>Sup 2</x:v>
      </x:c>
      <x:c r="F13" t="n">
        <x:v>480</x:v>
      </x:c>
      <x:c r="G13" t="n">
        <x:v>0</x:v>
      </x:c>
      <x:c r="H13" t="n">
        <x:v>67</x:v>
      </x:c>
      <x:c r="I13" t="n">
        <x:v>1695</x:v>
      </x:c>
      <x:c r="J13" t="n">
        <x:v>1288</x:v>
      </x:c>
      <x:c r="K13" t="n">
        <x:v>55</x:v>
      </x:c>
      <x:c r="L13" t="n">
        <x:v>36</x:v>
      </x:c>
      <x:c r="M13" t="n">
        <x:v>86.3</x:v>
      </x:c>
      <x:c r="N13" t="n">
        <x:v>76</x:v>
      </x:c>
      <x:c r="O13" t="n">
        <x:v>79.2</x:v>
      </x:c>
      <x:c r="P13" t="n">
        <x:v>2</x:v>
      </x:c>
      <x:c r="Q13" t="str">
        <x:v>Recordable</x:v>
      </x:c>
      <x:c r="R13" t="str">
        <x:v>In progress</x:v>
      </x:c>
      <x:c r="S13" t="str">
        <x:v>Inspection</x:v>
      </x:c>
      <x:c r="T13" t="n">
        <x:v>1.15</x:v>
      </x:c>
      <x:c r="U13" t="n">
        <x:v>11.7</x:v>
      </x:c>
    </x:row>
    <x:row r="14">
      <x:c r="A14" s="12" t="n">
        <x:v>46031</x:v>
      </x:c>
      <x:c r="B14" t="str">
        <x:v>A</x:v>
      </x:c>
      <x:c r="C14" t="str">
        <x:v>Dried Pineapple</x:v>
      </x:c>
      <x:c r="D14" t="str">
        <x:v>Dryer 2</x:v>
      </x:c>
      <x:c r="E14" t="str">
        <x:v>Sup 2</x:v>
      </x:c>
      <x:c r="F14" t="n">
        <x:v>420</x:v>
      </x:c>
      <x:c r="G14" t="n">
        <x:v>20</x:v>
      </x:c>
      <x:c r="H14" t="n">
        <x:v>32</x:v>
      </x:c>
      <x:c r="I14" t="n">
        <x:v>1713</x:v>
      </x:c>
      <x:c r="J14" t="n">
        <x:v>1390</x:v>
      </x:c>
      <x:c r="K14" t="n">
        <x:v>37</x:v>
      </x:c>
      <x:c r="L14" t="n">
        <x:v>16</x:v>
      </x:c>
      <x:c r="M14" t="n">
        <x:v>90.4</x:v>
      </x:c>
      <x:c r="N14" t="n">
        <x:v>72.6</x:v>
      </x:c>
      <x:c r="O14" t="n">
        <x:v>76.5</x:v>
      </x:c>
      <x:c r="P14" t="n">
        <x:v>0</x:v>
      </x:c>
      <x:c r="Q14" t="str">
        <x:v>No incident</x:v>
      </x:c>
      <x:c r="R14" t="str">
        <x:v>N/A</x:v>
      </x:c>
      <x:c r="S14" t="str">
        <x:v>Corrective</x:v>
      </x:c>
      <x:c r="T14" t="n">
        <x:v>1.45</x:v>
      </x:c>
      <x:c r="U14" t="n">
        <x:v>11.8</x:v>
      </x:c>
    </x:row>
    <x:row r="15">
      <x:c r="A15" s="12" t="n">
        <x:v>46031</x:v>
      </x:c>
      <x:c r="B15" t="str">
        <x:v>B</x:v>
      </x:c>
      <x:c r="C15" t="str">
        <x:v>Desiccated Coconut</x:v>
      </x:c>
      <x:c r="D15" t="str">
        <x:v>Dryer 2</x:v>
      </x:c>
      <x:c r="E15" t="str">
        <x:v>Sup 1</x:v>
      </x:c>
      <x:c r="F15" t="n">
        <x:v>420</x:v>
      </x:c>
      <x:c r="G15" t="n">
        <x:v>20</x:v>
      </x:c>
      <x:c r="H15" t="n">
        <x:v>49</x:v>
      </x:c>
      <x:c r="I15" t="n">
        <x:v>1202</x:v>
      </x:c>
      <x:c r="J15" t="n">
        <x:v>979</x:v>
      </x:c>
      <x:c r="K15" t="n">
        <x:v>25</x:v>
      </x:c>
      <x:c r="L15" t="n">
        <x:v>14</x:v>
      </x:c>
      <x:c r="M15" t="n">
        <x:v>86.4</x:v>
      </x:c>
      <x:c r="N15" t="n">
        <x:v>85.2</x:v>
      </x:c>
      <x:c r="O15" t="n">
        <x:v>73.5</x:v>
      </x:c>
      <x:c r="P15" t="n">
        <x:v>3</x:v>
      </x:c>
      <x:c r="Q15" t="str">
        <x:v>No incident</x:v>
      </x:c>
      <x:c r="R15" t="str">
        <x:v>N/A</x:v>
      </x:c>
      <x:c r="S15" t="str">
        <x:v>Inspection</x:v>
      </x:c>
      <x:c r="T15" t="n">
        <x:v>0.74</x:v>
      </x:c>
      <x:c r="U15" t="n">
        <x:v>8.4</x:v>
      </x:c>
    </x:row>
    <x:row r="16">
      <x:c r="A16" s="12" t="n">
        <x:v>46031</x:v>
      </x:c>
      <x:c r="B16" t="str">
        <x:v>C</x:v>
      </x:c>
      <x:c r="C16" t="str">
        <x:v>Desiccated Coconut</x:v>
      </x:c>
      <x:c r="D16" t="str">
        <x:v>Dryer 3</x:v>
      </x:c>
      <x:c r="E16" t="str">
        <x:v>Sup 1</x:v>
      </x:c>
      <x:c r="F16" t="n">
        <x:v>480</x:v>
      </x:c>
      <x:c r="G16" t="n">
        <x:v>20</x:v>
      </x:c>
      <x:c r="H16" t="n">
        <x:v>64</x:v>
      </x:c>
      <x:c r="I16" t="n">
        <x:v>1260</x:v>
      </x:c>
      <x:c r="J16" t="n">
        <x:v>1107</x:v>
      </x:c>
      <x:c r="K16" t="n">
        <x:v>50</x:v>
      </x:c>
      <x:c r="L16" t="n">
        <x:v>22</x:v>
      </x:c>
      <x:c r="M16" t="n">
        <x:v>93</x:v>
      </x:c>
      <x:c r="N16" t="n">
        <x:v>76.3</x:v>
      </x:c>
      <x:c r="O16" t="n">
        <x:v>72.8</x:v>
      </x:c>
      <x:c r="P16" t="n">
        <x:v>2</x:v>
      </x:c>
      <x:c r="Q16" t="str">
        <x:v>No incident</x:v>
      </x:c>
      <x:c r="R16" t="str">
        <x:v>N/A</x:v>
      </x:c>
      <x:c r="S16" t="str">
        <x:v>Corrective</x:v>
      </x:c>
      <x:c r="T16" t="n">
        <x:v>0.59</x:v>
      </x:c>
      <x:c r="U16" t="n">
        <x:v>8.9</x:v>
      </x:c>
    </x:row>
    <x:row r="17">
      <x:c r="A17" s="12" t="n">
        <x:v>46032</x:v>
      </x:c>
      <x:c r="B17" t="str">
        <x:v>A</x:v>
      </x:c>
      <x:c r="C17" t="str">
        <x:v>Desiccated Coconut</x:v>
      </x:c>
      <x:c r="D17" t="str">
        <x:v>Dryer 4</x:v>
      </x:c>
      <x:c r="E17" t="str">
        <x:v>Sup 2</x:v>
      </x:c>
      <x:c r="F17" t="n">
        <x:v>480</x:v>
      </x:c>
      <x:c r="G17" t="n">
        <x:v>0</x:v>
      </x:c>
      <x:c r="H17" t="n">
        <x:v>24</x:v>
      </x:c>
      <x:c r="I17" t="n">
        <x:v>1137</x:v>
      </x:c>
      <x:c r="J17" t="n">
        <x:v>956</x:v>
      </x:c>
      <x:c r="K17" t="n">
        <x:v>32</x:v>
      </x:c>
      <x:c r="L17" t="n">
        <x:v>9</x:v>
      </x:c>
      <x:c r="M17" t="n">
        <x:v>90.3</x:v>
      </x:c>
      <x:c r="N17" t="n">
        <x:v>68.8</x:v>
      </x:c>
      <x:c r="O17" t="n">
        <x:v>80.5</x:v>
      </x:c>
      <x:c r="P17" t="n">
        <x:v>0</x:v>
      </x:c>
      <x:c r="Q17" t="str">
        <x:v>Recordable</x:v>
      </x:c>
      <x:c r="R17" t="str">
        <x:v>In progress</x:v>
      </x:c>
      <x:c r="S17" t="str">
        <x:v>Inspection</x:v>
      </x:c>
      <x:c r="T17" t="n">
        <x:v>0.5</x:v>
      </x:c>
      <x:c r="U17" t="n">
        <x:v>7.8</x:v>
      </x:c>
    </x:row>
    <x:row r="18">
      <x:c r="A18" s="12" t="n">
        <x:v>46032</x:v>
      </x:c>
      <x:c r="B18" t="str">
        <x:v>B</x:v>
      </x:c>
      <x:c r="C18" t="str">
        <x:v>Desiccated Coconut</x:v>
      </x:c>
      <x:c r="D18" t="str">
        <x:v>Dryer 4</x:v>
      </x:c>
      <x:c r="E18" t="str">
        <x:v>Sup 3</x:v>
      </x:c>
      <x:c r="F18" t="n">
        <x:v>450</x:v>
      </x:c>
      <x:c r="G18" t="n">
        <x:v>0</x:v>
      </x:c>
      <x:c r="H18" t="n">
        <x:v>56</x:v>
      </x:c>
      <x:c r="I18" t="n">
        <x:v>1222</x:v>
      </x:c>
      <x:c r="J18" t="n">
        <x:v>976</x:v>
      </x:c>
      <x:c r="K18" t="n">
        <x:v>34</x:v>
      </x:c>
      <x:c r="L18" t="n">
        <x:v>13</x:v>
      </x:c>
      <x:c r="M18" t="n">
        <x:v>85.5</x:v>
      </x:c>
      <x:c r="N18" t="n">
        <x:v>83.8</x:v>
      </x:c>
      <x:c r="O18" t="n">
        <x:v>73.7</x:v>
      </x:c>
      <x:c r="P18" t="n">
        <x:v>1</x:v>
      </x:c>
      <x:c r="Q18" t="str">
        <x:v>No incident</x:v>
      </x:c>
      <x:c r="R18" t="str">
        <x:v>N/A</x:v>
      </x:c>
      <x:c r="S18" t="str">
        <x:v>Preventive</x:v>
      </x:c>
      <x:c r="T18" t="n">
        <x:v>1.25</x:v>
      </x:c>
      <x:c r="U18" t="n">
        <x:v>8</x:v>
      </x:c>
    </x:row>
    <x:row r="19">
      <x:c r="A19" s="12" t="n">
        <x:v>46032</x:v>
      </x:c>
      <x:c r="B19" t="str">
        <x:v>C</x:v>
      </x:c>
      <x:c r="C19" t="str">
        <x:v>Desiccated Coconut</x:v>
      </x:c>
      <x:c r="D19" t="str">
        <x:v>Dryer 1</x:v>
      </x:c>
      <x:c r="E19" t="str">
        <x:v>Sup 2</x:v>
      </x:c>
      <x:c r="F19" t="n">
        <x:v>450</x:v>
      </x:c>
      <x:c r="G19" t="n">
        <x:v>0</x:v>
      </x:c>
      <x:c r="H19" t="n">
        <x:v>47</x:v>
      </x:c>
      <x:c r="I19" t="n">
        <x:v>1233</x:v>
      </x:c>
      <x:c r="J19" t="n">
        <x:v>1097</x:v>
      </x:c>
      <x:c r="K19" t="n">
        <x:v>25</x:v>
      </x:c>
      <x:c r="L19" t="n">
        <x:v>14</x:v>
      </x:c>
      <x:c r="M19" t="n">
        <x:v>88.3</x:v>
      </x:c>
      <x:c r="N19" t="n">
        <x:v>65.5</x:v>
      </x:c>
      <x:c r="O19" t="n">
        <x:v>73.7</x:v>
      </x:c>
      <x:c r="P19" t="n">
        <x:v>3</x:v>
      </x:c>
      <x:c r="Q19" t="str">
        <x:v>No incident</x:v>
      </x:c>
      <x:c r="R19" t="str">
        <x:v>N/A</x:v>
      </x:c>
      <x:c r="S19" t="str">
        <x:v>Preventive</x:v>
      </x:c>
      <x:c r="T19" t="n">
        <x:v>0.67</x:v>
      </x:c>
      <x:c r="U19" t="n">
        <x:v>8.8</x:v>
      </x:c>
    </x:row>
    <x:row r="20">
      <x:c r="A20" s="12" t="n">
        <x:v>46033</x:v>
      </x:c>
      <x:c r="B20" t="str">
        <x:v>A</x:v>
      </x:c>
      <x:c r="C20" t="str">
        <x:v>Dried Pineapple</x:v>
      </x:c>
      <x:c r="D20" t="str">
        <x:v>Dryer 1</x:v>
      </x:c>
      <x:c r="E20" t="str">
        <x:v>Sup 2</x:v>
      </x:c>
      <x:c r="F20" t="n">
        <x:v>420</x:v>
      </x:c>
      <x:c r="G20" t="n">
        <x:v>30</x:v>
      </x:c>
      <x:c r="H20" t="n">
        <x:v>36</x:v>
      </x:c>
      <x:c r="I20" t="n">
        <x:v>1838</x:v>
      </x:c>
      <x:c r="J20" t="n">
        <x:v>1610</x:v>
      </x:c>
      <x:c r="K20" t="n">
        <x:v>65</x:v>
      </x:c>
      <x:c r="L20" t="n">
        <x:v>15</x:v>
      </x:c>
      <x:c r="M20" t="n">
        <x:v>97.4</x:v>
      </x:c>
      <x:c r="N20" t="n">
        <x:v>68.8</x:v>
      </x:c>
      <x:c r="O20" t="n">
        <x:v>84</x:v>
      </x:c>
      <x:c r="P20" t="n">
        <x:v>4</x:v>
      </x:c>
      <x:c r="Q20" t="str">
        <x:v>No incident</x:v>
      </x:c>
      <x:c r="R20" t="str">
        <x:v>N/A</x:v>
      </x:c>
      <x:c r="S20" t="str">
        <x:v>Preventive</x:v>
      </x:c>
      <x:c r="T20" t="n">
        <x:v>0.5</x:v>
      </x:c>
      <x:c r="U20" t="n">
        <x:v>12.6</x:v>
      </x:c>
    </x:row>
    <x:row r="21">
      <x:c r="A21" s="12" t="n">
        <x:v>46033</x:v>
      </x:c>
      <x:c r="B21" t="str">
        <x:v>B</x:v>
      </x:c>
      <x:c r="C21" t="str">
        <x:v>Dried Mango</x:v>
      </x:c>
      <x:c r="D21" t="str">
        <x:v>Dryer 1</x:v>
      </x:c>
      <x:c r="E21" t="str">
        <x:v>Sup 3</x:v>
      </x:c>
      <x:c r="F21" t="n">
        <x:v>420</x:v>
      </x:c>
      <x:c r="G21" t="n">
        <x:v>30</x:v>
      </x:c>
      <x:c r="H21" t="n">
        <x:v>40</x:v>
      </x:c>
      <x:c r="I21" t="n">
        <x:v>1689</x:v>
      </x:c>
      <x:c r="J21" t="n">
        <x:v>1467</x:v>
      </x:c>
      <x:c r="K21" t="n">
        <x:v>44</x:v>
      </x:c>
      <x:c r="L21" t="n">
        <x:v>9</x:v>
      </x:c>
      <x:c r="M21" t="n">
        <x:v>94.3</x:v>
      </x:c>
      <x:c r="N21" t="n">
        <x:v>76.1</x:v>
      </x:c>
      <x:c r="O21" t="n">
        <x:v>57.5</x:v>
      </x:c>
      <x:c r="P21" t="n">
        <x:v>6</x:v>
      </x:c>
      <x:c r="Q21" t="str">
        <x:v>No incident</x:v>
      </x:c>
      <x:c r="R21" t="str">
        <x:v>N/A</x:v>
      </x:c>
      <x:c r="S21" t="str">
        <x:v>Preventive</x:v>
      </x:c>
      <x:c r="T21" t="n">
        <x:v>0.5</x:v>
      </x:c>
      <x:c r="U21" t="n">
        <x:v>13.2</x:v>
      </x:c>
    </x:row>
    <x:row r="22">
      <x:c r="A22" s="12" t="n">
        <x:v>46033</x:v>
      </x:c>
      <x:c r="B22" t="str">
        <x:v>C</x:v>
      </x:c>
      <x:c r="C22" t="str">
        <x:v>Desiccated Coconut</x:v>
      </x:c>
      <x:c r="D22" t="str">
        <x:v>Dryer 1</x:v>
      </x:c>
      <x:c r="E22" t="str">
        <x:v>Sup 3</x:v>
      </x:c>
      <x:c r="F22" t="n">
        <x:v>480</x:v>
      </x:c>
      <x:c r="G22" t="n">
        <x:v>20</x:v>
      </x:c>
      <x:c r="H22" t="n">
        <x:v>83</x:v>
      </x:c>
      <x:c r="I22" t="n">
        <x:v>1129</x:v>
      </x:c>
      <x:c r="J22" t="n">
        <x:v>916</x:v>
      </x:c>
      <x:c r="K22" t="n">
        <x:v>33</x:v>
      </x:c>
      <x:c r="L22" t="n">
        <x:v>21</x:v>
      </x:c>
      <x:c r="M22" t="n">
        <x:v>82.1</x:v>
      </x:c>
      <x:c r="N22" t="n">
        <x:v>66.8</x:v>
      </x:c>
      <x:c r="O22" t="n">
        <x:v>79.1</x:v>
      </x:c>
      <x:c r="P22" t="n">
        <x:v>3</x:v>
      </x:c>
      <x:c r="Q22" t="str">
        <x:v>No incident</x:v>
      </x:c>
      <x:c r="R22" t="str">
        <x:v>N/A</x:v>
      </x:c>
      <x:c r="S22" t="str">
        <x:v>Inspection</x:v>
      </x:c>
      <x:c r="T22" t="n">
        <x:v>1.8</x:v>
      </x:c>
      <x:c r="U22" t="n">
        <x:v>7.6</x:v>
      </x:c>
    </x:row>
    <x:row r="23">
      <x:c r="A23" s="12" t="n">
        <x:v>46034</x:v>
      </x:c>
      <x:c r="B23" t="str">
        <x:v>A</x:v>
      </x:c>
      <x:c r="C23" t="str">
        <x:v>Dried Mango</x:v>
      </x:c>
      <x:c r="D23" t="str">
        <x:v>Dryer 2</x:v>
      </x:c>
      <x:c r="E23" t="str">
        <x:v>Sup 1</x:v>
      </x:c>
      <x:c r="F23" t="n">
        <x:v>480</x:v>
      </x:c>
      <x:c r="G23" t="n">
        <x:v>30</x:v>
      </x:c>
      <x:c r="H23" t="n">
        <x:v>55</x:v>
      </x:c>
      <x:c r="I23" t="n">
        <x:v>1747</x:v>
      </x:c>
      <x:c r="J23" t="n">
        <x:v>1389</x:v>
      </x:c>
      <x:c r="K23" t="n">
        <x:v>62</x:v>
      </x:c>
      <x:c r="L23" t="n">
        <x:v>34</x:v>
      </x:c>
      <x:c r="M23" t="n">
        <x:v>87.9</x:v>
      </x:c>
      <x:c r="N23" t="n">
        <x:v>71.7</x:v>
      </x:c>
      <x:c r="O23" t="n">
        <x:v>74.2</x:v>
      </x:c>
      <x:c r="P23" t="n">
        <x:v>4</x:v>
      </x:c>
      <x:c r="Q23" t="str">
        <x:v>No incident</x:v>
      </x:c>
      <x:c r="R23" t="str">
        <x:v>N/A</x:v>
      </x:c>
      <x:c r="S23" t="str">
        <x:v>Inspection</x:v>
      </x:c>
      <x:c r="T23" t="n">
        <x:v>0.56</x:v>
      </x:c>
      <x:c r="U23" t="n">
        <x:v>11.9</x:v>
      </x:c>
    </x:row>
    <x:row r="24">
      <x:c r="A24" s="12" t="n">
        <x:v>46034</x:v>
      </x:c>
      <x:c r="B24" t="str">
        <x:v>B</x:v>
      </x:c>
      <x:c r="C24" t="str">
        <x:v>Dried Mango</x:v>
      </x:c>
      <x:c r="D24" t="str">
        <x:v>Dryer 3</x:v>
      </x:c>
      <x:c r="E24" t="str">
        <x:v>Sup 1</x:v>
      </x:c>
      <x:c r="F24" t="n">
        <x:v>480</x:v>
      </x:c>
      <x:c r="G24" t="n">
        <x:v>0</x:v>
      </x:c>
      <x:c r="H24" t="n">
        <x:v>39</x:v>
      </x:c>
      <x:c r="I24" t="n">
        <x:v>1538</x:v>
      </x:c>
      <x:c r="J24" t="n">
        <x:v>1385</x:v>
      </x:c>
      <x:c r="K24" t="n">
        <x:v>68</x:v>
      </x:c>
      <x:c r="L24" t="n">
        <x:v>34</x:v>
      </x:c>
      <x:c r="M24" t="n">
        <x:v>91.1</x:v>
      </x:c>
      <x:c r="N24" t="n">
        <x:v>70.9</x:v>
      </x:c>
      <x:c r="O24" t="n">
        <x:v>73.3</x:v>
      </x:c>
      <x:c r="P24" t="n">
        <x:v>2</x:v>
      </x:c>
      <x:c r="Q24" t="str">
        <x:v>Near miss</x:v>
      </x:c>
      <x:c r="R24" t="str">
        <x:v>Open</x:v>
      </x:c>
      <x:c r="S24" t="str">
        <x:v>Inspection</x:v>
      </x:c>
      <x:c r="T24" t="n">
        <x:v>0.5</x:v>
      </x:c>
      <x:c r="U24" t="n">
        <x:v>12.4</x:v>
      </x:c>
    </x:row>
    <x:row r="25">
      <x:c r="A25" s="12" t="n">
        <x:v>46034</x:v>
      </x:c>
      <x:c r="B25" t="str">
        <x:v>C</x:v>
      </x:c>
      <x:c r="C25" t="str">
        <x:v>Dried Mango</x:v>
      </x:c>
      <x:c r="D25" t="str">
        <x:v>Dryer 1</x:v>
      </x:c>
      <x:c r="E25" t="str">
        <x:v>Sup 3</x:v>
      </x:c>
      <x:c r="F25" t="n">
        <x:v>480</x:v>
      </x:c>
      <x:c r="G25" t="n">
        <x:v>40</x:v>
      </x:c>
      <x:c r="H25" t="n">
        <x:v>46</x:v>
      </x:c>
      <x:c r="I25" t="n">
        <x:v>1604</x:v>
      </x:c>
      <x:c r="J25" t="n">
        <x:v>1355</x:v>
      </x:c>
      <x:c r="K25" t="n">
        <x:v>46</x:v>
      </x:c>
      <x:c r="L25" t="n">
        <x:v>26</x:v>
      </x:c>
      <x:c r="M25" t="n">
        <x:v>81.3</x:v>
      </x:c>
      <x:c r="N25" t="n">
        <x:v>76</x:v>
      </x:c>
      <x:c r="O25" t="n">
        <x:v>71.3</x:v>
      </x:c>
      <x:c r="P25" t="n">
        <x:v>2</x:v>
      </x:c>
      <x:c r="Q25" t="str">
        <x:v>No incident</x:v>
      </x:c>
      <x:c r="R25" t="str">
        <x:v>N/A</x:v>
      </x:c>
      <x:c r="S25" t="str">
        <x:v>Preventive</x:v>
      </x:c>
      <x:c r="T25" t="n">
        <x:v>0.81</x:v>
      </x:c>
      <x:c r="U25" t="n">
        <x:v>10.9</x:v>
      </x:c>
    </x:row>
    <x:row r="26">
      <x:c r="A26" s="12" t="n">
        <x:v>46035</x:v>
      </x:c>
      <x:c r="B26" t="str">
        <x:v>A</x:v>
      </x:c>
      <x:c r="C26" t="str">
        <x:v>Dried Pineapple</x:v>
      </x:c>
      <x:c r="D26" t="str">
        <x:v>Dryer 1</x:v>
      </x:c>
      <x:c r="E26" t="str">
        <x:v>Sup 3</x:v>
      </x:c>
      <x:c r="F26" t="n">
        <x:v>450</x:v>
      </x:c>
      <x:c r="G26" t="n">
        <x:v>0</x:v>
      </x:c>
      <x:c r="H26" t="n">
        <x:v>54</x:v>
      </x:c>
      <x:c r="I26" t="n">
        <x:v>1730</x:v>
      </x:c>
      <x:c r="J26" t="n">
        <x:v>1543</x:v>
      </x:c>
      <x:c r="K26" t="n">
        <x:v>49</x:v>
      </x:c>
      <x:c r="L26" t="n">
        <x:v>16</x:v>
      </x:c>
      <x:c r="M26" t="n">
        <x:v>98</x:v>
      </x:c>
      <x:c r="N26" t="n">
        <x:v>77.3</x:v>
      </x:c>
      <x:c r="O26" t="n">
        <x:v>78.8</x:v>
      </x:c>
      <x:c r="P26" t="n">
        <x:v>3</x:v>
      </x:c>
      <x:c r="Q26" t="str">
        <x:v>No incident</x:v>
      </x:c>
      <x:c r="R26" t="str">
        <x:v>N/A</x:v>
      </x:c>
      <x:c r="S26" t="str">
        <x:v>Corrective</x:v>
      </x:c>
      <x:c r="T26" t="n">
        <x:v>1.79</x:v>
      </x:c>
      <x:c r="U26" t="n">
        <x:v>12.3</x:v>
      </x:c>
    </x:row>
    <x:row r="27">
      <x:c r="A27" s="12" t="n">
        <x:v>46035</x:v>
      </x:c>
      <x:c r="B27" t="str">
        <x:v>B</x:v>
      </x:c>
      <x:c r="C27" t="str">
        <x:v>Dried Mango</x:v>
      </x:c>
      <x:c r="D27" t="str">
        <x:v>Dryer 1</x:v>
      </x:c>
      <x:c r="E27" t="str">
        <x:v>Sup 2</x:v>
      </x:c>
      <x:c r="F27" t="n">
        <x:v>450</x:v>
      </x:c>
      <x:c r="G27" t="n">
        <x:v>20</x:v>
      </x:c>
      <x:c r="H27" t="n">
        <x:v>48</x:v>
      </x:c>
      <x:c r="I27" t="n">
        <x:v>1566</x:v>
      </x:c>
      <x:c r="J27" t="n">
        <x:v>1307</x:v>
      </x:c>
      <x:c r="K27" t="n">
        <x:v>35</x:v>
      </x:c>
      <x:c r="L27" t="n">
        <x:v>12</x:v>
      </x:c>
      <x:c r="M27" t="n">
        <x:v>93.4</x:v>
      </x:c>
      <x:c r="N27" t="n">
        <x:v>69.9</x:v>
      </x:c>
      <x:c r="O27" t="n">
        <x:v>75.9</x:v>
      </x:c>
      <x:c r="P27" t="n">
        <x:v>3</x:v>
      </x:c>
      <x:c r="Q27" t="str">
        <x:v>No incident</x:v>
      </x:c>
      <x:c r="R27" t="str">
        <x:v>N/A</x:v>
      </x:c>
      <x:c r="S27" t="str">
        <x:v>Corrective</x:v>
      </x:c>
      <x:c r="T27" t="n">
        <x:v>1.26</x:v>
      </x:c>
      <x:c r="U27" t="n">
        <x:v>11</x:v>
      </x:c>
    </x:row>
    <x:row r="28">
      <x:c r="A28" s="12" t="n">
        <x:v>46035</x:v>
      </x:c>
      <x:c r="B28" t="str">
        <x:v>C</x:v>
      </x:c>
      <x:c r="C28" t="str">
        <x:v>Desiccated Coconut</x:v>
      </x:c>
      <x:c r="D28" t="str">
        <x:v>Dryer 2</x:v>
      </x:c>
      <x:c r="E28" t="str">
        <x:v>Sup 2</x:v>
      </x:c>
      <x:c r="F28" t="n">
        <x:v>450</x:v>
      </x:c>
      <x:c r="G28" t="n">
        <x:v>0</x:v>
      </x:c>
      <x:c r="H28" t="n">
        <x:v>66</x:v>
      </x:c>
      <x:c r="I28" t="n">
        <x:v>1293</x:v>
      </x:c>
      <x:c r="J28" t="n">
        <x:v>1101</x:v>
      </x:c>
      <x:c r="K28" t="n">
        <x:v>36</x:v>
      </x:c>
      <x:c r="L28" t="n">
        <x:v>19</x:v>
      </x:c>
      <x:c r="M28" t="n">
        <x:v>81.6</x:v>
      </x:c>
      <x:c r="N28" t="n">
        <x:v>62.9</x:v>
      </x:c>
      <x:c r="O28" t="n">
        <x:v>73.6</x:v>
      </x:c>
      <x:c r="P28" t="n">
        <x:v>0</x:v>
      </x:c>
      <x:c r="Q28" t="str">
        <x:v>No incident</x:v>
      </x:c>
      <x:c r="R28" t="str">
        <x:v>N/A</x:v>
      </x:c>
      <x:c r="S28" t="str">
        <x:v>Inspection</x:v>
      </x:c>
      <x:c r="T28" t="n">
        <x:v>0.91</x:v>
      </x:c>
      <x:c r="U28" t="n">
        <x:v>8.4</x:v>
      </x:c>
    </x:row>
    <x:row r="29">
      <x:c r="A29" s="12" t="n">
        <x:v>46036</x:v>
      </x:c>
      <x:c r="B29" t="str">
        <x:v>A</x:v>
      </x:c>
      <x:c r="C29" t="str">
        <x:v>Dried Pineapple</x:v>
      </x:c>
      <x:c r="D29" t="str">
        <x:v>Dryer 1</x:v>
      </x:c>
      <x:c r="E29" t="str">
        <x:v>Sup 3</x:v>
      </x:c>
      <x:c r="F29" t="n">
        <x:v>450</x:v>
      </x:c>
      <x:c r="G29" t="n">
        <x:v>40</x:v>
      </x:c>
      <x:c r="H29" t="n">
        <x:v>68</x:v>
      </x:c>
      <x:c r="I29" t="n">
        <x:v>1690</x:v>
      </x:c>
      <x:c r="J29" t="n">
        <x:v>1327</x:v>
      </x:c>
      <x:c r="K29" t="n">
        <x:v>44</x:v>
      </x:c>
      <x:c r="L29" t="n">
        <x:v>16</x:v>
      </x:c>
      <x:c r="M29" t="n">
        <x:v>90.2</x:v>
      </x:c>
      <x:c r="N29" t="n">
        <x:v>78.7</x:v>
      </x:c>
      <x:c r="O29" t="n">
        <x:v>72.4</x:v>
      </x:c>
      <x:c r="P29" t="n">
        <x:v>0</x:v>
      </x:c>
      <x:c r="Q29" t="str">
        <x:v>No incident</x:v>
      </x:c>
      <x:c r="R29" t="str">
        <x:v>N/A</x:v>
      </x:c>
      <x:c r="S29" t="str">
        <x:v>Inspection</x:v>
      </x:c>
      <x:c r="T29" t="n">
        <x:v>1.04</x:v>
      </x:c>
      <x:c r="U29" t="n">
        <x:v>10.2</x:v>
      </x:c>
    </x:row>
    <x:row r="30">
      <x:c r="A30" s="12" t="n">
        <x:v>46036</x:v>
      </x:c>
      <x:c r="B30" t="str">
        <x:v>B</x:v>
      </x:c>
      <x:c r="C30" t="str">
        <x:v>Dried Pineapple</x:v>
      </x:c>
      <x:c r="D30" t="str">
        <x:v>Dryer 3</x:v>
      </x:c>
      <x:c r="E30" t="str">
        <x:v>Sup 3</x:v>
      </x:c>
      <x:c r="F30" t="n">
        <x:v>450</x:v>
      </x:c>
      <x:c r="G30" t="n">
        <x:v>30</x:v>
      </x:c>
      <x:c r="H30" t="n">
        <x:v>65</x:v>
      </x:c>
      <x:c r="I30" t="n">
        <x:v>1803</x:v>
      </x:c>
      <x:c r="J30" t="n">
        <x:v>1583</x:v>
      </x:c>
      <x:c r="K30" t="n">
        <x:v>73</x:v>
      </x:c>
      <x:c r="L30" t="n">
        <x:v>29</x:v>
      </x:c>
      <x:c r="M30" t="n">
        <x:v>86.3</x:v>
      </x:c>
      <x:c r="N30" t="n">
        <x:v>75.7</x:v>
      </x:c>
      <x:c r="O30" t="n">
        <x:v>82.9</x:v>
      </x:c>
      <x:c r="P30" t="n">
        <x:v>2</x:v>
      </x:c>
      <x:c r="Q30" t="str">
        <x:v>No incident</x:v>
      </x:c>
      <x:c r="R30" t="str">
        <x:v>N/A</x:v>
      </x:c>
      <x:c r="S30" t="str">
        <x:v>Inspection</x:v>
      </x:c>
      <x:c r="T30" t="n">
        <x:v>1.23</x:v>
      </x:c>
      <x:c r="U30" t="n">
        <x:v>13.8</x:v>
      </x:c>
    </x:row>
    <x:row r="31">
      <x:c r="A31" s="12" t="n">
        <x:v>46036</x:v>
      </x:c>
      <x:c r="B31" t="str">
        <x:v>C</x:v>
      </x:c>
      <x:c r="C31" t="str">
        <x:v>Desiccated Coconut</x:v>
      </x:c>
      <x:c r="D31" t="str">
        <x:v>Dryer 1</x:v>
      </x:c>
      <x:c r="E31" t="str">
        <x:v>Sup 1</x:v>
      </x:c>
      <x:c r="F31" t="n">
        <x:v>480</x:v>
      </x:c>
      <x:c r="G31" t="n">
        <x:v>20</x:v>
      </x:c>
      <x:c r="H31" t="n">
        <x:v>26</x:v>
      </x:c>
      <x:c r="I31" t="n">
        <x:v>1117</x:v>
      </x:c>
      <x:c r="J31" t="n">
        <x:v>1026</x:v>
      </x:c>
      <x:c r="K31" t="n">
        <x:v>29</x:v>
      </x:c>
      <x:c r="L31" t="n">
        <x:v>6</x:v>
      </x:c>
      <x:c r="M31" t="n">
        <x:v>89.5</x:v>
      </x:c>
      <x:c r="N31" t="n">
        <x:v>86.1</x:v>
      </x:c>
      <x:c r="O31" t="n">
        <x:v>80.5</x:v>
      </x:c>
      <x:c r="P31" t="n">
        <x:v>4</x:v>
      </x:c>
      <x:c r="Q31" t="str">
        <x:v>No incident</x:v>
      </x:c>
      <x:c r="R31" t="str">
        <x:v>N/A</x:v>
      </x:c>
      <x:c r="S31" t="str">
        <x:v>Corrective</x:v>
      </x:c>
      <x:c r="T31" t="n">
        <x:v>1.89</x:v>
      </x:c>
      <x:c r="U31" t="n">
        <x:v>9.3</x:v>
      </x:c>
    </x:row>
    <x:row r="32">
      <x:c r="A32" s="12" t="n">
        <x:v>46037</x:v>
      </x:c>
      <x:c r="B32" t="str">
        <x:v>A</x:v>
      </x:c>
      <x:c r="C32" t="str">
        <x:v>Dried Pineapple</x:v>
      </x:c>
      <x:c r="D32" t="str">
        <x:v>Dryer 1</x:v>
      </x:c>
      <x:c r="E32" t="str">
        <x:v>Sup 2</x:v>
      </x:c>
      <x:c r="F32" t="n">
        <x:v>450</x:v>
      </x:c>
      <x:c r="G32" t="n">
        <x:v>30</x:v>
      </x:c>
      <x:c r="H32" t="n">
        <x:v>26</x:v>
      </x:c>
      <x:c r="I32" t="n">
        <x:v>1697</x:v>
      </x:c>
      <x:c r="J32" t="n">
        <x:v>1448</x:v>
      </x:c>
      <x:c r="K32" t="n">
        <x:v>58</x:v>
      </x:c>
      <x:c r="L32" t="n">
        <x:v>32</x:v>
      </x:c>
      <x:c r="M32" t="n">
        <x:v>94.3</x:v>
      </x:c>
      <x:c r="N32" t="n">
        <x:v>83.4</x:v>
      </x:c>
      <x:c r="O32" t="n">
        <x:v>75.1</x:v>
      </x:c>
      <x:c r="P32" t="n">
        <x:v>5</x:v>
      </x:c>
      <x:c r="Q32" t="str">
        <x:v>No incident</x:v>
      </x:c>
      <x:c r="R32" t="str">
        <x:v>N/A</x:v>
      </x:c>
      <x:c r="S32" t="str">
        <x:v>Preventive</x:v>
      </x:c>
      <x:c r="T32" t="n">
        <x:v>0.66</x:v>
      </x:c>
      <x:c r="U32" t="n">
        <x:v>13</x:v>
      </x:c>
    </x:row>
    <x:row r="33">
      <x:c r="A33" s="12" t="n">
        <x:v>46037</x:v>
      </x:c>
      <x:c r="B33" t="str">
        <x:v>B</x:v>
      </x:c>
      <x:c r="C33" t="str">
        <x:v>Desiccated Coconut</x:v>
      </x:c>
      <x:c r="D33" t="str">
        <x:v>Dryer 3</x:v>
      </x:c>
      <x:c r="E33" t="str">
        <x:v>Sup 2</x:v>
      </x:c>
      <x:c r="F33" t="n">
        <x:v>480</x:v>
      </x:c>
      <x:c r="G33" t="n">
        <x:v>40</x:v>
      </x:c>
      <x:c r="H33" t="n">
        <x:v>91</x:v>
      </x:c>
      <x:c r="I33" t="n">
        <x:v>1231</x:v>
      </x:c>
      <x:c r="J33" t="n">
        <x:v>881</x:v>
      </x:c>
      <x:c r="K33" t="n">
        <x:v>32</x:v>
      </x:c>
      <x:c r="L33" t="n">
        <x:v>10</x:v>
      </x:c>
      <x:c r="M33" t="n">
        <x:v>98</x:v>
      </x:c>
      <x:c r="N33" t="n">
        <x:v>85.7</x:v>
      </x:c>
      <x:c r="O33" t="n">
        <x:v>80</x:v>
      </x:c>
      <x:c r="P33" t="n">
        <x:v>5</x:v>
      </x:c>
      <x:c r="Q33" t="str">
        <x:v>No incident</x:v>
      </x:c>
      <x:c r="R33" t="str">
        <x:v>N/A</x:v>
      </x:c>
      <x:c r="S33" t="str">
        <x:v>Inspection</x:v>
      </x:c>
      <x:c r="T33" t="n">
        <x:v>0.54</x:v>
      </x:c>
      <x:c r="U33" t="n">
        <x:v>6.8</x:v>
      </x:c>
    </x:row>
    <x:row r="34">
      <x:c r="A34" s="12" t="n">
        <x:v>46037</x:v>
      </x:c>
      <x:c r="B34" t="str">
        <x:v>C</x:v>
      </x:c>
      <x:c r="C34" t="str">
        <x:v>Dried Pineapple</x:v>
      </x:c>
      <x:c r="D34" t="str">
        <x:v>Dryer 4</x:v>
      </x:c>
      <x:c r="E34" t="str">
        <x:v>Sup 1</x:v>
      </x:c>
      <x:c r="F34" t="n">
        <x:v>420</x:v>
      </x:c>
      <x:c r="G34" t="n">
        <x:v>40</x:v>
      </x:c>
      <x:c r="H34" t="n">
        <x:v>37</x:v>
      </x:c>
      <x:c r="I34" t="n">
        <x:v>1865</x:v>
      </x:c>
      <x:c r="J34" t="n">
        <x:v>1590</x:v>
      </x:c>
      <x:c r="K34" t="n">
        <x:v>64</x:v>
      </x:c>
      <x:c r="L34" t="n">
        <x:v>22</x:v>
      </x:c>
      <x:c r="M34" t="n">
        <x:v>79.2</x:v>
      </x:c>
      <x:c r="N34" t="n">
        <x:v>70.2</x:v>
      </x:c>
      <x:c r="O34" t="n">
        <x:v>78.7</x:v>
      </x:c>
      <x:c r="P34" t="n">
        <x:v>1</x:v>
      </x:c>
      <x:c r="Q34" t="str">
        <x:v>No incident</x:v>
      </x:c>
      <x:c r="R34" t="str">
        <x:v>N/A</x:v>
      </x:c>
      <x:c r="S34" t="str">
        <x:v>Preventive</x:v>
      </x:c>
      <x:c r="T34" t="n">
        <x:v>0.5</x:v>
      </x:c>
      <x:c r="U34" t="n">
        <x:v>13</x:v>
      </x:c>
    </x:row>
    <x:row r="35">
      <x:c r="A35" s="12" t="n">
        <x:v>46038</x:v>
      </x:c>
      <x:c r="B35" t="str">
        <x:v>A</x:v>
      </x:c>
      <x:c r="C35" t="str">
        <x:v>Dried Mango</x:v>
      </x:c>
      <x:c r="D35" t="str">
        <x:v>Dryer 2</x:v>
      </x:c>
      <x:c r="E35" t="str">
        <x:v>Sup 3</x:v>
      </x:c>
      <x:c r="F35" t="n">
        <x:v>480</x:v>
      </x:c>
      <x:c r="G35" t="n">
        <x:v>40</x:v>
      </x:c>
      <x:c r="H35" t="n">
        <x:v>41</x:v>
      </x:c>
      <x:c r="I35" t="n">
        <x:v>1740</x:v>
      </x:c>
      <x:c r="J35" t="n">
        <x:v>1619</x:v>
      </x:c>
      <x:c r="K35" t="n">
        <x:v>72</x:v>
      </x:c>
      <x:c r="L35" t="n">
        <x:v>17</x:v>
      </x:c>
      <x:c r="M35" t="n">
        <x:v>92.8</x:v>
      </x:c>
      <x:c r="N35" t="n">
        <x:v>86.3</x:v>
      </x:c>
      <x:c r="O35" t="n">
        <x:v>84.4</x:v>
      </x:c>
      <x:c r="P35" t="n">
        <x:v>3</x:v>
      </x:c>
      <x:c r="Q35" t="str">
        <x:v>No incident</x:v>
      </x:c>
      <x:c r="R35" t="str">
        <x:v>N/A</x:v>
      </x:c>
      <x:c r="S35" t="str">
        <x:v>Inspection</x:v>
      </x:c>
      <x:c r="T35" t="n">
        <x:v>1.3</x:v>
      </x:c>
      <x:c r="U35" t="n">
        <x:v>14.8</x:v>
      </x:c>
    </x:row>
    <x:row r="36">
      <x:c r="A36" s="12" t="n">
        <x:v>46038</x:v>
      </x:c>
      <x:c r="B36" t="str">
        <x:v>B</x:v>
      </x:c>
      <x:c r="C36" t="str">
        <x:v>Desiccated Coconut</x:v>
      </x:c>
      <x:c r="D36" t="str">
        <x:v>Dryer 4</x:v>
      </x:c>
      <x:c r="E36" t="str">
        <x:v>Sup 2</x:v>
      </x:c>
      <x:c r="F36" t="n">
        <x:v>420</x:v>
      </x:c>
      <x:c r="G36" t="n">
        <x:v>30</x:v>
      </x:c>
      <x:c r="H36" t="n">
        <x:v>58</x:v>
      </x:c>
      <x:c r="I36" t="n">
        <x:v>1246</x:v>
      </x:c>
      <x:c r="J36" t="n">
        <x:v>1026</x:v>
      </x:c>
      <x:c r="K36" t="n">
        <x:v>33</x:v>
      </x:c>
      <x:c r="L36" t="n">
        <x:v>19</x:v>
      </x:c>
      <x:c r="M36" t="n">
        <x:v>88.3</x:v>
      </x:c>
      <x:c r="N36" t="n">
        <x:v>77.1</x:v>
      </x:c>
      <x:c r="O36" t="n">
        <x:v>68.4</x:v>
      </x:c>
      <x:c r="P36" t="n">
        <x:v>3</x:v>
      </x:c>
      <x:c r="Q36" t="str">
        <x:v>No incident</x:v>
      </x:c>
      <x:c r="R36" t="str">
        <x:v>N/A</x:v>
      </x:c>
      <x:c r="S36" t="str">
        <x:v>Preventive</x:v>
      </x:c>
      <x:c r="T36" t="n">
        <x:v>1.17</x:v>
      </x:c>
      <x:c r="U36" t="n">
        <x:v>9</x:v>
      </x:c>
    </x:row>
    <x:row r="37">
      <x:c r="A37" s="12" t="n">
        <x:v>46038</x:v>
      </x:c>
      <x:c r="B37" t="str">
        <x:v>C</x:v>
      </x:c>
      <x:c r="C37" t="str">
        <x:v>Desiccated Coconut</x:v>
      </x:c>
      <x:c r="D37" t="str">
        <x:v>Dryer 1</x:v>
      </x:c>
      <x:c r="E37" t="str">
        <x:v>Sup 3</x:v>
      </x:c>
      <x:c r="F37" t="n">
        <x:v>450</x:v>
      </x:c>
      <x:c r="G37" t="n">
        <x:v>30</x:v>
      </x:c>
      <x:c r="H37" t="n">
        <x:v>22</x:v>
      </x:c>
      <x:c r="I37" t="n">
        <x:v>1172</x:v>
      </x:c>
      <x:c r="J37" t="n">
        <x:v>1081</x:v>
      </x:c>
      <x:c r="K37" t="n">
        <x:v>36</x:v>
      </x:c>
      <x:c r="L37" t="n">
        <x:v>23</x:v>
      </x:c>
      <x:c r="M37" t="n">
        <x:v>78.8</x:v>
      </x:c>
      <x:c r="N37" t="n">
        <x:v>63</x:v>
      </x:c>
      <x:c r="O37" t="n">
        <x:v>73.5</x:v>
      </x:c>
      <x:c r="P37" t="n">
        <x:v>5</x:v>
      </x:c>
      <x:c r="Q37" t="str">
        <x:v>No incident</x:v>
      </x:c>
      <x:c r="R37" t="str">
        <x:v>N/A</x:v>
      </x:c>
      <x:c r="S37" t="str">
        <x:v>Preventive</x:v>
      </x:c>
      <x:c r="T37" t="n">
        <x:v>0.84</x:v>
      </x:c>
      <x:c r="U37" t="n">
        <x:v>9.6</x:v>
      </x:c>
    </x:row>
    <x:row r="38">
      <x:c r="A38" s="12" t="n">
        <x:v>46039</x:v>
      </x:c>
      <x:c r="B38" t="str">
        <x:v>A</x:v>
      </x:c>
      <x:c r="C38" t="str">
        <x:v>Dried Pineapple</x:v>
      </x:c>
      <x:c r="D38" t="str">
        <x:v>Dryer 3</x:v>
      </x:c>
      <x:c r="E38" t="str">
        <x:v>Sup 1</x:v>
      </x:c>
      <x:c r="F38" t="n">
        <x:v>420</x:v>
      </x:c>
      <x:c r="G38" t="n">
        <x:v>20</x:v>
      </x:c>
      <x:c r="H38" t="n">
        <x:v>50</x:v>
      </x:c>
      <x:c r="I38" t="n">
        <x:v>1743</x:v>
      </x:c>
      <x:c r="J38" t="n">
        <x:v>1544</x:v>
      </x:c>
      <x:c r="K38" t="n">
        <x:v>83</x:v>
      </x:c>
      <x:c r="L38" t="n">
        <x:v>46</x:v>
      </x:c>
      <x:c r="M38" t="n">
        <x:v>90.7</x:v>
      </x:c>
      <x:c r="N38" t="n">
        <x:v>74.8</x:v>
      </x:c>
      <x:c r="O38" t="n">
        <x:v>58.7</x:v>
      </x:c>
      <x:c r="P38" t="n">
        <x:v>0</x:v>
      </x:c>
      <x:c r="Q38" t="str">
        <x:v>Near miss</x:v>
      </x:c>
      <x:c r="R38" t="str">
        <x:v>In progress</x:v>
      </x:c>
      <x:c r="S38" t="str">
        <x:v>Inspection</x:v>
      </x:c>
      <x:c r="T38" t="n">
        <x:v>0.5</x:v>
      </x:c>
      <x:c r="U38" t="n">
        <x:v>11.8</x:v>
      </x:c>
    </x:row>
    <x:row r="39">
      <x:c r="A39" s="12" t="n">
        <x:v>46039</x:v>
      </x:c>
      <x:c r="B39" t="str">
        <x:v>B</x:v>
      </x:c>
      <x:c r="C39" t="str">
        <x:v>Desiccated Coconut</x:v>
      </x:c>
      <x:c r="D39" t="str">
        <x:v>Dryer 4</x:v>
      </x:c>
      <x:c r="E39" t="str">
        <x:v>Sup 1</x:v>
      </x:c>
      <x:c r="F39" t="n">
        <x:v>450</x:v>
      </x:c>
      <x:c r="G39" t="n">
        <x:v>30</x:v>
      </x:c>
      <x:c r="H39" t="n">
        <x:v>35</x:v>
      </x:c>
      <x:c r="I39" t="n">
        <x:v>1222</x:v>
      </x:c>
      <x:c r="J39" t="n">
        <x:v>1003</x:v>
      </x:c>
      <x:c r="K39" t="n">
        <x:v>31</x:v>
      </x:c>
      <x:c r="L39" t="n">
        <x:v>18</x:v>
      </x:c>
      <x:c r="M39" t="n">
        <x:v>90.9</x:v>
      </x:c>
      <x:c r="N39" t="n">
        <x:v>77</x:v>
      </x:c>
      <x:c r="O39" t="n">
        <x:v>74.1</x:v>
      </x:c>
      <x:c r="P39" t="n">
        <x:v>6</x:v>
      </x:c>
      <x:c r="Q39" t="str">
        <x:v>No incident</x:v>
      </x:c>
      <x:c r="R39" t="str">
        <x:v>N/A</x:v>
      </x:c>
      <x:c r="S39" t="str">
        <x:v>Inspection</x:v>
      </x:c>
      <x:c r="T39" t="n">
        <x:v>0.76</x:v>
      </x:c>
      <x:c r="U39" t="n">
        <x:v>8</x:v>
      </x:c>
    </x:row>
    <x:row r="40">
      <x:c r="A40" s="12" t="n">
        <x:v>46039</x:v>
      </x:c>
      <x:c r="B40" t="str">
        <x:v>C</x:v>
      </x:c>
      <x:c r="C40" t="str">
        <x:v>Dried Mango</x:v>
      </x:c>
      <x:c r="D40" t="str">
        <x:v>Dryer 2</x:v>
      </x:c>
      <x:c r="E40" t="str">
        <x:v>Sup 2</x:v>
      </x:c>
      <x:c r="F40" t="n">
        <x:v>420</x:v>
      </x:c>
      <x:c r="G40" t="n">
        <x:v>30</x:v>
      </x:c>
      <x:c r="H40" t="n">
        <x:v>32</x:v>
      </x:c>
      <x:c r="I40" t="n">
        <x:v>1671</x:v>
      </x:c>
      <x:c r="J40" t="n">
        <x:v>1487</x:v>
      </x:c>
      <x:c r="K40" t="n">
        <x:v>48</x:v>
      </x:c>
      <x:c r="L40" t="n">
        <x:v>31</x:v>
      </x:c>
      <x:c r="M40" t="n">
        <x:v>84</x:v>
      </x:c>
      <x:c r="N40" t="n">
        <x:v>71</x:v>
      </x:c>
      <x:c r="O40" t="n">
        <x:v>79.2</x:v>
      </x:c>
      <x:c r="P40" t="n">
        <x:v>1</x:v>
      </x:c>
      <x:c r="Q40" t="str">
        <x:v>No incident</x:v>
      </x:c>
      <x:c r="R40" t="str">
        <x:v>N/A</x:v>
      </x:c>
      <x:c r="S40" t="str">
        <x:v>Inspection</x:v>
      </x:c>
      <x:c r="T40" t="n">
        <x:v>0.5</x:v>
      </x:c>
      <x:c r="U40" t="n">
        <x:v>12.2</x:v>
      </x:c>
    </x:row>
    <x:row r="41">
      <x:c r="A41" s="12" t="n">
        <x:v>46040</x:v>
      </x:c>
      <x:c r="B41" t="str">
        <x:v>A</x:v>
      </x:c>
      <x:c r="C41" t="str">
        <x:v>Dried Pineapple</x:v>
      </x:c>
      <x:c r="D41" t="str">
        <x:v>Dryer 2</x:v>
      </x:c>
      <x:c r="E41" t="str">
        <x:v>Sup 1</x:v>
      </x:c>
      <x:c r="F41" t="n">
        <x:v>420</x:v>
      </x:c>
      <x:c r="G41" t="n">
        <x:v>0</x:v>
      </x:c>
      <x:c r="H41" t="n">
        <x:v>26</x:v>
      </x:c>
      <x:c r="I41" t="n">
        <x:v>1711</x:v>
      </x:c>
      <x:c r="J41" t="n">
        <x:v>1436</x:v>
      </x:c>
      <x:c r="K41" t="n">
        <x:v>35</x:v>
      </x:c>
      <x:c r="L41" t="n">
        <x:v>17</x:v>
      </x:c>
      <x:c r="M41" t="n">
        <x:v>100</x:v>
      </x:c>
      <x:c r="N41" t="n">
        <x:v>70.3</x:v>
      </x:c>
      <x:c r="O41" t="n">
        <x:v>73.6</x:v>
      </x:c>
      <x:c r="P41" t="n">
        <x:v>3</x:v>
      </x:c>
      <x:c r="Q41" t="str">
        <x:v>No incident</x:v>
      </x:c>
      <x:c r="R41" t="str">
        <x:v>N/A</x:v>
      </x:c>
      <x:c r="S41" t="str">
        <x:v>Corrective</x:v>
      </x:c>
      <x:c r="T41" t="n">
        <x:v>1.12</x:v>
      </x:c>
      <x:c r="U41" t="n">
        <x:v>10.8</x:v>
      </x:c>
    </x:row>
    <x:row r="42">
      <x:c r="A42" s="12" t="n">
        <x:v>46040</x:v>
      </x:c>
      <x:c r="B42" t="str">
        <x:v>B</x:v>
      </x:c>
      <x:c r="C42" t="str">
        <x:v>Dried Mango</x:v>
      </x:c>
      <x:c r="D42" t="str">
        <x:v>Dryer 1</x:v>
      </x:c>
      <x:c r="E42" t="str">
        <x:v>Sup 2</x:v>
      </x:c>
      <x:c r="F42" t="n">
        <x:v>420</x:v>
      </x:c>
      <x:c r="G42" t="n">
        <x:v>40</x:v>
      </x:c>
      <x:c r="H42" t="n">
        <x:v>39</x:v>
      </x:c>
      <x:c r="I42" t="n">
        <x:v>1761</x:v>
      </x:c>
      <x:c r="J42" t="n">
        <x:v>1450</x:v>
      </x:c>
      <x:c r="K42" t="n">
        <x:v>51</x:v>
      </x:c>
      <x:c r="L42" t="n">
        <x:v>10</x:v>
      </x:c>
      <x:c r="M42" t="n">
        <x:v>85.7</x:v>
      </x:c>
      <x:c r="N42" t="n">
        <x:v>84.3</x:v>
      </x:c>
      <x:c r="O42" t="n">
        <x:v>69.9</x:v>
      </x:c>
      <x:c r="P42" t="n">
        <x:v>5</x:v>
      </x:c>
      <x:c r="Q42" t="str">
        <x:v>No incident</x:v>
      </x:c>
      <x:c r="R42" t="str">
        <x:v>N/A</x:v>
      </x:c>
      <x:c r="S42" t="str">
        <x:v>Preventive</x:v>
      </x:c>
      <x:c r="T42" t="n">
        <x:v>1.07</x:v>
      </x:c>
      <x:c r="U42" t="n">
        <x:v>12.2</x:v>
      </x:c>
    </x:row>
    <x:row r="43">
      <x:c r="A43" s="12" t="n">
        <x:v>46040</x:v>
      </x:c>
      <x:c r="B43" t="str">
        <x:v>C</x:v>
      </x:c>
      <x:c r="C43" t="str">
        <x:v>Dried Mango</x:v>
      </x:c>
      <x:c r="D43" t="str">
        <x:v>Dryer 2</x:v>
      </x:c>
      <x:c r="E43" t="str">
        <x:v>Sup 3</x:v>
      </x:c>
      <x:c r="F43" t="n">
        <x:v>450</x:v>
      </x:c>
      <x:c r="G43" t="n">
        <x:v>40</x:v>
      </x:c>
      <x:c r="H43" t="n">
        <x:v>15</x:v>
      </x:c>
      <x:c r="I43" t="n">
        <x:v>1619</x:v>
      </x:c>
      <x:c r="J43" t="n">
        <x:v>1475</x:v>
      </x:c>
      <x:c r="K43" t="n">
        <x:v>66</x:v>
      </x:c>
      <x:c r="L43" t="n">
        <x:v>19</x:v>
      </x:c>
      <x:c r="M43" t="n">
        <x:v>94.6</x:v>
      </x:c>
      <x:c r="N43" t="n">
        <x:v>93.5</x:v>
      </x:c>
      <x:c r="O43" t="n">
        <x:v>85.2</x:v>
      </x:c>
      <x:c r="P43" t="n">
        <x:v>5</x:v>
      </x:c>
      <x:c r="Q43" t="str">
        <x:v>No incident</x:v>
      </x:c>
      <x:c r="R43" t="str">
        <x:v>N/A</x:v>
      </x:c>
      <x:c r="S43" t="str">
        <x:v>Corrective</x:v>
      </x:c>
      <x:c r="T43" t="n">
        <x:v>1.52</x:v>
      </x:c>
      <x:c r="U43" t="n">
        <x:v>12.5</x:v>
      </x:c>
    </x:row>
    <x:row r="44">
      <x:c r="A44" s="12" t="n">
        <x:v>46041</x:v>
      </x:c>
      <x:c r="B44" t="str">
        <x:v>A</x:v>
      </x:c>
      <x:c r="C44" t="str">
        <x:v>Dried Mango</x:v>
      </x:c>
      <x:c r="D44" t="str">
        <x:v>Dryer 4</x:v>
      </x:c>
      <x:c r="E44" t="str">
        <x:v>Sup 2</x:v>
      </x:c>
      <x:c r="F44" t="n">
        <x:v>480</x:v>
      </x:c>
      <x:c r="G44" t="n">
        <x:v>30</x:v>
      </x:c>
      <x:c r="H44" t="n">
        <x:v>37</x:v>
      </x:c>
      <x:c r="I44" t="n">
        <x:v>1541</x:v>
      </x:c>
      <x:c r="J44" t="n">
        <x:v>1279</x:v>
      </x:c>
      <x:c r="K44" t="n">
        <x:v>39</x:v>
      </x:c>
      <x:c r="L44" t="n">
        <x:v>21</x:v>
      </x:c>
      <x:c r="M44" t="n">
        <x:v>88.4</x:v>
      </x:c>
      <x:c r="N44" t="n">
        <x:v>65.9</x:v>
      </x:c>
      <x:c r="O44" t="n">
        <x:v>81.6</x:v>
      </x:c>
      <x:c r="P44" t="n">
        <x:v>0</x:v>
      </x:c>
      <x:c r="Q44" t="str">
        <x:v>No incident</x:v>
      </x:c>
      <x:c r="R44" t="str">
        <x:v>N/A</x:v>
      </x:c>
      <x:c r="S44" t="str">
        <x:v>Inspection</x:v>
      </x:c>
      <x:c r="T44" t="n">
        <x:v>0.5</x:v>
      </x:c>
      <x:c r="U44" t="n">
        <x:v>9.8</x:v>
      </x:c>
    </x:row>
    <x:row r="45">
      <x:c r="A45" s="12" t="n">
        <x:v>46041</x:v>
      </x:c>
      <x:c r="B45" t="str">
        <x:v>B</x:v>
      </x:c>
      <x:c r="C45" t="str">
        <x:v>Dried Mango</x:v>
      </x:c>
      <x:c r="D45" t="str">
        <x:v>Dryer 1</x:v>
      </x:c>
      <x:c r="E45" t="str">
        <x:v>Sup 1</x:v>
      </x:c>
      <x:c r="F45" t="n">
        <x:v>450</x:v>
      </x:c>
      <x:c r="G45" t="n">
        <x:v>40</x:v>
      </x:c>
      <x:c r="H45" t="n">
        <x:v>29</x:v>
      </x:c>
      <x:c r="I45" t="n">
        <x:v>1591</x:v>
      </x:c>
      <x:c r="J45" t="n">
        <x:v>1357</x:v>
      </x:c>
      <x:c r="K45" t="n">
        <x:v>59</x:v>
      </x:c>
      <x:c r="L45" t="n">
        <x:v>25</x:v>
      </x:c>
      <x:c r="M45" t="n">
        <x:v>92.8</x:v>
      </x:c>
      <x:c r="N45" t="n">
        <x:v>79.3</x:v>
      </x:c>
      <x:c r="O45" t="n">
        <x:v>73.7</x:v>
      </x:c>
      <x:c r="P45" t="n">
        <x:v>5</x:v>
      </x:c>
      <x:c r="Q45" t="str">
        <x:v>No incident</x:v>
      </x:c>
      <x:c r="R45" t="str">
        <x:v>N/A</x:v>
      </x:c>
      <x:c r="S45" t="str">
        <x:v>Preventive</x:v>
      </x:c>
      <x:c r="T45" t="n">
        <x:v>1.18</x:v>
      </x:c>
      <x:c r="U45" t="n">
        <x:v>10.5</x:v>
      </x:c>
    </x:row>
    <x:row r="46">
      <x:c r="A46" s="12" t="n">
        <x:v>46041</x:v>
      </x:c>
      <x:c r="B46" t="str">
        <x:v>C</x:v>
      </x:c>
      <x:c r="C46" t="str">
        <x:v>Desiccated Coconut</x:v>
      </x:c>
      <x:c r="D46" t="str">
        <x:v>Dryer 1</x:v>
      </x:c>
      <x:c r="E46" t="str">
        <x:v>Sup 1</x:v>
      </x:c>
      <x:c r="F46" t="n">
        <x:v>480</x:v>
      </x:c>
      <x:c r="G46" t="n">
        <x:v>0</x:v>
      </x:c>
      <x:c r="H46" t="n">
        <x:v>44</x:v>
      </x:c>
      <x:c r="I46" t="n">
        <x:v>1290</x:v>
      </x:c>
      <x:c r="J46" t="n">
        <x:v>1146</x:v>
      </x:c>
      <x:c r="K46" t="n">
        <x:v>41</x:v>
      </x:c>
      <x:c r="L46" t="n">
        <x:v>8</x:v>
      </x:c>
      <x:c r="M46" t="n">
        <x:v>93.7</x:v>
      </x:c>
      <x:c r="N46" t="n">
        <x:v>81.2</x:v>
      </x:c>
      <x:c r="O46" t="n">
        <x:v>69.3</x:v>
      </x:c>
      <x:c r="P46" t="n">
        <x:v>2</x:v>
      </x:c>
      <x:c r="Q46" t="str">
        <x:v>No incident</x:v>
      </x:c>
      <x:c r="R46" t="str">
        <x:v>N/A</x:v>
      </x:c>
      <x:c r="S46" t="str">
        <x:v>Inspection</x:v>
      </x:c>
      <x:c r="T46" t="n">
        <x:v>1.18</x:v>
      </x:c>
      <x:c r="U46" t="n">
        <x:v>10.2</x:v>
      </x:c>
    </x:row>
    <x:row r="47">
      <x:c r="A47" s="12" t="n">
        <x:v>46042</x:v>
      </x:c>
      <x:c r="B47" t="str">
        <x:v>A</x:v>
      </x:c>
      <x:c r="C47" t="str">
        <x:v>Dried Pineapple</x:v>
      </x:c>
      <x:c r="D47" t="str">
        <x:v>Dryer 4</x:v>
      </x:c>
      <x:c r="E47" t="str">
        <x:v>Sup 3</x:v>
      </x:c>
      <x:c r="F47" t="n">
        <x:v>480</x:v>
      </x:c>
      <x:c r="G47" t="n">
        <x:v>30</x:v>
      </x:c>
      <x:c r="H47" t="n">
        <x:v>44</x:v>
      </x:c>
      <x:c r="I47" t="n">
        <x:v>1650</x:v>
      </x:c>
      <x:c r="J47" t="n">
        <x:v>1495</x:v>
      </x:c>
      <x:c r="K47" t="n">
        <x:v>40</x:v>
      </x:c>
      <x:c r="L47" t="n">
        <x:v>14</x:v>
      </x:c>
      <x:c r="M47" t="n">
        <x:v>85.9</x:v>
      </x:c>
      <x:c r="N47" t="n">
        <x:v>84.2</x:v>
      </x:c>
      <x:c r="O47" t="n">
        <x:v>71.3</x:v>
      </x:c>
      <x:c r="P47" t="n">
        <x:v>5</x:v>
      </x:c>
      <x:c r="Q47" t="str">
        <x:v>No incident</x:v>
      </x:c>
      <x:c r="R47" t="str">
        <x:v>N/A</x:v>
      </x:c>
      <x:c r="S47" t="str">
        <x:v>Corrective</x:v>
      </x:c>
      <x:c r="T47" t="n">
        <x:v>1.57</x:v>
      </x:c>
      <x:c r="U47" t="n">
        <x:v>13.2</x:v>
      </x:c>
    </x:row>
    <x:row r="48">
      <x:c r="A48" s="12" t="n">
        <x:v>46042</x:v>
      </x:c>
      <x:c r="B48" t="str">
        <x:v>B</x:v>
      </x:c>
      <x:c r="C48" t="str">
        <x:v>Dried Mango</x:v>
      </x:c>
      <x:c r="D48" t="str">
        <x:v>Dryer 4</x:v>
      </x:c>
      <x:c r="E48" t="str">
        <x:v>Sup 2</x:v>
      </x:c>
      <x:c r="F48" t="n">
        <x:v>450</x:v>
      </x:c>
      <x:c r="G48" t="n">
        <x:v>20</x:v>
      </x:c>
      <x:c r="H48" t="n">
        <x:v>19</x:v>
      </x:c>
      <x:c r="I48" t="n">
        <x:v>1626</x:v>
      </x:c>
      <x:c r="J48" t="n">
        <x:v>1477</x:v>
      </x:c>
      <x:c r="K48" t="n">
        <x:v>50</x:v>
      </x:c>
      <x:c r="L48" t="n">
        <x:v>22</x:v>
      </x:c>
      <x:c r="M48" t="n">
        <x:v>96.2</x:v>
      </x:c>
      <x:c r="N48" t="n">
        <x:v>95.9</x:v>
      </x:c>
      <x:c r="O48" t="n">
        <x:v>72.1</x:v>
      </x:c>
      <x:c r="P48" t="n">
        <x:v>5</x:v>
      </x:c>
      <x:c r="Q48" t="str">
        <x:v>No incident</x:v>
      </x:c>
      <x:c r="R48" t="str">
        <x:v>N/A</x:v>
      </x:c>
      <x:c r="S48" t="str">
        <x:v>Preventive</x:v>
      </x:c>
      <x:c r="T48" t="n">
        <x:v>0.95</x:v>
      </x:c>
      <x:c r="U48" t="n">
        <x:v>12.4</x:v>
      </x:c>
    </x:row>
    <x:row r="49">
      <x:c r="A49" s="12" t="n">
        <x:v>46042</x:v>
      </x:c>
      <x:c r="B49" t="str">
        <x:v>C</x:v>
      </x:c>
      <x:c r="C49" t="str">
        <x:v>Dried Pineapple</x:v>
      </x:c>
      <x:c r="D49" t="str">
        <x:v>Dryer 2</x:v>
      </x:c>
      <x:c r="E49" t="str">
        <x:v>Sup 2</x:v>
      </x:c>
      <x:c r="F49" t="n">
        <x:v>450</x:v>
      </x:c>
      <x:c r="G49" t="n">
        <x:v>0</x:v>
      </x:c>
      <x:c r="H49" t="n">
        <x:v>5</x:v>
      </x:c>
      <x:c r="I49" t="n">
        <x:v>1737</x:v>
      </x:c>
      <x:c r="J49" t="n">
        <x:v>1543</x:v>
      </x:c>
      <x:c r="K49" t="n">
        <x:v>41</x:v>
      </x:c>
      <x:c r="L49" t="n">
        <x:v>20</x:v>
      </x:c>
      <x:c r="M49" t="n">
        <x:v>98</x:v>
      </x:c>
      <x:c r="N49" t="n">
        <x:v>82.7</x:v>
      </x:c>
      <x:c r="O49" t="n">
        <x:v>76.5</x:v>
      </x:c>
      <x:c r="P49" t="n">
        <x:v>1</x:v>
      </x:c>
      <x:c r="Q49" t="str">
        <x:v>Recordable</x:v>
      </x:c>
      <x:c r="R49" t="str">
        <x:v>Open</x:v>
      </x:c>
      <x:c r="S49" t="str">
        <x:v>Corrective</x:v>
      </x:c>
      <x:c r="T49" t="n">
        <x:v>0.96</x:v>
      </x:c>
      <x:c r="U49" t="n">
        <x:v>12.4</x:v>
      </x:c>
    </x:row>
    <x:row r="50">
      <x:c r="A50" s="12" t="n">
        <x:v>46043</x:v>
      </x:c>
      <x:c r="B50" t="str">
        <x:v>A</x:v>
      </x:c>
      <x:c r="C50" t="str">
        <x:v>Dried Mango</x:v>
      </x:c>
      <x:c r="D50" t="str">
        <x:v>Dryer 3</x:v>
      </x:c>
      <x:c r="E50" t="str">
        <x:v>Sup 3</x:v>
      </x:c>
      <x:c r="F50" t="n">
        <x:v>420</x:v>
      </x:c>
      <x:c r="G50" t="n">
        <x:v>30</x:v>
      </x:c>
      <x:c r="H50" t="n">
        <x:v>64</x:v>
      </x:c>
      <x:c r="I50" t="n">
        <x:v>1553</x:v>
      </x:c>
      <x:c r="J50" t="n">
        <x:v>1278</x:v>
      </x:c>
      <x:c r="K50" t="n">
        <x:v>54</x:v>
      </x:c>
      <x:c r="L50" t="n">
        <x:v>21</x:v>
      </x:c>
      <x:c r="M50" t="n">
        <x:v>100</x:v>
      </x:c>
      <x:c r="N50" t="n">
        <x:v>89.8</x:v>
      </x:c>
      <x:c r="O50" t="n">
        <x:v>80.4</x:v>
      </x:c>
      <x:c r="P50" t="n">
        <x:v>8</x:v>
      </x:c>
      <x:c r="Q50" t="str">
        <x:v>No incident</x:v>
      </x:c>
      <x:c r="R50" t="str">
        <x:v>N/A</x:v>
      </x:c>
      <x:c r="S50" t="str">
        <x:v>Inspection</x:v>
      </x:c>
      <x:c r="T50" t="n">
        <x:v>0.53</x:v>
      </x:c>
      <x:c r="U50" t="n">
        <x:v>11.5</x:v>
      </x:c>
    </x:row>
    <x:row r="51">
      <x:c r="A51" s="12" t="n">
        <x:v>46043</x:v>
      </x:c>
      <x:c r="B51" t="str">
        <x:v>B</x:v>
      </x:c>
      <x:c r="C51" t="str">
        <x:v>Dried Pineapple</x:v>
      </x:c>
      <x:c r="D51" t="str">
        <x:v>Dryer 2</x:v>
      </x:c>
      <x:c r="E51" t="str">
        <x:v>Sup 3</x:v>
      </x:c>
      <x:c r="F51" t="n">
        <x:v>420</x:v>
      </x:c>
      <x:c r="G51" t="n">
        <x:v>20</x:v>
      </x:c>
      <x:c r="H51" t="n">
        <x:v>38</x:v>
      </x:c>
      <x:c r="I51" t="n">
        <x:v>1639</x:v>
      </x:c>
      <x:c r="J51" t="n">
        <x:v>1452</x:v>
      </x:c>
      <x:c r="K51" t="n">
        <x:v>56</x:v>
      </x:c>
      <x:c r="L51" t="n">
        <x:v>32</x:v>
      </x:c>
      <x:c r="M51" t="n">
        <x:v>91.6</x:v>
      </x:c>
      <x:c r="N51" t="n">
        <x:v>82.7</x:v>
      </x:c>
      <x:c r="O51" t="n">
        <x:v>81.5</x:v>
      </x:c>
      <x:c r="P51" t="n">
        <x:v>3</x:v>
      </x:c>
      <x:c r="Q51" t="str">
        <x:v>No incident</x:v>
      </x:c>
      <x:c r="R51" t="str">
        <x:v>N/A</x:v>
      </x:c>
      <x:c r="S51" t="str">
        <x:v>Preventive</x:v>
      </x:c>
      <x:c r="T51" t="n">
        <x:v>0.89</x:v>
      </x:c>
      <x:c r="U51" t="n">
        <x:v>11.4</x:v>
      </x:c>
    </x:row>
    <x:row r="52">
      <x:c r="A52" s="12" t="n">
        <x:v>46043</x:v>
      </x:c>
      <x:c r="B52" t="str">
        <x:v>C</x:v>
      </x:c>
      <x:c r="C52" t="str">
        <x:v>Desiccated Coconut</x:v>
      </x:c>
      <x:c r="D52" t="str">
        <x:v>Dryer 3</x:v>
      </x:c>
      <x:c r="E52" t="str">
        <x:v>Sup 3</x:v>
      </x:c>
      <x:c r="F52" t="n">
        <x:v>480</x:v>
      </x:c>
      <x:c r="G52" t="n">
        <x:v>0</x:v>
      </x:c>
      <x:c r="H52" t="n">
        <x:v>110</x:v>
      </x:c>
      <x:c r="I52" t="n">
        <x:v>1274</x:v>
      </x:c>
      <x:c r="J52" t="n">
        <x:v>1016</x:v>
      </x:c>
      <x:c r="K52" t="n">
        <x:v>44</x:v>
      </x:c>
      <x:c r="L52" t="n">
        <x:v>19</x:v>
      </x:c>
      <x:c r="M52" t="n">
        <x:v>80.2</x:v>
      </x:c>
      <x:c r="N52" t="n">
        <x:v>75</x:v>
      </x:c>
      <x:c r="O52" t="n">
        <x:v>68.3</x:v>
      </x:c>
      <x:c r="P52" t="n">
        <x:v>0</x:v>
      </x:c>
      <x:c r="Q52" t="str">
        <x:v>No incident</x:v>
      </x:c>
      <x:c r="R52" t="str">
        <x:v>N/A</x:v>
      </x:c>
      <x:c r="S52" t="str">
        <x:v>Inspection</x:v>
      </x:c>
      <x:c r="T52" t="n">
        <x:v>0.5</x:v>
      </x:c>
      <x:c r="U52" t="n">
        <x:v>8.9</x:v>
      </x:c>
    </x:row>
    <x:row r="53">
      <x:c r="A53" s="12" t="n">
        <x:v>46044</x:v>
      </x:c>
      <x:c r="B53" t="str">
        <x:v>A</x:v>
      </x:c>
      <x:c r="C53" t="str">
        <x:v>Dried Mango</x:v>
      </x:c>
      <x:c r="D53" t="str">
        <x:v>Dryer 2</x:v>
      </x:c>
      <x:c r="E53" t="str">
        <x:v>Sup 2</x:v>
      </x:c>
      <x:c r="F53" t="n">
        <x:v>420</x:v>
      </x:c>
      <x:c r="G53" t="n">
        <x:v>40</x:v>
      </x:c>
      <x:c r="H53" t="n">
        <x:v>42</x:v>
      </x:c>
      <x:c r="I53" t="n">
        <x:v>1751</x:v>
      </x:c>
      <x:c r="J53" t="n">
        <x:v>1615</x:v>
      </x:c>
      <x:c r="K53" t="n">
        <x:v>43</x:v>
      </x:c>
      <x:c r="L53" t="n">
        <x:v>18</x:v>
      </x:c>
      <x:c r="M53" t="n">
        <x:v>92.5</x:v>
      </x:c>
      <x:c r="N53" t="n">
        <x:v>75.1</x:v>
      </x:c>
      <x:c r="O53" t="n">
        <x:v>78.1</x:v>
      </x:c>
      <x:c r="P53" t="n">
        <x:v>3</x:v>
      </x:c>
      <x:c r="Q53" t="str">
        <x:v>Near miss</x:v>
      </x:c>
      <x:c r="R53" t="str">
        <x:v>Closed</x:v>
      </x:c>
      <x:c r="S53" t="str">
        <x:v>Inspection</x:v>
      </x:c>
      <x:c r="T53" t="n">
        <x:v>0.88</x:v>
      </x:c>
      <x:c r="U53" t="n">
        <x:v>14.2</x:v>
      </x:c>
    </x:row>
    <x:row r="54">
      <x:c r="A54" s="12" t="n">
        <x:v>46044</x:v>
      </x:c>
      <x:c r="B54" t="str">
        <x:v>B</x:v>
      </x:c>
      <x:c r="C54" t="str">
        <x:v>Dried Pineapple</x:v>
      </x:c>
      <x:c r="D54" t="str">
        <x:v>Dryer 2</x:v>
      </x:c>
      <x:c r="E54" t="str">
        <x:v>Sup 3</x:v>
      </x:c>
      <x:c r="F54" t="n">
        <x:v>480</x:v>
      </x:c>
      <x:c r="G54" t="n">
        <x:v>40</x:v>
      </x:c>
      <x:c r="H54" t="n">
        <x:v>16</x:v>
      </x:c>
      <x:c r="I54" t="n">
        <x:v>1763</x:v>
      </x:c>
      <x:c r="J54" t="n">
        <x:v>1684</x:v>
      </x:c>
      <x:c r="K54" t="n">
        <x:v>68</x:v>
      </x:c>
      <x:c r="L54" t="n">
        <x:v>38</x:v>
      </x:c>
      <x:c r="M54" t="n">
        <x:v>91.6</x:v>
      </x:c>
      <x:c r="N54" t="n">
        <x:v>88.1</x:v>
      </x:c>
      <x:c r="O54" t="n">
        <x:v>86.1</x:v>
      </x:c>
      <x:c r="P54" t="n">
        <x:v>2</x:v>
      </x:c>
      <x:c r="Q54" t="str">
        <x:v>Near miss</x:v>
      </x:c>
      <x:c r="R54" t="str">
        <x:v>In progress</x:v>
      </x:c>
      <x:c r="S54" t="str">
        <x:v>Preventive</x:v>
      </x:c>
      <x:c r="T54" t="n">
        <x:v>0.9</x:v>
      </x:c>
      <x:c r="U54" t="n">
        <x:v>14.4</x:v>
      </x:c>
    </x:row>
    <x:row r="55">
      <x:c r="A55" s="12" t="n">
        <x:v>46044</x:v>
      </x:c>
      <x:c r="B55" t="str">
        <x:v>C</x:v>
      </x:c>
      <x:c r="C55" t="str">
        <x:v>Dried Pineapple</x:v>
      </x:c>
      <x:c r="D55" t="str">
        <x:v>Dryer 3</x:v>
      </x:c>
      <x:c r="E55" t="str">
        <x:v>Sup 1</x:v>
      </x:c>
      <x:c r="F55" t="n">
        <x:v>480</x:v>
      </x:c>
      <x:c r="G55" t="n">
        <x:v>0</x:v>
      </x:c>
      <x:c r="H55" t="n">
        <x:v>51</x:v>
      </x:c>
      <x:c r="I55" t="n">
        <x:v>1814</x:v>
      </x:c>
      <x:c r="J55" t="n">
        <x:v>1471</x:v>
      </x:c>
      <x:c r="K55" t="n">
        <x:v>57</x:v>
      </x:c>
      <x:c r="L55" t="n">
        <x:v>15</x:v>
      </x:c>
      <x:c r="M55" t="n">
        <x:v>89.5</x:v>
      </x:c>
      <x:c r="N55" t="n">
        <x:v>72.7</x:v>
      </x:c>
      <x:c r="O55" t="n">
        <x:v>76.7</x:v>
      </x:c>
      <x:c r="P55" t="n">
        <x:v>1</x:v>
      </x:c>
      <x:c r="Q55" t="str">
        <x:v>Recordable</x:v>
      </x:c>
      <x:c r="R55" t="str">
        <x:v>In progress</x:v>
      </x:c>
      <x:c r="S55" t="str">
        <x:v>Corrective</x:v>
      </x:c>
      <x:c r="T55" t="n">
        <x:v>1.13</x:v>
      </x:c>
      <x:c r="U55" t="n">
        <x:v>12.9</x:v>
      </x:c>
    </x:row>
    <x:row r="56">
      <x:c r="A56" s="12" t="n">
        <x:v>46045</x:v>
      </x:c>
      <x:c r="B56" t="str">
        <x:v>A</x:v>
      </x:c>
      <x:c r="C56" t="str">
        <x:v>Desiccated Coconut</x:v>
      </x:c>
      <x:c r="D56" t="str">
        <x:v>Dryer 1</x:v>
      </x:c>
      <x:c r="E56" t="str">
        <x:v>Sup 1</x:v>
      </x:c>
      <x:c r="F56" t="n">
        <x:v>480</x:v>
      </x:c>
      <x:c r="G56" t="n">
        <x:v>20</x:v>
      </x:c>
      <x:c r="H56" t="n">
        <x:v>48</x:v>
      </x:c>
      <x:c r="I56" t="n">
        <x:v>1233</x:v>
      </x:c>
      <x:c r="J56" t="n">
        <x:v>991</x:v>
      </x:c>
      <x:c r="K56" t="n">
        <x:v>21</x:v>
      </x:c>
      <x:c r="L56" t="n">
        <x:v>4</x:v>
      </x:c>
      <x:c r="M56" t="n">
        <x:v>81.8</x:v>
      </x:c>
      <x:c r="N56" t="n">
        <x:v>94.9</x:v>
      </x:c>
      <x:c r="O56" t="n">
        <x:v>79.8</x:v>
      </x:c>
      <x:c r="P56" t="n">
        <x:v>7</x:v>
      </x:c>
      <x:c r="Q56" t="str">
        <x:v>No incident</x:v>
      </x:c>
      <x:c r="R56" t="str">
        <x:v>N/A</x:v>
      </x:c>
      <x:c r="S56" t="str">
        <x:v>Corrective</x:v>
      </x:c>
      <x:c r="T56" t="n">
        <x:v>1.22</x:v>
      </x:c>
      <x:c r="U56" t="n">
        <x:v>9</x:v>
      </x:c>
    </x:row>
    <x:row r="57">
      <x:c r="A57" s="12" t="n">
        <x:v>46045</x:v>
      </x:c>
      <x:c r="B57" t="str">
        <x:v>B</x:v>
      </x:c>
      <x:c r="C57" t="str">
        <x:v>Dried Pineapple</x:v>
      </x:c>
      <x:c r="D57" t="str">
        <x:v>Dryer 1</x:v>
      </x:c>
      <x:c r="E57" t="str">
        <x:v>Sup 2</x:v>
      </x:c>
      <x:c r="F57" t="n">
        <x:v>420</x:v>
      </x:c>
      <x:c r="G57" t="n">
        <x:v>30</x:v>
      </x:c>
      <x:c r="H57" t="n">
        <x:v>30</x:v>
      </x:c>
      <x:c r="I57" t="n">
        <x:v>1826</x:v>
      </x:c>
      <x:c r="J57" t="n">
        <x:v>1668</x:v>
      </x:c>
      <x:c r="K57" t="n">
        <x:v>67</x:v>
      </x:c>
      <x:c r="L57" t="n">
        <x:v>29</x:v>
      </x:c>
      <x:c r="M57" t="n">
        <x:v>86</x:v>
      </x:c>
      <x:c r="N57" t="n">
        <x:v>80.5</x:v>
      </x:c>
      <x:c r="O57" t="n">
        <x:v>81.5</x:v>
      </x:c>
      <x:c r="P57" t="n">
        <x:v>5</x:v>
      </x:c>
      <x:c r="Q57" t="str">
        <x:v>No incident</x:v>
      </x:c>
      <x:c r="R57" t="str">
        <x:v>N/A</x:v>
      </x:c>
      <x:c r="S57" t="str">
        <x:v>Corrective</x:v>
      </x:c>
      <x:c r="T57" t="n">
        <x:v>1.22</x:v>
      </x:c>
      <x:c r="U57" t="n">
        <x:v>14.3</x:v>
      </x:c>
    </x:row>
    <x:row r="58">
      <x:c r="A58" s="12" t="n">
        <x:v>46045</x:v>
      </x:c>
      <x:c r="B58" t="str">
        <x:v>C</x:v>
      </x:c>
      <x:c r="C58" t="str">
        <x:v>Dried Mango</x:v>
      </x:c>
      <x:c r="D58" t="str">
        <x:v>Dryer 1</x:v>
      </x:c>
      <x:c r="E58" t="str">
        <x:v>Sup 3</x:v>
      </x:c>
      <x:c r="F58" t="n">
        <x:v>420</x:v>
      </x:c>
      <x:c r="G58" t="n">
        <x:v>0</x:v>
      </x:c>
      <x:c r="H58" t="n">
        <x:v>42</x:v>
      </x:c>
      <x:c r="I58" t="n">
        <x:v>1724</x:v>
      </x:c>
      <x:c r="J58" t="n">
        <x:v>1386</x:v>
      </x:c>
      <x:c r="K58" t="n">
        <x:v>57</x:v>
      </x:c>
      <x:c r="L58" t="n">
        <x:v>31</x:v>
      </x:c>
      <x:c r="M58" t="n">
        <x:v>89</x:v>
      </x:c>
      <x:c r="N58" t="n">
        <x:v>90.5</x:v>
      </x:c>
      <x:c r="O58" t="n">
        <x:v>82.2</x:v>
      </x:c>
      <x:c r="P58" t="n">
        <x:v>5</x:v>
      </x:c>
      <x:c r="Q58" t="str">
        <x:v>No incident</x:v>
      </x:c>
      <x:c r="R58" t="str">
        <x:v>N/A</x:v>
      </x:c>
      <x:c r="S58" t="str">
        <x:v>Preventive</x:v>
      </x:c>
      <x:c r="T58" t="n">
        <x:v>0.88</x:v>
      </x:c>
      <x:c r="U58" t="n">
        <x:v>10.4</x:v>
      </x:c>
    </x:row>
    <x:row r="59">
      <x:c r="A59" s="12" t="n">
        <x:v>46046</x:v>
      </x:c>
      <x:c r="B59" t="str">
        <x:v>A</x:v>
      </x:c>
      <x:c r="C59" t="str">
        <x:v>Desiccated Coconut</x:v>
      </x:c>
      <x:c r="D59" t="str">
        <x:v>Dryer 4</x:v>
      </x:c>
      <x:c r="E59" t="str">
        <x:v>Sup 2</x:v>
      </x:c>
      <x:c r="F59" t="n">
        <x:v>450</x:v>
      </x:c>
      <x:c r="G59" t="n">
        <x:v>0</x:v>
      </x:c>
      <x:c r="H59" t="n">
        <x:v>48</x:v>
      </x:c>
      <x:c r="I59" t="n">
        <x:v>1208</x:v>
      </x:c>
      <x:c r="J59" t="n">
        <x:v>1048</x:v>
      </x:c>
      <x:c r="K59" t="n">
        <x:v>26</x:v>
      </x:c>
      <x:c r="L59" t="n">
        <x:v>17</x:v>
      </x:c>
      <x:c r="M59" t="n">
        <x:v>84.4</x:v>
      </x:c>
      <x:c r="N59" t="n">
        <x:v>90.3</x:v>
      </x:c>
      <x:c r="O59" t="n">
        <x:v>65.9</x:v>
      </x:c>
      <x:c r="P59" t="n">
        <x:v>3</x:v>
      </x:c>
      <x:c r="Q59" t="str">
        <x:v>No incident</x:v>
      </x:c>
      <x:c r="R59" t="str">
        <x:v>N/A</x:v>
      </x:c>
      <x:c r="S59" t="str">
        <x:v>Inspection</x:v>
      </x:c>
      <x:c r="T59" t="n">
        <x:v>0.5</x:v>
      </x:c>
      <x:c r="U59" t="n">
        <x:v>9.1</x:v>
      </x:c>
    </x:row>
    <x:row r="60">
      <x:c r="A60" s="12" t="n">
        <x:v>46046</x:v>
      </x:c>
      <x:c r="B60" t="str">
        <x:v>B</x:v>
      </x:c>
      <x:c r="C60" t="str">
        <x:v>Desiccated Coconut</x:v>
      </x:c>
      <x:c r="D60" t="str">
        <x:v>Dryer 2</x:v>
      </x:c>
      <x:c r="E60" t="str">
        <x:v>Sup 3</x:v>
      </x:c>
      <x:c r="F60" t="n">
        <x:v>480</x:v>
      </x:c>
      <x:c r="G60" t="n">
        <x:v>40</x:v>
      </x:c>
      <x:c r="H60" t="n">
        <x:v>70</x:v>
      </x:c>
      <x:c r="I60" t="n">
        <x:v>1128</x:v>
      </x:c>
      <x:c r="J60" t="n">
        <x:v>841</x:v>
      </x:c>
      <x:c r="K60" t="n">
        <x:v>14</x:v>
      </x:c>
      <x:c r="L60" t="n">
        <x:v>6</x:v>
      </x:c>
      <x:c r="M60" t="n">
        <x:v>96.7</x:v>
      </x:c>
      <x:c r="N60" t="n">
        <x:v>73.9</x:v>
      </x:c>
      <x:c r="O60" t="n">
        <x:v>63.1</x:v>
      </x:c>
      <x:c r="P60" t="n">
        <x:v>2</x:v>
      </x:c>
      <x:c r="Q60" t="str">
        <x:v>No incident</x:v>
      </x:c>
      <x:c r="R60" t="str">
        <x:v>N/A</x:v>
      </x:c>
      <x:c r="S60" t="str">
        <x:v>Inspection</x:v>
      </x:c>
      <x:c r="T60" t="n">
        <x:v>0.86</x:v>
      </x:c>
      <x:c r="U60" t="n">
        <x:v>6.4</x:v>
      </x:c>
    </x:row>
    <x:row r="61">
      <x:c r="A61" s="12" t="n">
        <x:v>46046</x:v>
      </x:c>
      <x:c r="B61" t="str">
        <x:v>C</x:v>
      </x:c>
      <x:c r="C61" t="str">
        <x:v>Desiccated Coconut</x:v>
      </x:c>
      <x:c r="D61" t="str">
        <x:v>Dryer 3</x:v>
      </x:c>
      <x:c r="E61" t="str">
        <x:v>Sup 2</x:v>
      </x:c>
      <x:c r="F61" t="n">
        <x:v>420</x:v>
      </x:c>
      <x:c r="G61" t="n">
        <x:v>40</x:v>
      </x:c>
      <x:c r="H61" t="n">
        <x:v>83</x:v>
      </x:c>
      <x:c r="I61" t="n">
        <x:v>1168</x:v>
      </x:c>
      <x:c r="J61" t="n">
        <x:v>817</x:v>
      </x:c>
      <x:c r="K61" t="n">
        <x:v>32</x:v>
      </x:c>
      <x:c r="L61" t="n">
        <x:v>17</x:v>
      </x:c>
      <x:c r="M61" t="n">
        <x:v>91.2</x:v>
      </x:c>
      <x:c r="N61" t="n">
        <x:v>66.4</x:v>
      </x:c>
      <x:c r="O61" t="n">
        <x:v>69.4</x:v>
      </x:c>
      <x:c r="P61" t="n">
        <x:v>1</x:v>
      </x:c>
      <x:c r="Q61" t="str">
        <x:v>No incident</x:v>
      </x:c>
      <x:c r="R61" t="str">
        <x:v>N/A</x:v>
      </x:c>
      <x:c r="S61" t="str">
        <x:v>Preventive</x:v>
      </x:c>
      <x:c r="T61" t="n">
        <x:v>0.5</x:v>
      </x:c>
      <x:c r="U61" t="n">
        <x:v>6.4</x:v>
      </x:c>
    </x:row>
    <x:row r="62">
      <x:c r="A62" s="12" t="n">
        <x:v>46047</x:v>
      </x:c>
      <x:c r="B62" t="str">
        <x:v>A</x:v>
      </x:c>
      <x:c r="C62" t="str">
        <x:v>Dried Mango</x:v>
      </x:c>
      <x:c r="D62" t="str">
        <x:v>Dryer 4</x:v>
      </x:c>
      <x:c r="E62" t="str">
        <x:v>Sup 1</x:v>
      </x:c>
      <x:c r="F62" t="n">
        <x:v>450</x:v>
      </x:c>
      <x:c r="G62" t="n">
        <x:v>0</x:v>
      </x:c>
      <x:c r="H62" t="n">
        <x:v>30</x:v>
      </x:c>
      <x:c r="I62" t="n">
        <x:v>1711</x:v>
      </x:c>
      <x:c r="J62" t="n">
        <x:v>1470</x:v>
      </x:c>
      <x:c r="K62" t="n">
        <x:v>60</x:v>
      </x:c>
      <x:c r="L62" t="n">
        <x:v>24</x:v>
      </x:c>
      <x:c r="M62" t="n">
        <x:v>97.8</x:v>
      </x:c>
      <x:c r="N62" t="n">
        <x:v>78.7</x:v>
      </x:c>
      <x:c r="O62" t="n">
        <x:v>83.2</x:v>
      </x:c>
      <x:c r="P62" t="n">
        <x:v>1</x:v>
      </x:c>
      <x:c r="Q62" t="str">
        <x:v>No incident</x:v>
      </x:c>
      <x:c r="R62" t="str">
        <x:v>N/A</x:v>
      </x:c>
      <x:c r="S62" t="str">
        <x:v>Preventive</x:v>
      </x:c>
      <x:c r="T62" t="n">
        <x:v>1.31</x:v>
      </x:c>
      <x:c r="U62" t="n">
        <x:v>13.3</x:v>
      </x:c>
    </x:row>
    <x:row r="63">
      <x:c r="A63" s="12" t="n">
        <x:v>46047</x:v>
      </x:c>
      <x:c r="B63" t="str">
        <x:v>B</x:v>
      </x:c>
      <x:c r="C63" t="str">
        <x:v>Dried Mango</x:v>
      </x:c>
      <x:c r="D63" t="str">
        <x:v>Dryer 2</x:v>
      </x:c>
      <x:c r="E63" t="str">
        <x:v>Sup 1</x:v>
      </x:c>
      <x:c r="F63" t="n">
        <x:v>480</x:v>
      </x:c>
      <x:c r="G63" t="n">
        <x:v>40</x:v>
      </x:c>
      <x:c r="H63" t="n">
        <x:v>41</x:v>
      </x:c>
      <x:c r="I63" t="n">
        <x:v>1539</x:v>
      </x:c>
      <x:c r="J63" t="n">
        <x:v>1285</x:v>
      </x:c>
      <x:c r="K63" t="n">
        <x:v>35</x:v>
      </x:c>
      <x:c r="L63" t="n">
        <x:v>23</x:v>
      </x:c>
      <x:c r="M63" t="n">
        <x:v>86.2</x:v>
      </x:c>
      <x:c r="N63" t="n">
        <x:v>73.4</x:v>
      </x:c>
      <x:c r="O63" t="n">
        <x:v>78.5</x:v>
      </x:c>
      <x:c r="P63" t="n">
        <x:v>3</x:v>
      </x:c>
      <x:c r="Q63" t="str">
        <x:v>No incident</x:v>
      </x:c>
      <x:c r="R63" t="str">
        <x:v>N/A</x:v>
      </x:c>
      <x:c r="S63" t="str">
        <x:v>Corrective</x:v>
      </x:c>
      <x:c r="T63" t="n">
        <x:v>1.38</x:v>
      </x:c>
      <x:c r="U63" t="n">
        <x:v>11.1</x:v>
      </x:c>
    </x:row>
    <x:row r="64">
      <x:c r="A64" s="12" t="n">
        <x:v>46047</x:v>
      </x:c>
      <x:c r="B64" t="str">
        <x:v>C</x:v>
      </x:c>
      <x:c r="C64" t="str">
        <x:v>Dried Mango</x:v>
      </x:c>
      <x:c r="D64" t="str">
        <x:v>Dryer 3</x:v>
      </x:c>
      <x:c r="E64" t="str">
        <x:v>Sup 3</x:v>
      </x:c>
      <x:c r="F64" t="n">
        <x:v>450</x:v>
      </x:c>
      <x:c r="G64" t="n">
        <x:v>40</x:v>
      </x:c>
      <x:c r="H64" t="n">
        <x:v>79</x:v>
      </x:c>
      <x:c r="I64" t="n">
        <x:v>1736</x:v>
      </x:c>
      <x:c r="J64" t="n">
        <x:v>1274</x:v>
      </x:c>
      <x:c r="K64" t="n">
        <x:v>57</x:v>
      </x:c>
      <x:c r="L64" t="n">
        <x:v>39</x:v>
      </x:c>
      <x:c r="M64" t="n">
        <x:v>89.7</x:v>
      </x:c>
      <x:c r="N64" t="n">
        <x:v>78.1</x:v>
      </x:c>
      <x:c r="O64" t="n">
        <x:v>78.8</x:v>
      </x:c>
      <x:c r="P64" t="n">
        <x:v>3</x:v>
      </x:c>
      <x:c r="Q64" t="str">
        <x:v>Recordable</x:v>
      </x:c>
      <x:c r="R64" t="str">
        <x:v>Open</x:v>
      </x:c>
      <x:c r="S64" t="str">
        <x:v>Preventive</x:v>
      </x:c>
      <x:c r="T64" t="n">
        <x:v>0.76</x:v>
      </x:c>
      <x:c r="U64" t="n">
        <x:v>11.5</x:v>
      </x:c>
    </x:row>
    <x:row r="65">
      <x:c r="A65" s="12" t="n">
        <x:v>46048</x:v>
      </x:c>
      <x:c r="B65" t="str">
        <x:v>A</x:v>
      </x:c>
      <x:c r="C65" t="str">
        <x:v>Dried Pineapple</x:v>
      </x:c>
      <x:c r="D65" t="str">
        <x:v>Dryer 3</x:v>
      </x:c>
      <x:c r="E65" t="str">
        <x:v>Sup 3</x:v>
      </x:c>
      <x:c r="F65" t="n">
        <x:v>450</x:v>
      </x:c>
      <x:c r="G65" t="n">
        <x:v>30</x:v>
      </x:c>
      <x:c r="H65" t="n">
        <x:v>72</x:v>
      </x:c>
      <x:c r="I65" t="n">
        <x:v>1744</x:v>
      </x:c>
      <x:c r="J65" t="n">
        <x:v>1428</x:v>
      </x:c>
      <x:c r="K65" t="n">
        <x:v>53</x:v>
      </x:c>
      <x:c r="L65" t="n">
        <x:v>21</x:v>
      </x:c>
      <x:c r="M65" t="n">
        <x:v>92.9</x:v>
      </x:c>
      <x:c r="N65" t="n">
        <x:v>81</x:v>
      </x:c>
      <x:c r="O65" t="n">
        <x:v>77</x:v>
      </x:c>
      <x:c r="P65" t="n">
        <x:v>5</x:v>
      </x:c>
      <x:c r="Q65" t="str">
        <x:v>No incident</x:v>
      </x:c>
      <x:c r="R65" t="str">
        <x:v>N/A</x:v>
      </x:c>
      <x:c r="S65" t="str">
        <x:v>Inspection</x:v>
      </x:c>
      <x:c r="T65" t="n">
        <x:v>0.65</x:v>
      </x:c>
      <x:c r="U65" t="n">
        <x:v>12.8</x:v>
      </x:c>
    </x:row>
    <x:row r="66">
      <x:c r="A66" s="12" t="n">
        <x:v>46048</x:v>
      </x:c>
      <x:c r="B66" t="str">
        <x:v>B</x:v>
      </x:c>
      <x:c r="C66" t="str">
        <x:v>Desiccated Coconut</x:v>
      </x:c>
      <x:c r="D66" t="str">
        <x:v>Dryer 3</x:v>
      </x:c>
      <x:c r="E66" t="str">
        <x:v>Sup 1</x:v>
      </x:c>
      <x:c r="F66" t="n">
        <x:v>420</x:v>
      </x:c>
      <x:c r="G66" t="n">
        <x:v>20</x:v>
      </x:c>
      <x:c r="H66" t="n">
        <x:v>22</x:v>
      </x:c>
      <x:c r="I66" t="n">
        <x:v>1219</x:v>
      </x:c>
      <x:c r="J66" t="n">
        <x:v>1121</x:v>
      </x:c>
      <x:c r="K66" t="n">
        <x:v>37</x:v>
      </x:c>
      <x:c r="L66" t="n">
        <x:v>19</x:v>
      </x:c>
      <x:c r="M66" t="n">
        <x:v>92</x:v>
      </x:c>
      <x:c r="N66" t="n">
        <x:v>95.5</x:v>
      </x:c>
      <x:c r="O66" t="n">
        <x:v>72.3</x:v>
      </x:c>
      <x:c r="P66" t="n">
        <x:v>1</x:v>
      </x:c>
      <x:c r="Q66" t="str">
        <x:v>No incident</x:v>
      </x:c>
      <x:c r="R66" t="str">
        <x:v>N/A</x:v>
      </x:c>
      <x:c r="S66" t="str">
        <x:v>Inspection</x:v>
      </x:c>
      <x:c r="T66" t="n">
        <x:v>0.72</x:v>
      </x:c>
      <x:c r="U66" t="n">
        <x:v>9.3</x:v>
      </x:c>
    </x:row>
    <x:row r="67">
      <x:c r="A67" s="12" t="n">
        <x:v>46048</x:v>
      </x:c>
      <x:c r="B67" t="str">
        <x:v>C</x:v>
      </x:c>
      <x:c r="C67" t="str">
        <x:v>Dried Mango</x:v>
      </x:c>
      <x:c r="D67" t="str">
        <x:v>Dryer 1</x:v>
      </x:c>
      <x:c r="E67" t="str">
        <x:v>Sup 1</x:v>
      </x:c>
      <x:c r="F67" t="n">
        <x:v>450</x:v>
      </x:c>
      <x:c r="G67" t="n">
        <x:v>20</x:v>
      </x:c>
      <x:c r="H67" t="n">
        <x:v>55</x:v>
      </x:c>
      <x:c r="I67" t="n">
        <x:v>1631</x:v>
      </x:c>
      <x:c r="J67" t="n">
        <x:v>1352</x:v>
      </x:c>
      <x:c r="K67" t="n">
        <x:v>44</x:v>
      </x:c>
      <x:c r="L67" t="n">
        <x:v>16</x:v>
      </x:c>
      <x:c r="M67" t="n">
        <x:v>80.2</x:v>
      </x:c>
      <x:c r="N67" t="n">
        <x:v>56.8</x:v>
      </x:c>
      <x:c r="O67" t="n">
        <x:v>82.2</x:v>
      </x:c>
      <x:c r="P67" t="n">
        <x:v>3</x:v>
      </x:c>
      <x:c r="Q67" t="str">
        <x:v>First aid</x:v>
      </x:c>
      <x:c r="R67" t="str">
        <x:v>Closed</x:v>
      </x:c>
      <x:c r="S67" t="str">
        <x:v>Corrective</x:v>
      </x:c>
      <x:c r="T67" t="n">
        <x:v>1.29</x:v>
      </x:c>
      <x:c r="U67" t="n">
        <x:v>10.9</x:v>
      </x:c>
    </x:row>
    <x:row r="68">
      <x:c r="A68" s="12" t="n">
        <x:v>46049</x:v>
      </x:c>
      <x:c r="B68" t="str">
        <x:v>A</x:v>
      </x:c>
      <x:c r="C68" t="str">
        <x:v>Dried Pineapple</x:v>
      </x:c>
      <x:c r="D68" t="str">
        <x:v>Dryer 3</x:v>
      </x:c>
      <x:c r="E68" t="str">
        <x:v>Sup 1</x:v>
      </x:c>
      <x:c r="F68" t="n">
        <x:v>480</x:v>
      </x:c>
      <x:c r="G68" t="n">
        <x:v>20</x:v>
      </x:c>
      <x:c r="H68" t="n">
        <x:v>63</x:v>
      </x:c>
      <x:c r="I68" t="n">
        <x:v>1727</x:v>
      </x:c>
      <x:c r="J68" t="n">
        <x:v>1312</x:v>
      </x:c>
      <x:c r="K68" t="n">
        <x:v>68</x:v>
      </x:c>
      <x:c r="L68" t="n">
        <x:v>16</x:v>
      </x:c>
      <x:c r="M68" t="n">
        <x:v>89.3</x:v>
      </x:c>
      <x:c r="N68" t="n">
        <x:v>80.5</x:v>
      </x:c>
      <x:c r="O68" t="n">
        <x:v>68</x:v>
      </x:c>
      <x:c r="P68" t="n">
        <x:v>1</x:v>
      </x:c>
      <x:c r="Q68" t="str">
        <x:v>No incident</x:v>
      </x:c>
      <x:c r="R68" t="str">
        <x:v>N/A</x:v>
      </x:c>
      <x:c r="S68" t="str">
        <x:v>Inspection</x:v>
      </x:c>
      <x:c r="T68" t="n">
        <x:v>0.52</x:v>
      </x:c>
      <x:c r="U68" t="n">
        <x:v>10</x:v>
      </x:c>
    </x:row>
    <x:row r="69">
      <x:c r="A69" s="12" t="n">
        <x:v>46049</x:v>
      </x:c>
      <x:c r="B69" t="str">
        <x:v>B</x:v>
      </x:c>
      <x:c r="C69" t="str">
        <x:v>Dried Pineapple</x:v>
      </x:c>
      <x:c r="D69" t="str">
        <x:v>Dryer 2</x:v>
      </x:c>
      <x:c r="E69" t="str">
        <x:v>Sup 3</x:v>
      </x:c>
      <x:c r="F69" t="n">
        <x:v>480</x:v>
      </x:c>
      <x:c r="G69" t="n">
        <x:v>20</x:v>
      </x:c>
      <x:c r="H69" t="n">
        <x:v>31</x:v>
      </x:c>
      <x:c r="I69" t="n">
        <x:v>1786</x:v>
      </x:c>
      <x:c r="J69" t="n">
        <x:v>1496</x:v>
      </x:c>
      <x:c r="K69" t="n">
        <x:v>55</x:v>
      </x:c>
      <x:c r="L69" t="n">
        <x:v>17</x:v>
      </x:c>
      <x:c r="M69" t="n">
        <x:v>90.9</x:v>
      </x:c>
      <x:c r="N69" t="n">
        <x:v>75.2</x:v>
      </x:c>
      <x:c r="O69" t="n">
        <x:v>75.9</x:v>
      </x:c>
      <x:c r="P69" t="n">
        <x:v>5</x:v>
      </x:c>
      <x:c r="Q69" t="str">
        <x:v>No incident</x:v>
      </x:c>
      <x:c r="R69" t="str">
        <x:v>N/A</x:v>
      </x:c>
      <x:c r="S69" t="str">
        <x:v>Inspection</x:v>
      </x:c>
      <x:c r="T69" t="n">
        <x:v>0.59</x:v>
      </x:c>
      <x:c r="U69" t="n">
        <x:v>12.2</x:v>
      </x:c>
    </x:row>
    <x:row r="70">
      <x:c r="A70" s="12" t="n">
        <x:v>46049</x:v>
      </x:c>
      <x:c r="B70" t="str">
        <x:v>C</x:v>
      </x:c>
      <x:c r="C70" t="str">
        <x:v>Desiccated Coconut</x:v>
      </x:c>
      <x:c r="D70" t="str">
        <x:v>Dryer 2</x:v>
      </x:c>
      <x:c r="E70" t="str">
        <x:v>Sup 2</x:v>
      </x:c>
      <x:c r="F70" t="n">
        <x:v>480</x:v>
      </x:c>
      <x:c r="G70" t="n">
        <x:v>30</x:v>
      </x:c>
      <x:c r="H70" t="n">
        <x:v>43</x:v>
      </x:c>
      <x:c r="I70" t="n">
        <x:v>1115</x:v>
      </x:c>
      <x:c r="J70" t="n">
        <x:v>912</x:v>
      </x:c>
      <x:c r="K70" t="n">
        <x:v>23</x:v>
      </x:c>
      <x:c r="L70" t="n">
        <x:v>15</x:v>
      </x:c>
      <x:c r="M70" t="n">
        <x:v>83</x:v>
      </x:c>
      <x:c r="N70" t="n">
        <x:v>80.3</x:v>
      </x:c>
      <x:c r="O70" t="n">
        <x:v>85.6</x:v>
      </x:c>
      <x:c r="P70" t="n">
        <x:v>5</x:v>
      </x:c>
      <x:c r="Q70" t="str">
        <x:v>First aid</x:v>
      </x:c>
      <x:c r="R70" t="str">
        <x:v>Open</x:v>
      </x:c>
      <x:c r="S70" t="str">
        <x:v>Inspection</x:v>
      </x:c>
      <x:c r="T70" t="n">
        <x:v>0.5</x:v>
      </x:c>
      <x:c r="U70" t="n">
        <x:v>6.9</x:v>
      </x:c>
    </x:row>
    <x:row r="71">
      <x:c r="A71" s="12" t="n">
        <x:v>46050</x:v>
      </x:c>
      <x:c r="B71" t="str">
        <x:v>A</x:v>
      </x:c>
      <x:c r="C71" t="str">
        <x:v>Dried Pineapple</x:v>
      </x:c>
      <x:c r="D71" t="str">
        <x:v>Dryer 4</x:v>
      </x:c>
      <x:c r="E71" t="str">
        <x:v>Sup 1</x:v>
      </x:c>
      <x:c r="F71" t="n">
        <x:v>480</x:v>
      </x:c>
      <x:c r="G71" t="n">
        <x:v>20</x:v>
      </x:c>
      <x:c r="H71" t="n">
        <x:v>34</x:v>
      </x:c>
      <x:c r="I71" t="n">
        <x:v>1632</x:v>
      </x:c>
      <x:c r="J71" t="n">
        <x:v>1418</x:v>
      </x:c>
      <x:c r="K71" t="n">
        <x:v>36</x:v>
      </x:c>
      <x:c r="L71" t="n">
        <x:v>22</x:v>
      </x:c>
      <x:c r="M71" t="n">
        <x:v>92.6</x:v>
      </x:c>
      <x:c r="N71" t="n">
        <x:v>86.3</x:v>
      </x:c>
      <x:c r="O71" t="n">
        <x:v>71.4</x:v>
      </x:c>
      <x:c r="P71" t="n">
        <x:v>2</x:v>
      </x:c>
      <x:c r="Q71" t="str">
        <x:v>No incident</x:v>
      </x:c>
      <x:c r="R71" t="str">
        <x:v>N/A</x:v>
      </x:c>
      <x:c r="S71" t="str">
        <x:v>Preventive</x:v>
      </x:c>
      <x:c r="T71" t="n">
        <x:v>0.5</x:v>
      </x:c>
      <x:c r="U71" t="n">
        <x:v>11</x:v>
      </x:c>
    </x:row>
    <x:row r="72">
      <x:c r="A72" s="12" t="n">
        <x:v>46050</x:v>
      </x:c>
      <x:c r="B72" t="str">
        <x:v>B</x:v>
      </x:c>
      <x:c r="C72" t="str">
        <x:v>Dried Pineapple</x:v>
      </x:c>
      <x:c r="D72" t="str">
        <x:v>Dryer 2</x:v>
      </x:c>
      <x:c r="E72" t="str">
        <x:v>Sup 3</x:v>
      </x:c>
      <x:c r="F72" t="n">
        <x:v>420</x:v>
      </x:c>
      <x:c r="G72" t="n">
        <x:v>30</x:v>
      </x:c>
      <x:c r="H72" t="n">
        <x:v>53</x:v>
      </x:c>
      <x:c r="I72" t="n">
        <x:v>1869</x:v>
      </x:c>
      <x:c r="J72" t="n">
        <x:v>1453</x:v>
      </x:c>
      <x:c r="K72" t="n">
        <x:v>34</x:v>
      </x:c>
      <x:c r="L72" t="n">
        <x:v>8</x:v>
      </x:c>
      <x:c r="M72" t="n">
        <x:v>92.1</x:v>
      </x:c>
      <x:c r="N72" t="n">
        <x:v>65.8</x:v>
      </x:c>
      <x:c r="O72" t="n">
        <x:v>67.7</x:v>
      </x:c>
      <x:c r="P72" t="n">
        <x:v>3</x:v>
      </x:c>
      <x:c r="Q72" t="str">
        <x:v>No incident</x:v>
      </x:c>
      <x:c r="R72" t="str">
        <x:v>N/A</x:v>
      </x:c>
      <x:c r="S72" t="str">
        <x:v>Corrective</x:v>
      </x:c>
      <x:c r="T72" t="n">
        <x:v>0.95</x:v>
      </x:c>
      <x:c r="U72" t="n">
        <x:v>11</x:v>
      </x:c>
    </x:row>
    <x:row r="73">
      <x:c r="A73" s="12" t="n">
        <x:v>46050</x:v>
      </x:c>
      <x:c r="B73" t="str">
        <x:v>C</x:v>
      </x:c>
      <x:c r="C73" t="str">
        <x:v>Dried Pineapple</x:v>
      </x:c>
      <x:c r="D73" t="str">
        <x:v>Dryer 2</x:v>
      </x:c>
      <x:c r="E73" t="str">
        <x:v>Sup 2</x:v>
      </x:c>
      <x:c r="F73" t="n">
        <x:v>480</x:v>
      </x:c>
      <x:c r="G73" t="n">
        <x:v>30</x:v>
      </x:c>
      <x:c r="H73" t="n">
        <x:v>43</x:v>
      </x:c>
      <x:c r="I73" t="n">
        <x:v>1821</x:v>
      </x:c>
      <x:c r="J73" t="n">
        <x:v>1517</x:v>
      </x:c>
      <x:c r="K73" t="n">
        <x:v>34</x:v>
      </x:c>
      <x:c r="L73" t="n">
        <x:v>23</x:v>
      </x:c>
      <x:c r="M73" t="n">
        <x:v>93.3</x:v>
      </x:c>
      <x:c r="N73" t="n">
        <x:v>69.2</x:v>
      </x:c>
      <x:c r="O73" t="n">
        <x:v>71.3</x:v>
      </x:c>
      <x:c r="P73" t="n">
        <x:v>2</x:v>
      </x:c>
      <x:c r="Q73" t="str">
        <x:v>No incident</x:v>
      </x:c>
      <x:c r="R73" t="str">
        <x:v>N/A</x:v>
      </x:c>
      <x:c r="S73" t="str">
        <x:v>Preventive</x:v>
      </x:c>
      <x:c r="T73" t="n">
        <x:v>0.73</x:v>
      </x:c>
      <x:c r="U73" t="n">
        <x:v>13.4</x:v>
      </x:c>
    </x:row>
    <x:row r="74">
      <x:c r="A74" s="12" t="n">
        <x:v>46051</x:v>
      </x:c>
      <x:c r="B74" t="str">
        <x:v>A</x:v>
      </x:c>
      <x:c r="C74" t="str">
        <x:v>Desiccated Coconut</x:v>
      </x:c>
      <x:c r="D74" t="str">
        <x:v>Dryer 1</x:v>
      </x:c>
      <x:c r="E74" t="str">
        <x:v>Sup 2</x:v>
      </x:c>
      <x:c r="F74" t="n">
        <x:v>420</x:v>
      </x:c>
      <x:c r="G74" t="n">
        <x:v>0</x:v>
      </x:c>
      <x:c r="H74" t="n">
        <x:v>31</x:v>
      </x:c>
      <x:c r="I74" t="n">
        <x:v>1275</x:v>
      </x:c>
      <x:c r="J74" t="n">
        <x:v>1211</x:v>
      </x:c>
      <x:c r="K74" t="n">
        <x:v>36</x:v>
      </x:c>
      <x:c r="L74" t="n">
        <x:v>25</x:v>
      </x:c>
      <x:c r="M74" t="n">
        <x:v>93.4</x:v>
      </x:c>
      <x:c r="N74" t="n">
        <x:v>73.5</x:v>
      </x:c>
      <x:c r="O74" t="n">
        <x:v>71</x:v>
      </x:c>
      <x:c r="P74" t="n">
        <x:v>3</x:v>
      </x:c>
      <x:c r="Q74" t="str">
        <x:v>Near miss</x:v>
      </x:c>
      <x:c r="R74" t="str">
        <x:v>In progress</x:v>
      </x:c>
      <x:c r="S74" t="str">
        <x:v>Corrective</x:v>
      </x:c>
      <x:c r="T74" t="n">
        <x:v>0.94</x:v>
      </x:c>
      <x:c r="U74" t="n">
        <x:v>10.8</x:v>
      </x:c>
    </x:row>
    <x:row r="75">
      <x:c r="A75" s="12" t="n">
        <x:v>46051</x:v>
      </x:c>
      <x:c r="B75" t="str">
        <x:v>B</x:v>
      </x:c>
      <x:c r="C75" t="str">
        <x:v>Dried Mango</x:v>
      </x:c>
      <x:c r="D75" t="str">
        <x:v>Dryer 2</x:v>
      </x:c>
      <x:c r="E75" t="str">
        <x:v>Sup 3</x:v>
      </x:c>
      <x:c r="F75" t="n">
        <x:v>450</x:v>
      </x:c>
      <x:c r="G75" t="n">
        <x:v>20</x:v>
      </x:c>
      <x:c r="H75" t="n">
        <x:v>56</x:v>
      </x:c>
      <x:c r="I75" t="n">
        <x:v>1685</x:v>
      </x:c>
      <x:c r="J75" t="n">
        <x:v>1486</x:v>
      </x:c>
      <x:c r="K75" t="n">
        <x:v>44</x:v>
      </x:c>
      <x:c r="L75" t="n">
        <x:v>15</x:v>
      </x:c>
      <x:c r="M75" t="n">
        <x:v>93</x:v>
      </x:c>
      <x:c r="N75" t="n">
        <x:v>77.7</x:v>
      </x:c>
      <x:c r="O75" t="n">
        <x:v>72.3</x:v>
      </x:c>
      <x:c r="P75" t="n">
        <x:v>5</x:v>
      </x:c>
      <x:c r="Q75" t="str">
        <x:v>No incident</x:v>
      </x:c>
      <x:c r="R75" t="str">
        <x:v>N/A</x:v>
      </x:c>
      <x:c r="S75" t="str">
        <x:v>Corrective</x:v>
      </x:c>
      <x:c r="T75" t="n">
        <x:v>1.87</x:v>
      </x:c>
      <x:c r="U75" t="n">
        <x:v>11.2</x:v>
      </x:c>
    </x:row>
    <x:row r="76">
      <x:c r="A76" s="12" t="n">
        <x:v>46051</x:v>
      </x:c>
      <x:c r="B76" t="str">
        <x:v>C</x:v>
      </x:c>
      <x:c r="C76" t="str">
        <x:v>Dried Mango</x:v>
      </x:c>
      <x:c r="D76" t="str">
        <x:v>Dryer 2</x:v>
      </x:c>
      <x:c r="E76" t="str">
        <x:v>Sup 1</x:v>
      </x:c>
      <x:c r="F76" t="n">
        <x:v>450</x:v>
      </x:c>
      <x:c r="G76" t="n">
        <x:v>20</x:v>
      </x:c>
      <x:c r="H76" t="n">
        <x:v>50</x:v>
      </x:c>
      <x:c r="I76" t="n">
        <x:v>1546</x:v>
      </x:c>
      <x:c r="J76" t="n">
        <x:v>1274</x:v>
      </x:c>
      <x:c r="K76" t="n">
        <x:v>46</x:v>
      </x:c>
      <x:c r="L76" t="n">
        <x:v>18</x:v>
      </x:c>
      <x:c r="M76" t="n">
        <x:v>91.9</x:v>
      </x:c>
      <x:c r="N76" t="n">
        <x:v>77.4</x:v>
      </x:c>
      <x:c r="O76" t="n">
        <x:v>83</x:v>
      </x:c>
      <x:c r="P76" t="n">
        <x:v>6</x:v>
      </x:c>
      <x:c r="Q76" t="str">
        <x:v>No incident</x:v>
      </x:c>
      <x:c r="R76" t="str">
        <x:v>N/A</x:v>
      </x:c>
      <x:c r="S76" t="str">
        <x:v>Preventive</x:v>
      </x:c>
      <x:c r="T76" t="n">
        <x:v>0.63</x:v>
      </x:c>
      <x:c r="U76" t="n">
        <x:v>10.4</x:v>
      </x:c>
    </x:row>
    <x:row r="77">
      <x:c r="A77" s="12" t="n">
        <x:v>46052</x:v>
      </x:c>
      <x:c r="B77" t="str">
        <x:v>A</x:v>
      </x:c>
      <x:c r="C77" t="str">
        <x:v>Dried Mango</x:v>
      </x:c>
      <x:c r="D77" t="str">
        <x:v>Dryer 3</x:v>
      </x:c>
      <x:c r="E77" t="str">
        <x:v>Sup 1</x:v>
      </x:c>
      <x:c r="F77" t="n">
        <x:v>420</x:v>
      </x:c>
      <x:c r="G77" t="n">
        <x:v>30</x:v>
      </x:c>
      <x:c r="H77" t="n">
        <x:v>66</x:v>
      </x:c>
      <x:c r="I77" t="n">
        <x:v>1666</x:v>
      </x:c>
      <x:c r="J77" t="n">
        <x:v>1325</x:v>
      </x:c>
      <x:c r="K77" t="n">
        <x:v>52</x:v>
      </x:c>
      <x:c r="L77" t="n">
        <x:v>25</x:v>
      </x:c>
      <x:c r="M77" t="n">
        <x:v>90.8</x:v>
      </x:c>
      <x:c r="N77" t="n">
        <x:v>87.4</x:v>
      </x:c>
      <x:c r="O77" t="n">
        <x:v>76.6</x:v>
      </x:c>
      <x:c r="P77" t="n">
        <x:v>1</x:v>
      </x:c>
      <x:c r="Q77" t="str">
        <x:v>No incident</x:v>
      </x:c>
      <x:c r="R77" t="str">
        <x:v>N/A</x:v>
      </x:c>
      <x:c r="S77" t="str">
        <x:v>Corrective</x:v>
      </x:c>
      <x:c r="T77" t="n">
        <x:v>1.44</x:v>
      </x:c>
      <x:c r="U77" t="n">
        <x:v>11.3</x:v>
      </x:c>
    </x:row>
    <x:row r="78">
      <x:c r="A78" s="12" t="n">
        <x:v>46052</x:v>
      </x:c>
      <x:c r="B78" t="str">
        <x:v>B</x:v>
      </x:c>
      <x:c r="C78" t="str">
        <x:v>Dried Pineapple</x:v>
      </x:c>
      <x:c r="D78" t="str">
        <x:v>Dryer 3</x:v>
      </x:c>
      <x:c r="E78" t="str">
        <x:v>Sup 3</x:v>
      </x:c>
      <x:c r="F78" t="n">
        <x:v>450</x:v>
      </x:c>
      <x:c r="G78" t="n">
        <x:v>40</x:v>
      </x:c>
      <x:c r="H78" t="n">
        <x:v>67</x:v>
      </x:c>
      <x:c r="I78" t="n">
        <x:v>1785</x:v>
      </x:c>
      <x:c r="J78" t="n">
        <x:v>1524</x:v>
      </x:c>
      <x:c r="K78" t="n">
        <x:v>58</x:v>
      </x:c>
      <x:c r="L78" t="n">
        <x:v>12</x:v>
      </x:c>
      <x:c r="M78" t="n">
        <x:v>92.5</x:v>
      </x:c>
      <x:c r="N78" t="n">
        <x:v>74.8</x:v>
      </x:c>
      <x:c r="O78" t="n">
        <x:v>68.8</x:v>
      </x:c>
      <x:c r="P78" t="n">
        <x:v>1</x:v>
      </x:c>
      <x:c r="Q78" t="str">
        <x:v>First aid</x:v>
      </x:c>
      <x:c r="R78" t="str">
        <x:v>Open</x:v>
      </x:c>
      <x:c r="S78" t="str">
        <x:v>Inspection</x:v>
      </x:c>
      <x:c r="T78" t="n">
        <x:v>1.02</x:v>
      </x:c>
      <x:c r="U78" t="n">
        <x:v>12.3</x:v>
      </x:c>
    </x:row>
    <x:row r="79">
      <x:c r="A79" s="12" t="n">
        <x:v>46052</x:v>
      </x:c>
      <x:c r="B79" t="str">
        <x:v>C</x:v>
      </x:c>
      <x:c r="C79" t="str">
        <x:v>Dried Mango</x:v>
      </x:c>
      <x:c r="D79" t="str">
        <x:v>Dryer 1</x:v>
      </x:c>
      <x:c r="E79" t="str">
        <x:v>Sup 2</x:v>
      </x:c>
      <x:c r="F79" t="n">
        <x:v>420</x:v>
      </x:c>
      <x:c r="G79" t="n">
        <x:v>40</x:v>
      </x:c>
      <x:c r="H79" t="n">
        <x:v>64</x:v>
      </x:c>
      <x:c r="I79" t="n">
        <x:v>1528</x:v>
      </x:c>
      <x:c r="J79" t="n">
        <x:v>1258</x:v>
      </x:c>
      <x:c r="K79" t="n">
        <x:v>37</x:v>
      </x:c>
      <x:c r="L79" t="n">
        <x:v>16</x:v>
      </x:c>
      <x:c r="M79" t="n">
        <x:v>86.2</x:v>
      </x:c>
      <x:c r="N79" t="n">
        <x:v>64.6</x:v>
      </x:c>
      <x:c r="O79" t="n">
        <x:v>60.8</x:v>
      </x:c>
      <x:c r="P79" t="n">
        <x:v>2</x:v>
      </x:c>
      <x:c r="Q79" t="str">
        <x:v>Near miss</x:v>
      </x:c>
      <x:c r="R79" t="str">
        <x:v>In progress</x:v>
      </x:c>
      <x:c r="S79" t="str">
        <x:v>Inspection</x:v>
      </x:c>
      <x:c r="T79" t="n">
        <x:v>0.5</x:v>
      </x:c>
      <x:c r="U79" t="n">
        <x:v>10.5</x:v>
      </x:c>
    </x:row>
    <x:row r="80">
      <x:c r="A80" s="12" t="n">
        <x:v>46053</x:v>
      </x:c>
      <x:c r="B80" t="str">
        <x:v>A</x:v>
      </x:c>
      <x:c r="C80" t="str">
        <x:v>Dried Pineapple</x:v>
      </x:c>
      <x:c r="D80" t="str">
        <x:v>Dryer 3</x:v>
      </x:c>
      <x:c r="E80" t="str">
        <x:v>Sup 1</x:v>
      </x:c>
      <x:c r="F80" t="n">
        <x:v>480</x:v>
      </x:c>
      <x:c r="G80" t="n">
        <x:v>40</x:v>
      </x:c>
      <x:c r="H80" t="n">
        <x:v>63</x:v>
      </x:c>
      <x:c r="I80" t="n">
        <x:v>1742</x:v>
      </x:c>
      <x:c r="J80" t="n">
        <x:v>1356</x:v>
      </x:c>
      <x:c r="K80" t="n">
        <x:v>52</x:v>
      </x:c>
      <x:c r="L80" t="n">
        <x:v>35</x:v>
      </x:c>
      <x:c r="M80" t="n">
        <x:v>88</x:v>
      </x:c>
      <x:c r="N80" t="n">
        <x:v>79.7</x:v>
      </x:c>
      <x:c r="O80" t="n">
        <x:v>68.7</x:v>
      </x:c>
      <x:c r="P80" t="n">
        <x:v>2</x:v>
      </x:c>
      <x:c r="Q80" t="str">
        <x:v>No incident</x:v>
      </x:c>
      <x:c r="R80" t="str">
        <x:v>N/A</x:v>
      </x:c>
      <x:c r="S80" t="str">
        <x:v>Inspection</x:v>
      </x:c>
      <x:c r="T80" t="n">
        <x:v>0.5</x:v>
      </x:c>
      <x:c r="U80" t="n">
        <x:v>10.9</x:v>
      </x:c>
    </x:row>
    <x:row r="81">
      <x:c r="A81" s="12" t="n">
        <x:v>46053</x:v>
      </x:c>
      <x:c r="B81" t="str">
        <x:v>B</x:v>
      </x:c>
      <x:c r="C81" t="str">
        <x:v>Desiccated Coconut</x:v>
      </x:c>
      <x:c r="D81" t="str">
        <x:v>Dryer 2</x:v>
      </x:c>
      <x:c r="E81" t="str">
        <x:v>Sup 2</x:v>
      </x:c>
      <x:c r="F81" t="n">
        <x:v>480</x:v>
      </x:c>
      <x:c r="G81" t="n">
        <x:v>40</x:v>
      </x:c>
      <x:c r="H81" t="n">
        <x:v>25</x:v>
      </x:c>
      <x:c r="I81" t="n">
        <x:v>1134</x:v>
      </x:c>
      <x:c r="J81" t="n">
        <x:v>1039</x:v>
      </x:c>
      <x:c r="K81" t="n">
        <x:v>24</x:v>
      </x:c>
      <x:c r="L81" t="n">
        <x:v>13</x:v>
      </x:c>
      <x:c r="M81" t="n">
        <x:v>93.5</x:v>
      </x:c>
      <x:c r="N81" t="n">
        <x:v>83.6</x:v>
      </x:c>
      <x:c r="O81" t="n">
        <x:v>77.1</x:v>
      </x:c>
      <x:c r="P81" t="n">
        <x:v>4</x:v>
      </x:c>
      <x:c r="Q81" t="str">
        <x:v>No incident</x:v>
      </x:c>
      <x:c r="R81" t="str">
        <x:v>N/A</x:v>
      </x:c>
      <x:c r="S81" t="str">
        <x:v>Inspection</x:v>
      </x:c>
      <x:c r="T81" t="n">
        <x:v>0.69</x:v>
      </x:c>
      <x:c r="U81" t="n">
        <x:v>7.8</x:v>
      </x:c>
    </x:row>
    <x:row r="82">
      <x:c r="A82" s="12" t="n">
        <x:v>46053</x:v>
      </x:c>
      <x:c r="B82" t="str">
        <x:v>C</x:v>
      </x:c>
      <x:c r="C82" t="str">
        <x:v>Desiccated Coconut</x:v>
      </x:c>
      <x:c r="D82" t="str">
        <x:v>Dryer 2</x:v>
      </x:c>
      <x:c r="E82" t="str">
        <x:v>Sup 3</x:v>
      </x:c>
      <x:c r="F82" t="n">
        <x:v>420</x:v>
      </x:c>
      <x:c r="G82" t="n">
        <x:v>0</x:v>
      </x:c>
      <x:c r="H82" t="n">
        <x:v>31</x:v>
      </x:c>
      <x:c r="I82" t="n">
        <x:v>1144</x:v>
      </x:c>
      <x:c r="J82" t="n">
        <x:v>1011</x:v>
      </x:c>
      <x:c r="K82" t="n">
        <x:v>31</x:v>
      </x:c>
      <x:c r="L82" t="n">
        <x:v>6</x:v>
      </x:c>
      <x:c r="M82" t="n">
        <x:v>92.9</x:v>
      </x:c>
      <x:c r="N82" t="n">
        <x:v>77.1</x:v>
      </x:c>
      <x:c r="O82" t="n">
        <x:v>84.6</x:v>
      </x:c>
      <x:c r="P82" t="n">
        <x:v>5</x:v>
      </x:c>
      <x:c r="Q82" t="str">
        <x:v>No incident</x:v>
      </x:c>
      <x:c r="R82" t="str">
        <x:v>N/A</x:v>
      </x:c>
      <x:c r="S82" t="str">
        <x:v>Preventive</x:v>
      </x:c>
      <x:c r="T82" t="n">
        <x:v>0.7</x:v>
      </x:c>
      <x:c r="U82" t="n">
        <x:v>7.7</x:v>
      </x:c>
    </x:row>
    <x:row r="83">
      <x:c r="A83" s="12" t="n">
        <x:v>46054</x:v>
      </x:c>
      <x:c r="B83" t="str">
        <x:v>A</x:v>
      </x:c>
      <x:c r="C83" t="str">
        <x:v>Desiccated Coconut</x:v>
      </x:c>
      <x:c r="D83" t="str">
        <x:v>Dryer 4</x:v>
      </x:c>
      <x:c r="E83" t="str">
        <x:v>Sup 1</x:v>
      </x:c>
      <x:c r="F83" t="n">
        <x:v>450</x:v>
      </x:c>
      <x:c r="G83" t="n">
        <x:v>30</x:v>
      </x:c>
      <x:c r="H83" t="n">
        <x:v>63</x:v>
      </x:c>
      <x:c r="I83" t="n">
        <x:v>1215</x:v>
      </x:c>
      <x:c r="J83" t="n">
        <x:v>964</x:v>
      </x:c>
      <x:c r="K83" t="n">
        <x:v>33</x:v>
      </x:c>
      <x:c r="L83" t="n">
        <x:v>20</x:v>
      </x:c>
      <x:c r="M83" t="n">
        <x:v>93.3</x:v>
      </x:c>
      <x:c r="N83" t="n">
        <x:v>89.1</x:v>
      </x:c>
      <x:c r="O83" t="n">
        <x:v>74</x:v>
      </x:c>
      <x:c r="P83" t="n">
        <x:v>2</x:v>
      </x:c>
      <x:c r="Q83" t="str">
        <x:v>First aid</x:v>
      </x:c>
      <x:c r="R83" t="str">
        <x:v>Open</x:v>
      </x:c>
      <x:c r="S83" t="str">
        <x:v>Preventive</x:v>
      </x:c>
      <x:c r="T83" t="n">
        <x:v>1.48</x:v>
      </x:c>
      <x:c r="U83" t="n">
        <x:v>8.4</x:v>
      </x:c>
    </x:row>
    <x:row r="84">
      <x:c r="A84" s="12" t="n">
        <x:v>46054</x:v>
      </x:c>
      <x:c r="B84" t="str">
        <x:v>B</x:v>
      </x:c>
      <x:c r="C84" t="str">
        <x:v>Dried Mango</x:v>
      </x:c>
      <x:c r="D84" t="str">
        <x:v>Dryer 2</x:v>
      </x:c>
      <x:c r="E84" t="str">
        <x:v>Sup 3</x:v>
      </x:c>
      <x:c r="F84" t="n">
        <x:v>450</x:v>
      </x:c>
      <x:c r="G84" t="n">
        <x:v>40</x:v>
      </x:c>
      <x:c r="H84" t="n">
        <x:v>48</x:v>
      </x:c>
      <x:c r="I84" t="n">
        <x:v>1624</x:v>
      </x:c>
      <x:c r="J84" t="n">
        <x:v>1488</x:v>
      </x:c>
      <x:c r="K84" t="n">
        <x:v>45</x:v>
      </x:c>
      <x:c r="L84" t="n">
        <x:v>15</x:v>
      </x:c>
      <x:c r="M84" t="n">
        <x:v>92.5</x:v>
      </x:c>
      <x:c r="N84" t="n">
        <x:v>82.1</x:v>
      </x:c>
      <x:c r="O84" t="n">
        <x:v>74.3</x:v>
      </x:c>
      <x:c r="P84" t="n">
        <x:v>3</x:v>
      </x:c>
      <x:c r="Q84" t="str">
        <x:v>First aid</x:v>
      </x:c>
      <x:c r="R84" t="str">
        <x:v>Closed</x:v>
      </x:c>
      <x:c r="S84" t="str">
        <x:v>Corrective</x:v>
      </x:c>
      <x:c r="T84" t="n">
        <x:v>1.4</x:v>
      </x:c>
      <x:c r="U84" t="n">
        <x:v>13.6</x:v>
      </x:c>
    </x:row>
    <x:row r="85">
      <x:c r="A85" s="12" t="n">
        <x:v>46054</x:v>
      </x:c>
      <x:c r="B85" t="str">
        <x:v>C</x:v>
      </x:c>
      <x:c r="C85" t="str">
        <x:v>Dried Mango</x:v>
      </x:c>
      <x:c r="D85" t="str">
        <x:v>Dryer 3</x:v>
      </x:c>
      <x:c r="E85" t="str">
        <x:v>Sup 2</x:v>
      </x:c>
      <x:c r="F85" t="n">
        <x:v>480</x:v>
      </x:c>
      <x:c r="G85" t="n">
        <x:v>30</x:v>
      </x:c>
      <x:c r="H85" t="n">
        <x:v>59</x:v>
      </x:c>
      <x:c r="I85" t="n">
        <x:v>1586</x:v>
      </x:c>
      <x:c r="J85" t="n">
        <x:v>1422</x:v>
      </x:c>
      <x:c r="K85" t="n">
        <x:v>79</x:v>
      </x:c>
      <x:c r="L85" t="n">
        <x:v>17</x:v>
      </x:c>
      <x:c r="M85" t="n">
        <x:v>87.4</x:v>
      </x:c>
      <x:c r="N85" t="n">
        <x:v>74</x:v>
      </x:c>
      <x:c r="O85" t="n">
        <x:v>83.8</x:v>
      </x:c>
      <x:c r="P85" t="n">
        <x:v>2</x:v>
      </x:c>
      <x:c r="Q85" t="str">
        <x:v>No incident</x:v>
      </x:c>
      <x:c r="R85" t="str">
        <x:v>N/A</x:v>
      </x:c>
      <x:c r="S85" t="str">
        <x:v>Corrective</x:v>
      </x:c>
      <x:c r="T85" t="n">
        <x:v>1.81</x:v>
      </x:c>
      <x:c r="U85" t="n">
        <x:v>12.4</x:v>
      </x:c>
    </x:row>
    <x:row r="86">
      <x:c r="A86" s="12" t="n">
        <x:v>46055</x:v>
      </x:c>
      <x:c r="B86" t="str">
        <x:v>A</x:v>
      </x:c>
      <x:c r="C86" t="str">
        <x:v>Dried Pineapple</x:v>
      </x:c>
      <x:c r="D86" t="str">
        <x:v>Dryer 2</x:v>
      </x:c>
      <x:c r="E86" t="str">
        <x:v>Sup 3</x:v>
      </x:c>
      <x:c r="F86" t="n">
        <x:v>420</x:v>
      </x:c>
      <x:c r="G86" t="n">
        <x:v>30</x:v>
      </x:c>
      <x:c r="H86" t="n">
        <x:v>68</x:v>
      </x:c>
      <x:c r="I86" t="n">
        <x:v>1679</x:v>
      </x:c>
      <x:c r="J86" t="n">
        <x:v>1400</x:v>
      </x:c>
      <x:c r="K86" t="n">
        <x:v>49</x:v>
      </x:c>
      <x:c r="L86" t="n">
        <x:v>14</x:v>
      </x:c>
      <x:c r="M86" t="n">
        <x:v>82.6</x:v>
      </x:c>
      <x:c r="N86" t="n">
        <x:v>76.9</x:v>
      </x:c>
      <x:c r="O86" t="n">
        <x:v>71.8</x:v>
      </x:c>
      <x:c r="P86" t="n">
        <x:v>0</x:v>
      </x:c>
      <x:c r="Q86" t="str">
        <x:v>Near miss</x:v>
      </x:c>
      <x:c r="R86" t="str">
        <x:v>In progress</x:v>
      </x:c>
      <x:c r="S86" t="str">
        <x:v>Corrective</x:v>
      </x:c>
      <x:c r="T86" t="n">
        <x:v>1.05</x:v>
      </x:c>
      <x:c r="U86" t="n">
        <x:v>10.9</x:v>
      </x:c>
    </x:row>
    <x:row r="87">
      <x:c r="A87" s="12" t="n">
        <x:v>46055</x:v>
      </x:c>
      <x:c r="B87" t="str">
        <x:v>B</x:v>
      </x:c>
      <x:c r="C87" t="str">
        <x:v>Desiccated Coconut</x:v>
      </x:c>
      <x:c r="D87" t="str">
        <x:v>Dryer 1</x:v>
      </x:c>
      <x:c r="E87" t="str">
        <x:v>Sup 2</x:v>
      </x:c>
      <x:c r="F87" t="n">
        <x:v>450</x:v>
      </x:c>
      <x:c r="G87" t="n">
        <x:v>0</x:v>
      </x:c>
      <x:c r="H87" t="n">
        <x:v>33</x:v>
      </x:c>
      <x:c r="I87" t="n">
        <x:v>1105</x:v>
      </x:c>
      <x:c r="J87" t="n">
        <x:v>1061</x:v>
      </x:c>
      <x:c r="K87" t="n">
        <x:v>33</x:v>
      </x:c>
      <x:c r="L87" t="n">
        <x:v>18</x:v>
      </x:c>
      <x:c r="M87" t="n">
        <x:v>96.1</x:v>
      </x:c>
      <x:c r="N87" t="n">
        <x:v>81.1</x:v>
      </x:c>
      <x:c r="O87" t="n">
        <x:v>77.2</x:v>
      </x:c>
      <x:c r="P87" t="n">
        <x:v>3</x:v>
      </x:c>
      <x:c r="Q87" t="str">
        <x:v>No incident</x:v>
      </x:c>
      <x:c r="R87" t="str">
        <x:v>N/A</x:v>
      </x:c>
      <x:c r="S87" t="str">
        <x:v>Preventive</x:v>
      </x:c>
      <x:c r="T87" t="n">
        <x:v>1.09</x:v>
      </x:c>
      <x:c r="U87" t="n">
        <x:v>9.5</x:v>
      </x:c>
    </x:row>
    <x:row r="88">
      <x:c r="A88" s="12" t="n">
        <x:v>46055</x:v>
      </x:c>
      <x:c r="B88" t="str">
        <x:v>C</x:v>
      </x:c>
      <x:c r="C88" t="str">
        <x:v>Dried Pineapple</x:v>
      </x:c>
      <x:c r="D88" t="str">
        <x:v>Dryer 3</x:v>
      </x:c>
      <x:c r="E88" t="str">
        <x:v>Sup 3</x:v>
      </x:c>
      <x:c r="F88" t="n">
        <x:v>450</x:v>
      </x:c>
      <x:c r="G88" t="n">
        <x:v>20</x:v>
      </x:c>
      <x:c r="H88" t="n">
        <x:v>79</x:v>
      </x:c>
      <x:c r="I88" t="n">
        <x:v>1859</x:v>
      </x:c>
      <x:c r="J88" t="n">
        <x:v>1418</x:v>
      </x:c>
      <x:c r="K88" t="n">
        <x:v>48</x:v>
      </x:c>
      <x:c r="L88" t="n">
        <x:v>22</x:v>
      </x:c>
      <x:c r="M88" t="n">
        <x:v>80.7</x:v>
      </x:c>
      <x:c r="N88" t="n">
        <x:v>80.2</x:v>
      </x:c>
      <x:c r="O88" t="n">
        <x:v>86.6</x:v>
      </x:c>
      <x:c r="P88" t="n">
        <x:v>3</x:v>
      </x:c>
      <x:c r="Q88" t="str">
        <x:v>Recordable</x:v>
      </x:c>
      <x:c r="R88" t="str">
        <x:v>Closed</x:v>
      </x:c>
      <x:c r="S88" t="str">
        <x:v>Corrective</x:v>
      </x:c>
      <x:c r="T88" t="n">
        <x:v>1.31</x:v>
      </x:c>
      <x:c r="U88" t="n">
        <x:v>13</x:v>
      </x:c>
    </x:row>
    <x:row r="89">
      <x:c r="A89" s="12" t="n">
        <x:v>46056</x:v>
      </x:c>
      <x:c r="B89" t="str">
        <x:v>A</x:v>
      </x:c>
      <x:c r="C89" t="str">
        <x:v>Dried Mango</x:v>
      </x:c>
      <x:c r="D89" t="str">
        <x:v>Dryer 3</x:v>
      </x:c>
      <x:c r="E89" t="str">
        <x:v>Sup 1</x:v>
      </x:c>
      <x:c r="F89" t="n">
        <x:v>450</x:v>
      </x:c>
      <x:c r="G89" t="n">
        <x:v>30</x:v>
      </x:c>
      <x:c r="H89" t="n">
        <x:v>54</x:v>
      </x:c>
      <x:c r="I89" t="n">
        <x:v>1771</x:v>
      </x:c>
      <x:c r="J89" t="n">
        <x:v>1461</x:v>
      </x:c>
      <x:c r="K89" t="n">
        <x:v>84</x:v>
      </x:c>
      <x:c r="L89" t="n">
        <x:v>19</x:v>
      </x:c>
      <x:c r="M89" t="n">
        <x:v>85.7</x:v>
      </x:c>
      <x:c r="N89" t="n">
        <x:v>72.3</x:v>
      </x:c>
      <x:c r="O89" t="n">
        <x:v>70</x:v>
      </x:c>
      <x:c r="P89" t="n">
        <x:v>5</x:v>
      </x:c>
      <x:c r="Q89" t="str">
        <x:v>No incident</x:v>
      </x:c>
      <x:c r="R89" t="str">
        <x:v>N/A</x:v>
      </x:c>
      <x:c r="S89" t="str">
        <x:v>Preventive</x:v>
      </x:c>
      <x:c r="T89" t="n">
        <x:v>0.68</x:v>
      </x:c>
      <x:c r="U89" t="n">
        <x:v>12.5</x:v>
      </x:c>
    </x:row>
    <x:row r="90">
      <x:c r="A90" s="12" t="n">
        <x:v>46056</x:v>
      </x:c>
      <x:c r="B90" t="str">
        <x:v>B</x:v>
      </x:c>
      <x:c r="C90" t="str">
        <x:v>Desiccated Coconut</x:v>
      </x:c>
      <x:c r="D90" t="str">
        <x:v>Dryer 4</x:v>
      </x:c>
      <x:c r="E90" t="str">
        <x:v>Sup 1</x:v>
      </x:c>
      <x:c r="F90" t="n">
        <x:v>480</x:v>
      </x:c>
      <x:c r="G90" t="n">
        <x:v>40</x:v>
      </x:c>
      <x:c r="H90" t="n">
        <x:v>30</x:v>
      </x:c>
      <x:c r="I90" t="n">
        <x:v>1264</x:v>
      </x:c>
      <x:c r="J90" t="n">
        <x:v>1202</x:v>
      </x:c>
      <x:c r="K90" t="n">
        <x:v>28</x:v>
      </x:c>
      <x:c r="L90" t="n">
        <x:v>18</x:v>
      </x:c>
      <x:c r="M90" t="n">
        <x:v>96.4</x:v>
      </x:c>
      <x:c r="N90" t="n">
        <x:v>97</x:v>
      </x:c>
      <x:c r="O90" t="n">
        <x:v>64.3</x:v>
      </x:c>
      <x:c r="P90" t="n">
        <x:v>2</x:v>
      </x:c>
      <x:c r="Q90" t="str">
        <x:v>No incident</x:v>
      </x:c>
      <x:c r="R90" t="str">
        <x:v>N/A</x:v>
      </x:c>
      <x:c r="S90" t="str">
        <x:v>Preventive</x:v>
      </x:c>
      <x:c r="T90" t="n">
        <x:v>1.22</x:v>
      </x:c>
      <x:c r="U90" t="n">
        <x:v>10.7</x:v>
      </x:c>
    </x:row>
    <x:row r="91">
      <x:c r="A91" s="12" t="n">
        <x:v>46056</x:v>
      </x:c>
      <x:c r="B91" t="str">
        <x:v>C</x:v>
      </x:c>
      <x:c r="C91" t="str">
        <x:v>Dried Mango</x:v>
      </x:c>
      <x:c r="D91" t="str">
        <x:v>Dryer 1</x:v>
      </x:c>
      <x:c r="E91" t="str">
        <x:v>Sup 2</x:v>
      </x:c>
      <x:c r="F91" t="n">
        <x:v>450</x:v>
      </x:c>
      <x:c r="G91" t="n">
        <x:v>30</x:v>
      </x:c>
      <x:c r="H91" t="n">
        <x:v>37</x:v>
      </x:c>
      <x:c r="I91" t="n">
        <x:v>1762</x:v>
      </x:c>
      <x:c r="J91" t="n">
        <x:v>1652</x:v>
      </x:c>
      <x:c r="K91" t="n">
        <x:v>65</x:v>
      </x:c>
      <x:c r="L91" t="n">
        <x:v>30</x:v>
      </x:c>
      <x:c r="M91" t="n">
        <x:v>87.9</x:v>
      </x:c>
      <x:c r="N91" t="n">
        <x:v>83.2</x:v>
      </x:c>
      <x:c r="O91" t="n">
        <x:v>80.9</x:v>
      </x:c>
      <x:c r="P91" t="n">
        <x:v>6</x:v>
      </x:c>
      <x:c r="Q91" t="str">
        <x:v>No incident</x:v>
      </x:c>
      <x:c r="R91" t="str">
        <x:v>N/A</x:v>
      </x:c>
      <x:c r="S91" t="str">
        <x:v>Corrective</x:v>
      </x:c>
      <x:c r="T91" t="n">
        <x:v>1.92</x:v>
      </x:c>
      <x:c r="U91" t="n">
        <x:v>12.4</x:v>
      </x:c>
    </x:row>
    <x:row r="92">
      <x:c r="A92" s="12" t="n">
        <x:v>46057</x:v>
      </x:c>
      <x:c r="B92" t="str">
        <x:v>A</x:v>
      </x:c>
      <x:c r="C92" t="str">
        <x:v>Desiccated Coconut</x:v>
      </x:c>
      <x:c r="D92" t="str">
        <x:v>Dryer 3</x:v>
      </x:c>
      <x:c r="E92" t="str">
        <x:v>Sup 1</x:v>
      </x:c>
      <x:c r="F92" t="n">
        <x:v>480</x:v>
      </x:c>
      <x:c r="G92" t="n">
        <x:v>30</x:v>
      </x:c>
      <x:c r="H92" t="n">
        <x:v>50</x:v>
      </x:c>
      <x:c r="I92" t="n">
        <x:v>1293</x:v>
      </x:c>
      <x:c r="J92" t="n">
        <x:v>1080</x:v>
      </x:c>
      <x:c r="K92" t="n">
        <x:v>52</x:v>
      </x:c>
      <x:c r="L92" t="n">
        <x:v>16</x:v>
      </x:c>
      <x:c r="M92" t="n">
        <x:v>95.3</x:v>
      </x:c>
      <x:c r="N92" t="n">
        <x:v>75.3</x:v>
      </x:c>
      <x:c r="O92" t="n">
        <x:v>61.7</x:v>
      </x:c>
      <x:c r="P92" t="n">
        <x:v>3</x:v>
      </x:c>
      <x:c r="Q92" t="str">
        <x:v>No incident</x:v>
      </x:c>
      <x:c r="R92" t="str">
        <x:v>N/A</x:v>
      </x:c>
      <x:c r="S92" t="str">
        <x:v>Inspection</x:v>
      </x:c>
      <x:c r="T92" t="n">
        <x:v>0.7</x:v>
      </x:c>
      <x:c r="U92" t="n">
        <x:v>9.6</x:v>
      </x:c>
    </x:row>
    <x:row r="93">
      <x:c r="A93" s="12" t="n">
        <x:v>46057</x:v>
      </x:c>
      <x:c r="B93" t="str">
        <x:v>B</x:v>
      </x:c>
      <x:c r="C93" t="str">
        <x:v>Dried Mango</x:v>
      </x:c>
      <x:c r="D93" t="str">
        <x:v>Dryer 4</x:v>
      </x:c>
      <x:c r="E93" t="str">
        <x:v>Sup 2</x:v>
      </x:c>
      <x:c r="F93" t="n">
        <x:v>480</x:v>
      </x:c>
      <x:c r="G93" t="n">
        <x:v>30</x:v>
      </x:c>
      <x:c r="H93" t="n">
        <x:v>66</x:v>
      </x:c>
      <x:c r="I93" t="n">
        <x:v>1719</x:v>
      </x:c>
      <x:c r="J93" t="n">
        <x:v>1349</x:v>
      </x:c>
      <x:c r="K93" t="n">
        <x:v>38</x:v>
      </x:c>
      <x:c r="L93" t="n">
        <x:v>20</x:v>
      </x:c>
      <x:c r="M93" t="n">
        <x:v>91.1</x:v>
      </x:c>
      <x:c r="N93" t="n">
        <x:v>80.9</x:v>
      </x:c>
      <x:c r="O93" t="n">
        <x:v>71.6</x:v>
      </x:c>
      <x:c r="P93" t="n">
        <x:v>2</x:v>
      </x:c>
      <x:c r="Q93" t="str">
        <x:v>No incident</x:v>
      </x:c>
      <x:c r="R93" t="str">
        <x:v>N/A</x:v>
      </x:c>
      <x:c r="S93" t="str">
        <x:v>Inspection</x:v>
      </x:c>
      <x:c r="T93" t="n">
        <x:v>0.9</x:v>
      </x:c>
      <x:c r="U93" t="n">
        <x:v>11.7</x:v>
      </x:c>
    </x:row>
    <x:row r="94">
      <x:c r="A94" s="12" t="n">
        <x:v>46057</x:v>
      </x:c>
      <x:c r="B94" t="str">
        <x:v>C</x:v>
      </x:c>
      <x:c r="C94" t="str">
        <x:v>Desiccated Coconut</x:v>
      </x:c>
      <x:c r="D94" t="str">
        <x:v>Dryer 3</x:v>
      </x:c>
      <x:c r="E94" t="str">
        <x:v>Sup 1</x:v>
      </x:c>
      <x:c r="F94" t="n">
        <x:v>420</x:v>
      </x:c>
      <x:c r="G94" t="n">
        <x:v>30</x:v>
      </x:c>
      <x:c r="H94" t="n">
        <x:v>57</x:v>
      </x:c>
      <x:c r="I94" t="n">
        <x:v>1243</x:v>
      </x:c>
      <x:c r="J94" t="n">
        <x:v>956</x:v>
      </x:c>
      <x:c r="K94" t="n">
        <x:v>36</x:v>
      </x:c>
      <x:c r="L94" t="n">
        <x:v>8</x:v>
      </x:c>
      <x:c r="M94" t="n">
        <x:v>92.1</x:v>
      </x:c>
      <x:c r="N94" t="n">
        <x:v>79.6</x:v>
      </x:c>
      <x:c r="O94" t="n">
        <x:v>69</x:v>
      </x:c>
      <x:c r="P94" t="n">
        <x:v>5</x:v>
      </x:c>
      <x:c r="Q94" t="str">
        <x:v>No incident</x:v>
      </x:c>
      <x:c r="R94" t="str">
        <x:v>N/A</x:v>
      </x:c>
      <x:c r="S94" t="str">
        <x:v>Corrective</x:v>
      </x:c>
      <x:c r="T94" t="n">
        <x:v>1.3</x:v>
      </x:c>
      <x:c r="U94" t="n">
        <x:v>8.2</x:v>
      </x:c>
    </x:row>
    <x:row r="95">
      <x:c r="A95" s="12" t="n">
        <x:v>46058</x:v>
      </x:c>
      <x:c r="B95" t="str">
        <x:v>A</x:v>
      </x:c>
      <x:c r="C95" t="str">
        <x:v>Desiccated Coconut</x:v>
      </x:c>
      <x:c r="D95" t="str">
        <x:v>Dryer 2</x:v>
      </x:c>
      <x:c r="E95" t="str">
        <x:v>Sup 3</x:v>
      </x:c>
      <x:c r="F95" t="n">
        <x:v>420</x:v>
      </x:c>
      <x:c r="G95" t="n">
        <x:v>40</x:v>
      </x:c>
      <x:c r="H95" t="n">
        <x:v>33</x:v>
      </x:c>
      <x:c r="I95" t="n">
        <x:v>1242</x:v>
      </x:c>
      <x:c r="J95" t="n">
        <x:v>1055</x:v>
      </x:c>
      <x:c r="K95" t="n">
        <x:v>24</x:v>
      </x:c>
      <x:c r="L95" t="n">
        <x:v>10</x:v>
      </x:c>
      <x:c r="M95" t="n">
        <x:v>94.3</x:v>
      </x:c>
      <x:c r="N95" t="n">
        <x:v>81.2</x:v>
      </x:c>
      <x:c r="O95" t="n">
        <x:v>74.2</x:v>
      </x:c>
      <x:c r="P95" t="n">
        <x:v>3</x:v>
      </x:c>
      <x:c r="Q95" t="str">
        <x:v>No incident</x:v>
      </x:c>
      <x:c r="R95" t="str">
        <x:v>N/A</x:v>
      </x:c>
      <x:c r="S95" t="str">
        <x:v>Corrective</x:v>
      </x:c>
      <x:c r="T95" t="n">
        <x:v>1.61</x:v>
      </x:c>
      <x:c r="U95" t="n">
        <x:v>9.1</x:v>
      </x:c>
    </x:row>
    <x:row r="96">
      <x:c r="A96" s="12" t="n">
        <x:v>46058</x:v>
      </x:c>
      <x:c r="B96" t="str">
        <x:v>B</x:v>
      </x:c>
      <x:c r="C96" t="str">
        <x:v>Dried Pineapple</x:v>
      </x:c>
      <x:c r="D96" t="str">
        <x:v>Dryer 3</x:v>
      </x:c>
      <x:c r="E96" t="str">
        <x:v>Sup 1</x:v>
      </x:c>
      <x:c r="F96" t="n">
        <x:v>480</x:v>
      </x:c>
      <x:c r="G96" t="n">
        <x:v>30</x:v>
      </x:c>
      <x:c r="H96" t="n">
        <x:v>71</x:v>
      </x:c>
      <x:c r="I96" t="n">
        <x:v>1793</x:v>
      </x:c>
      <x:c r="J96" t="n">
        <x:v>1431</x:v>
      </x:c>
      <x:c r="K96" t="n">
        <x:v>53</x:v>
      </x:c>
      <x:c r="L96" t="n">
        <x:v>19</x:v>
      </x:c>
      <x:c r="M96" t="n">
        <x:v>88.8</x:v>
      </x:c>
      <x:c r="N96" t="n">
        <x:v>93.9</x:v>
      </x:c>
      <x:c r="O96" t="n">
        <x:v>76.4</x:v>
      </x:c>
      <x:c r="P96" t="n">
        <x:v>5</x:v>
      </x:c>
      <x:c r="Q96" t="str">
        <x:v>No incident</x:v>
      </x:c>
      <x:c r="R96" t="str">
        <x:v>N/A</x:v>
      </x:c>
      <x:c r="S96" t="str">
        <x:v>Inspection</x:v>
      </x:c>
      <x:c r="T96" t="n">
        <x:v>0.5</x:v>
      </x:c>
      <x:c r="U96" t="n">
        <x:v>12.9</x:v>
      </x:c>
    </x:row>
    <x:row r="97">
      <x:c r="A97" s="12" t="n">
        <x:v>46058</x:v>
      </x:c>
      <x:c r="B97" t="str">
        <x:v>C</x:v>
      </x:c>
      <x:c r="C97" t="str">
        <x:v>Dried Pineapple</x:v>
      </x:c>
      <x:c r="D97" t="str">
        <x:v>Dryer 1</x:v>
      </x:c>
      <x:c r="E97" t="str">
        <x:v>Sup 3</x:v>
      </x:c>
      <x:c r="F97" t="n">
        <x:v>480</x:v>
      </x:c>
      <x:c r="G97" t="n">
        <x:v>20</x:v>
      </x:c>
      <x:c r="H97" t="n">
        <x:v>64</x:v>
      </x:c>
      <x:c r="I97" t="n">
        <x:v>1786</x:v>
      </x:c>
      <x:c r="J97" t="n">
        <x:v>1546</x:v>
      </x:c>
      <x:c r="K97" t="n">
        <x:v>59</x:v>
      </x:c>
      <x:c r="L97" t="n">
        <x:v>28</x:v>
      </x:c>
      <x:c r="M97" t="n">
        <x:v>81.2</x:v>
      </x:c>
      <x:c r="N97" t="n">
        <x:v>65.4</x:v>
      </x:c>
      <x:c r="O97" t="n">
        <x:v>72.2</x:v>
      </x:c>
      <x:c r="P97" t="n">
        <x:v>0</x:v>
      </x:c>
      <x:c r="Q97" t="str">
        <x:v>First aid</x:v>
      </x:c>
      <x:c r="R97" t="str">
        <x:v>In progress</x:v>
      </x:c>
      <x:c r="S97" t="str">
        <x:v>Corrective</x:v>
      </x:c>
      <x:c r="T97" t="n">
        <x:v>1.55</x:v>
      </x:c>
      <x:c r="U97" t="n">
        <x:v>13.6</x:v>
      </x:c>
    </x:row>
    <x:row r="98">
      <x:c r="A98" s="12" t="n">
        <x:v>46059</x:v>
      </x:c>
      <x:c r="B98" t="str">
        <x:v>A</x:v>
      </x:c>
      <x:c r="C98" t="str">
        <x:v>Dried Pineapple</x:v>
      </x:c>
      <x:c r="D98" t="str">
        <x:v>Dryer 1</x:v>
      </x:c>
      <x:c r="E98" t="str">
        <x:v>Sup 3</x:v>
      </x:c>
      <x:c r="F98" t="n">
        <x:v>420</x:v>
      </x:c>
      <x:c r="G98" t="n">
        <x:v>40</x:v>
      </x:c>
      <x:c r="H98" t="n">
        <x:v>30</x:v>
      </x:c>
      <x:c r="I98" t="n">
        <x:v>1665</x:v>
      </x:c>
      <x:c r="J98" t="n">
        <x:v>1504</x:v>
      </x:c>
      <x:c r="K98" t="n">
        <x:v>59</x:v>
      </x:c>
      <x:c r="L98" t="n">
        <x:v>31</x:v>
      </x:c>
      <x:c r="M98" t="n">
        <x:v>99.7</x:v>
      </x:c>
      <x:c r="N98" t="n">
        <x:v>83</x:v>
      </x:c>
      <x:c r="O98" t="n">
        <x:v>71.5</x:v>
      </x:c>
      <x:c r="P98" t="n">
        <x:v>4</x:v>
      </x:c>
      <x:c r="Q98" t="str">
        <x:v>No incident</x:v>
      </x:c>
      <x:c r="R98" t="str">
        <x:v>N/A</x:v>
      </x:c>
      <x:c r="S98" t="str">
        <x:v>Inspection</x:v>
      </x:c>
      <x:c r="T98" t="n">
        <x:v>0.76</x:v>
      </x:c>
      <x:c r="U98" t="n">
        <x:v>13.5</x:v>
      </x:c>
    </x:row>
    <x:row r="99">
      <x:c r="A99" s="12" t="n">
        <x:v>46059</x:v>
      </x:c>
      <x:c r="B99" t="str">
        <x:v>B</x:v>
      </x:c>
      <x:c r="C99" t="str">
        <x:v>Dried Pineapple</x:v>
      </x:c>
      <x:c r="D99" t="str">
        <x:v>Dryer 4</x:v>
      </x:c>
      <x:c r="E99" t="str">
        <x:v>Sup 2</x:v>
      </x:c>
      <x:c r="F99" t="n">
        <x:v>450</x:v>
      </x:c>
      <x:c r="G99" t="n">
        <x:v>40</x:v>
      </x:c>
      <x:c r="H99" t="n">
        <x:v>43</x:v>
      </x:c>
      <x:c r="I99" t="n">
        <x:v>1755</x:v>
      </x:c>
      <x:c r="J99" t="n">
        <x:v>1585</x:v>
      </x:c>
      <x:c r="K99" t="n">
        <x:v>46</x:v>
      </x:c>
      <x:c r="L99" t="n">
        <x:v>10</x:v>
      </x:c>
      <x:c r="M99" t="n">
        <x:v>96.9</x:v>
      </x:c>
      <x:c r="N99" t="n">
        <x:v>85.7</x:v>
      </x:c>
      <x:c r="O99" t="n">
        <x:v>75.4</x:v>
      </x:c>
      <x:c r="P99" t="n">
        <x:v>3</x:v>
      </x:c>
      <x:c r="Q99" t="str">
        <x:v>No incident</x:v>
      </x:c>
      <x:c r="R99" t="str">
        <x:v>N/A</x:v>
      </x:c>
      <x:c r="S99" t="str">
        <x:v>Corrective</x:v>
      </x:c>
      <x:c r="T99" t="n">
        <x:v>1.43</x:v>
      </x:c>
      <x:c r="U99" t="n">
        <x:v>12.6</x:v>
      </x:c>
    </x:row>
    <x:row r="100">
      <x:c r="A100" s="12" t="n">
        <x:v>46059</x:v>
      </x:c>
      <x:c r="B100" t="str">
        <x:v>C</x:v>
      </x:c>
      <x:c r="C100" t="str">
        <x:v>Dried Pineapple</x:v>
      </x:c>
      <x:c r="D100" t="str">
        <x:v>Dryer 4</x:v>
      </x:c>
      <x:c r="E100" t="str">
        <x:v>Sup 2</x:v>
      </x:c>
      <x:c r="F100" t="n">
        <x:v>480</x:v>
      </x:c>
      <x:c r="G100" t="n">
        <x:v>40</x:v>
      </x:c>
      <x:c r="H100" t="n">
        <x:v>54</x:v>
      </x:c>
      <x:c r="I100" t="n">
        <x:v>1649</x:v>
      </x:c>
      <x:c r="J100" t="n">
        <x:v>1442</x:v>
      </x:c>
      <x:c r="K100" t="n">
        <x:v>34</x:v>
      </x:c>
      <x:c r="L100" t="n">
        <x:v>10</x:v>
      </x:c>
      <x:c r="M100" t="n">
        <x:v>85</x:v>
      </x:c>
      <x:c r="N100" t="n">
        <x:v>80</x:v>
      </x:c>
      <x:c r="O100" t="n">
        <x:v>56.5</x:v>
      </x:c>
      <x:c r="P100" t="n">
        <x:v>2</x:v>
      </x:c>
      <x:c r="Q100" t="str">
        <x:v>No incident</x:v>
      </x:c>
      <x:c r="R100" t="str">
        <x:v>N/A</x:v>
      </x:c>
      <x:c r="S100" t="str">
        <x:v>Corrective</x:v>
      </x:c>
      <x:c r="T100" t="n">
        <x:v>1.42</x:v>
      </x:c>
      <x:c r="U100" t="n">
        <x:v>11.4</x:v>
      </x:c>
    </x:row>
    <x:row r="101">
      <x:c r="A101" s="12" t="n">
        <x:v>46060</x:v>
      </x:c>
      <x:c r="B101" t="str">
        <x:v>A</x:v>
      </x:c>
      <x:c r="C101" t="str">
        <x:v>Dried Pineapple</x:v>
      </x:c>
      <x:c r="D101" t="str">
        <x:v>Dryer 2</x:v>
      </x:c>
      <x:c r="E101" t="str">
        <x:v>Sup 1</x:v>
      </x:c>
      <x:c r="F101" t="n">
        <x:v>450</x:v>
      </x:c>
      <x:c r="G101" t="n">
        <x:v>30</x:v>
      </x:c>
      <x:c r="H101" t="n">
        <x:v>47</x:v>
      </x:c>
      <x:c r="I101" t="n">
        <x:v>1613</x:v>
      </x:c>
      <x:c r="J101" t="n">
        <x:v>1353</x:v>
      </x:c>
      <x:c r="K101" t="n">
        <x:v>43</x:v>
      </x:c>
      <x:c r="L101" t="n">
        <x:v>18</x:v>
      </x:c>
      <x:c r="M101" t="n">
        <x:v>91.2</x:v>
      </x:c>
      <x:c r="N101" t="n">
        <x:v>86.1</x:v>
      </x:c>
      <x:c r="O101" t="n">
        <x:v>81.8</x:v>
      </x:c>
      <x:c r="P101" t="n">
        <x:v>3</x:v>
      </x:c>
      <x:c r="Q101" t="str">
        <x:v>No incident</x:v>
      </x:c>
      <x:c r="R101" t="str">
        <x:v>N/A</x:v>
      </x:c>
      <x:c r="S101" t="str">
        <x:v>Corrective</x:v>
      </x:c>
      <x:c r="T101" t="n">
        <x:v>1.73</x:v>
      </x:c>
      <x:c r="U101" t="n">
        <x:v>11</x:v>
      </x:c>
    </x:row>
    <x:row r="102">
      <x:c r="A102" s="12" t="n">
        <x:v>46060</x:v>
      </x:c>
      <x:c r="B102" t="str">
        <x:v>B</x:v>
      </x:c>
      <x:c r="C102" t="str">
        <x:v>Desiccated Coconut</x:v>
      </x:c>
      <x:c r="D102" t="str">
        <x:v>Dryer 1</x:v>
      </x:c>
      <x:c r="E102" t="str">
        <x:v>Sup 1</x:v>
      </x:c>
      <x:c r="F102" t="n">
        <x:v>450</x:v>
      </x:c>
      <x:c r="G102" t="n">
        <x:v>40</x:v>
      </x:c>
      <x:c r="H102" t="n">
        <x:v>40</x:v>
      </x:c>
      <x:c r="I102" t="n">
        <x:v>1177</x:v>
      </x:c>
      <x:c r="J102" t="n">
        <x:v>1084</x:v>
      </x:c>
      <x:c r="K102" t="n">
        <x:v>27</x:v>
      </x:c>
      <x:c r="L102" t="n">
        <x:v>9</x:v>
      </x:c>
      <x:c r="M102" t="n">
        <x:v>99.2</x:v>
      </x:c>
      <x:c r="N102" t="n">
        <x:v>68.1</x:v>
      </x:c>
      <x:c r="O102" t="n">
        <x:v>88.9</x:v>
      </x:c>
      <x:c r="P102" t="n">
        <x:v>4</x:v>
      </x:c>
      <x:c r="Q102" t="str">
        <x:v>No incident</x:v>
      </x:c>
      <x:c r="R102" t="str">
        <x:v>N/A</x:v>
      </x:c>
      <x:c r="S102" t="str">
        <x:v>Corrective</x:v>
      </x:c>
      <x:c r="T102" t="n">
        <x:v>1.59</x:v>
      </x:c>
      <x:c r="U102" t="n">
        <x:v>9.1</x:v>
      </x:c>
    </x:row>
    <x:row r="103">
      <x:c r="A103" s="12" t="n">
        <x:v>46060</x:v>
      </x:c>
      <x:c r="B103" t="str">
        <x:v>C</x:v>
      </x:c>
      <x:c r="C103" t="str">
        <x:v>Dried Pineapple</x:v>
      </x:c>
      <x:c r="D103" t="str">
        <x:v>Dryer 3</x:v>
      </x:c>
      <x:c r="E103" t="str">
        <x:v>Sup 3</x:v>
      </x:c>
      <x:c r="F103" t="n">
        <x:v>420</x:v>
      </x:c>
      <x:c r="G103" t="n">
        <x:v>30</x:v>
      </x:c>
      <x:c r="H103" t="n">
        <x:v>63</x:v>
      </x:c>
      <x:c r="I103" t="n">
        <x:v>1806</x:v>
      </x:c>
      <x:c r="J103" t="n">
        <x:v>1334</x:v>
      </x:c>
      <x:c r="K103" t="n">
        <x:v>65</x:v>
      </x:c>
      <x:c r="L103" t="n">
        <x:v>29</x:v>
      </x:c>
      <x:c r="M103" t="n">
        <x:v>88.2</x:v>
      </x:c>
      <x:c r="N103" t="n">
        <x:v>63</x:v>
      </x:c>
      <x:c r="O103" t="n">
        <x:v>63.8</x:v>
      </x:c>
      <x:c r="P103" t="n">
        <x:v>5</x:v>
      </x:c>
      <x:c r="Q103" t="str">
        <x:v>Near miss</x:v>
      </x:c>
      <x:c r="R103" t="str">
        <x:v>In progress</x:v>
      </x:c>
      <x:c r="S103" t="str">
        <x:v>Corrective</x:v>
      </x:c>
      <x:c r="T103" t="n">
        <x:v>1.97</x:v>
      </x:c>
      <x:c r="U103" t="n">
        <x:v>11.4</x:v>
      </x:c>
    </x:row>
    <x:row r="104">
      <x:c r="A104" s="12" t="n">
        <x:v>46061</x:v>
      </x:c>
      <x:c r="B104" t="str">
        <x:v>A</x:v>
      </x:c>
      <x:c r="C104" t="str">
        <x:v>Dried Mango</x:v>
      </x:c>
      <x:c r="D104" t="str">
        <x:v>Dryer 1</x:v>
      </x:c>
      <x:c r="E104" t="str">
        <x:v>Sup 1</x:v>
      </x:c>
      <x:c r="F104" t="n">
        <x:v>450</x:v>
      </x:c>
      <x:c r="G104" t="n">
        <x:v>0</x:v>
      </x:c>
      <x:c r="H104" t="n">
        <x:v>32</x:v>
      </x:c>
      <x:c r="I104" t="n">
        <x:v>1562</x:v>
      </x:c>
      <x:c r="J104" t="n">
        <x:v>1382</x:v>
      </x:c>
      <x:c r="K104" t="n">
        <x:v>45</x:v>
      </x:c>
      <x:c r="L104" t="n">
        <x:v>28</x:v>
      </x:c>
      <x:c r="M104" t="n">
        <x:v>92.3</x:v>
      </x:c>
      <x:c r="N104" t="n">
        <x:v>68.9</x:v>
      </x:c>
      <x:c r="O104" t="n">
        <x:v>90.3</x:v>
      </x:c>
      <x:c r="P104" t="n">
        <x:v>5</x:v>
      </x:c>
      <x:c r="Q104" t="str">
        <x:v>Near miss</x:v>
      </x:c>
      <x:c r="R104" t="str">
        <x:v>Open</x:v>
      </x:c>
      <x:c r="S104" t="str">
        <x:v>Corrective</x:v>
      </x:c>
      <x:c r="T104" t="n">
        <x:v>1.63</x:v>
      </x:c>
      <x:c r="U104" t="n">
        <x:v>11.5</x:v>
      </x:c>
    </x:row>
    <x:row r="105">
      <x:c r="A105" s="12" t="n">
        <x:v>46061</x:v>
      </x:c>
      <x:c r="B105" t="str">
        <x:v>B</x:v>
      </x:c>
      <x:c r="C105" t="str">
        <x:v>Dried Mango</x:v>
      </x:c>
      <x:c r="D105" t="str">
        <x:v>Dryer 4</x:v>
      </x:c>
      <x:c r="E105" t="str">
        <x:v>Sup 2</x:v>
      </x:c>
      <x:c r="F105" t="n">
        <x:v>450</x:v>
      </x:c>
      <x:c r="G105" t="n">
        <x:v>40</x:v>
      </x:c>
      <x:c r="H105" t="n">
        <x:v>44</x:v>
      </x:c>
      <x:c r="I105" t="n">
        <x:v>1779</x:v>
      </x:c>
      <x:c r="J105" t="n">
        <x:v>1498</x:v>
      </x:c>
      <x:c r="K105" t="n">
        <x:v>64</x:v>
      </x:c>
      <x:c r="L105" t="n">
        <x:v>22</x:v>
      </x:c>
      <x:c r="M105" t="n">
        <x:v>92.9</x:v>
      </x:c>
      <x:c r="N105" t="n">
        <x:v>84</x:v>
      </x:c>
      <x:c r="O105" t="n">
        <x:v>81.4</x:v>
      </x:c>
      <x:c r="P105" t="n">
        <x:v>5</x:v>
      </x:c>
      <x:c r="Q105" t="str">
        <x:v>No incident</x:v>
      </x:c>
      <x:c r="R105" t="str">
        <x:v>N/A</x:v>
      </x:c>
      <x:c r="S105" t="str">
        <x:v>Corrective</x:v>
      </x:c>
      <x:c r="T105" t="n">
        <x:v>1.3</x:v>
      </x:c>
      <x:c r="U105" t="n">
        <x:v>13</x:v>
      </x:c>
    </x:row>
    <x:row r="106">
      <x:c r="A106" s="12" t="n">
        <x:v>46061</x:v>
      </x:c>
      <x:c r="B106" t="str">
        <x:v>C</x:v>
      </x:c>
      <x:c r="C106" t="str">
        <x:v>Dried Mango</x:v>
      </x:c>
      <x:c r="D106" t="str">
        <x:v>Dryer 4</x:v>
      </x:c>
      <x:c r="E106" t="str">
        <x:v>Sup 2</x:v>
      </x:c>
      <x:c r="F106" t="n">
        <x:v>450</x:v>
      </x:c>
      <x:c r="G106" t="n">
        <x:v>30</x:v>
      </x:c>
      <x:c r="H106" t="n">
        <x:v>54</x:v>
      </x:c>
      <x:c r="I106" t="n">
        <x:v>1779</x:v>
      </x:c>
      <x:c r="J106" t="n">
        <x:v>1587</x:v>
      </x:c>
      <x:c r="K106" t="n">
        <x:v>68</x:v>
      </x:c>
      <x:c r="L106" t="n">
        <x:v>21</x:v>
      </x:c>
      <x:c r="M106" t="n">
        <x:v>82</x:v>
      </x:c>
      <x:c r="N106" t="n">
        <x:v>81.1</x:v>
      </x:c>
      <x:c r="O106" t="n">
        <x:v>81.9</x:v>
      </x:c>
      <x:c r="P106" t="n">
        <x:v>5</x:v>
      </x:c>
      <x:c r="Q106" t="str">
        <x:v>No incident</x:v>
      </x:c>
      <x:c r="R106" t="str">
        <x:v>N/A</x:v>
      </x:c>
      <x:c r="S106" t="str">
        <x:v>Corrective</x:v>
      </x:c>
      <x:c r="T106" t="n">
        <x:v>1.49</x:v>
      </x:c>
      <x:c r="U106" t="n">
        <x:v>11.9</x:v>
      </x:c>
    </x:row>
    <x:row r="107">
      <x:c r="A107" s="12" t="n">
        <x:v>46062</x:v>
      </x:c>
      <x:c r="B107" t="str">
        <x:v>A</x:v>
      </x:c>
      <x:c r="C107" t="str">
        <x:v>Dried Mango</x:v>
      </x:c>
      <x:c r="D107" t="str">
        <x:v>Dryer 3</x:v>
      </x:c>
      <x:c r="E107" t="str">
        <x:v>Sup 3</x:v>
      </x:c>
      <x:c r="F107" t="n">
        <x:v>450</x:v>
      </x:c>
      <x:c r="G107" t="n">
        <x:v>40</x:v>
      </x:c>
      <x:c r="H107" t="n">
        <x:v>61</x:v>
      </x:c>
      <x:c r="I107" t="n">
        <x:v>1730</x:v>
      </x:c>
      <x:c r="J107" t="n">
        <x:v>1381</x:v>
      </x:c>
      <x:c r="K107" t="n">
        <x:v>76</x:v>
      </x:c>
      <x:c r="L107" t="n">
        <x:v>29</x:v>
      </x:c>
      <x:c r="M107" t="n">
        <x:v>92.1</x:v>
      </x:c>
      <x:c r="N107" t="n">
        <x:v>64.9</x:v>
      </x:c>
      <x:c r="O107" t="n">
        <x:v>73.4</x:v>
      </x:c>
      <x:c r="P107" t="n">
        <x:v>6</x:v>
      </x:c>
      <x:c r="Q107" t="str">
        <x:v>No incident</x:v>
      </x:c>
      <x:c r="R107" t="str">
        <x:v>N/A</x:v>
      </x:c>
      <x:c r="S107" t="str">
        <x:v>Corrective</x:v>
      </x:c>
      <x:c r="T107" t="n">
        <x:v>1.07</x:v>
      </x:c>
      <x:c r="U107" t="n">
        <x:v>12.1</x:v>
      </x:c>
    </x:row>
    <x:row r="108">
      <x:c r="A108" s="12" t="n">
        <x:v>46062</x:v>
      </x:c>
      <x:c r="B108" t="str">
        <x:v>B</x:v>
      </x:c>
      <x:c r="C108" t="str">
        <x:v>Desiccated Coconut</x:v>
      </x:c>
      <x:c r="D108" t="str">
        <x:v>Dryer 2</x:v>
      </x:c>
      <x:c r="E108" t="str">
        <x:v>Sup 2</x:v>
      </x:c>
      <x:c r="F108" t="n">
        <x:v>450</x:v>
      </x:c>
      <x:c r="G108" t="n">
        <x:v>40</x:v>
      </x:c>
      <x:c r="H108" t="n">
        <x:v>49</x:v>
      </x:c>
      <x:c r="I108" t="n">
        <x:v>1276</x:v>
      </x:c>
      <x:c r="J108" t="n">
        <x:v>1128</x:v>
      </x:c>
      <x:c r="K108" t="n">
        <x:v>19</x:v>
      </x:c>
      <x:c r="L108" t="n">
        <x:v>7</x:v>
      </x:c>
      <x:c r="M108" t="n">
        <x:v>87.8</x:v>
      </x:c>
      <x:c r="N108" t="n">
        <x:v>72.2</x:v>
      </x:c>
      <x:c r="O108" t="n">
        <x:v>80.6</x:v>
      </x:c>
      <x:c r="P108" t="n">
        <x:v>6</x:v>
      </x:c>
      <x:c r="Q108" t="str">
        <x:v>No incident</x:v>
      </x:c>
      <x:c r="R108" t="str">
        <x:v>N/A</x:v>
      </x:c>
      <x:c r="S108" t="str">
        <x:v>Inspection</x:v>
      </x:c>
      <x:c r="T108" t="n">
        <x:v>0.99</x:v>
      </x:c>
      <x:c r="U108" t="n">
        <x:v>8.8</x:v>
      </x:c>
    </x:row>
    <x:row r="109">
      <x:c r="A109" s="12" t="n">
        <x:v>46062</x:v>
      </x:c>
      <x:c r="B109" t="str">
        <x:v>C</x:v>
      </x:c>
      <x:c r="C109" t="str">
        <x:v>Dried Mango</x:v>
      </x:c>
      <x:c r="D109" t="str">
        <x:v>Dryer 1</x:v>
      </x:c>
      <x:c r="E109" t="str">
        <x:v>Sup 3</x:v>
      </x:c>
      <x:c r="F109" t="n">
        <x:v>420</x:v>
      </x:c>
      <x:c r="G109" t="n">
        <x:v>40</x:v>
      </x:c>
      <x:c r="H109" t="n">
        <x:v>39</x:v>
      </x:c>
      <x:c r="I109" t="n">
        <x:v>1734</x:v>
      </x:c>
      <x:c r="J109" t="n">
        <x:v>1512</x:v>
      </x:c>
      <x:c r="K109" t="n">
        <x:v>70</x:v>
      </x:c>
      <x:c r="L109" t="n">
        <x:v>23</x:v>
      </x:c>
      <x:c r="M109" t="n">
        <x:v>89.4</x:v>
      </x:c>
      <x:c r="N109" t="n">
        <x:v>68</x:v>
      </x:c>
      <x:c r="O109" t="n">
        <x:v>76.6</x:v>
      </x:c>
      <x:c r="P109" t="n">
        <x:v>4</x:v>
      </x:c>
      <x:c r="Q109" t="str">
        <x:v>No incident</x:v>
      </x:c>
      <x:c r="R109" t="str">
        <x:v>N/A</x:v>
      </x:c>
      <x:c r="S109" t="str">
        <x:v>Inspection</x:v>
      </x:c>
      <x:c r="T109" t="n">
        <x:v>0.92</x:v>
      </x:c>
      <x:c r="U109" t="n">
        <x:v>11.8</x:v>
      </x:c>
    </x:row>
    <x:row r="110">
      <x:c r="A110" s="12" t="n">
        <x:v>46063</x:v>
      </x:c>
      <x:c r="B110" t="str">
        <x:v>A</x:v>
      </x:c>
      <x:c r="C110" t="str">
        <x:v>Dried Mango</x:v>
      </x:c>
      <x:c r="D110" t="str">
        <x:v>Dryer 3</x:v>
      </x:c>
      <x:c r="E110" t="str">
        <x:v>Sup 2</x:v>
      </x:c>
      <x:c r="F110" t="n">
        <x:v>420</x:v>
      </x:c>
      <x:c r="G110" t="n">
        <x:v>20</x:v>
      </x:c>
      <x:c r="H110" t="n">
        <x:v>54</x:v>
      </x:c>
      <x:c r="I110" t="n">
        <x:v>1652</x:v>
      </x:c>
      <x:c r="J110" t="n">
        <x:v>1324</x:v>
      </x:c>
      <x:c r="K110" t="n">
        <x:v>67</x:v>
      </x:c>
      <x:c r="L110" t="n">
        <x:v>26</x:v>
      </x:c>
      <x:c r="M110" t="n">
        <x:v>100</x:v>
      </x:c>
      <x:c r="N110" t="n">
        <x:v>75.1</x:v>
      </x:c>
      <x:c r="O110" t="n">
        <x:v>83.8</x:v>
      </x:c>
      <x:c r="P110" t="n">
        <x:v>2</x:v>
      </x:c>
      <x:c r="Q110" t="str">
        <x:v>No incident</x:v>
      </x:c>
      <x:c r="R110" t="str">
        <x:v>N/A</x:v>
      </x:c>
      <x:c r="S110" t="str">
        <x:v>Corrective</x:v>
      </x:c>
      <x:c r="T110" t="n">
        <x:v>1.61</x:v>
      </x:c>
      <x:c r="U110" t="n">
        <x:v>10.9</x:v>
      </x:c>
    </x:row>
    <x:row r="111">
      <x:c r="A111" s="12" t="n">
        <x:v>46063</x:v>
      </x:c>
      <x:c r="B111" t="str">
        <x:v>B</x:v>
      </x:c>
      <x:c r="C111" t="str">
        <x:v>Desiccated Coconut</x:v>
      </x:c>
      <x:c r="D111" t="str">
        <x:v>Dryer 3</x:v>
      </x:c>
      <x:c r="E111" t="str">
        <x:v>Sup 2</x:v>
      </x:c>
      <x:c r="F111" t="n">
        <x:v>420</x:v>
      </x:c>
      <x:c r="G111" t="n">
        <x:v>20</x:v>
      </x:c>
      <x:c r="H111" t="n">
        <x:v>51</x:v>
      </x:c>
      <x:c r="I111" t="n">
        <x:v>1215</x:v>
      </x:c>
      <x:c r="J111" t="n">
        <x:v>1090</x:v>
      </x:c>
      <x:c r="K111" t="n">
        <x:v>47</x:v>
      </x:c>
      <x:c r="L111" t="n">
        <x:v>13</x:v>
      </x:c>
      <x:c r="M111" t="n">
        <x:v>94.5</x:v>
      </x:c>
      <x:c r="N111" t="n">
        <x:v>82.6</x:v>
      </x:c>
      <x:c r="O111" t="n">
        <x:v>87.8</x:v>
      </x:c>
      <x:c r="P111" t="n">
        <x:v>3</x:v>
      </x:c>
      <x:c r="Q111" t="str">
        <x:v>No incident</x:v>
      </x:c>
      <x:c r="R111" t="str">
        <x:v>N/A</x:v>
      </x:c>
      <x:c r="S111" t="str">
        <x:v>Preventive</x:v>
      </x:c>
      <x:c r="T111" t="n">
        <x:v>0.57</x:v>
      </x:c>
      <x:c r="U111" t="n">
        <x:v>8.9</x:v>
      </x:c>
    </x:row>
    <x:row r="112">
      <x:c r="A112" s="12" t="n">
        <x:v>46063</x:v>
      </x:c>
      <x:c r="B112" t="str">
        <x:v>C</x:v>
      </x:c>
      <x:c r="C112" t="str">
        <x:v>Desiccated Coconut</x:v>
      </x:c>
      <x:c r="D112" t="str">
        <x:v>Dryer 2</x:v>
      </x:c>
      <x:c r="E112" t="str">
        <x:v>Sup 3</x:v>
      </x:c>
      <x:c r="F112" t="n">
        <x:v>450</x:v>
      </x:c>
      <x:c r="G112" t="n">
        <x:v>0</x:v>
      </x:c>
      <x:c r="H112" t="n">
        <x:v>42</x:v>
      </x:c>
      <x:c r="I112" t="n">
        <x:v>1162</x:v>
      </x:c>
      <x:c r="J112" t="n">
        <x:v>1087</x:v>
      </x:c>
      <x:c r="K112" t="n">
        <x:v>24</x:v>
      </x:c>
      <x:c r="L112" t="n">
        <x:v>4</x:v>
      </x:c>
      <x:c r="M112" t="n">
        <x:v>91.8</x:v>
      </x:c>
      <x:c r="N112" t="n">
        <x:v>81.1</x:v>
      </x:c>
      <x:c r="O112" t="n">
        <x:v>70.6</x:v>
      </x:c>
      <x:c r="P112" t="n">
        <x:v>0</x:v>
      </x:c>
      <x:c r="Q112" t="str">
        <x:v>No incident</x:v>
      </x:c>
      <x:c r="R112" t="str">
        <x:v>N/A</x:v>
      </x:c>
      <x:c r="S112" t="str">
        <x:v>Inspection</x:v>
      </x:c>
      <x:c r="T112" t="n">
        <x:v>1.09</x:v>
      </x:c>
      <x:c r="U112" t="n">
        <x:v>9.8</x:v>
      </x:c>
    </x:row>
    <x:row r="113">
      <x:c r="A113" s="12" t="n">
        <x:v>46064</x:v>
      </x:c>
      <x:c r="B113" t="str">
        <x:v>A</x:v>
      </x:c>
      <x:c r="C113" t="str">
        <x:v>Desiccated Coconut</x:v>
      </x:c>
      <x:c r="D113" t="str">
        <x:v>Dryer 3</x:v>
      </x:c>
      <x:c r="E113" t="str">
        <x:v>Sup 3</x:v>
      </x:c>
      <x:c r="F113" t="n">
        <x:v>450</x:v>
      </x:c>
      <x:c r="G113" t="n">
        <x:v>30</x:v>
      </x:c>
      <x:c r="H113" t="n">
        <x:v>66</x:v>
      </x:c>
      <x:c r="I113" t="n">
        <x:v>1104</x:v>
      </x:c>
      <x:c r="J113" t="n">
        <x:v>829</x:v>
      </x:c>
      <x:c r="K113" t="n">
        <x:v>36</x:v>
      </x:c>
      <x:c r="L113" t="n">
        <x:v>14</x:v>
      </x:c>
      <x:c r="M113" t="n">
        <x:v>88.1</x:v>
      </x:c>
      <x:c r="N113" t="n">
        <x:v>84</x:v>
      </x:c>
      <x:c r="O113" t="n">
        <x:v>75.5</x:v>
      </x:c>
      <x:c r="P113" t="n">
        <x:v>2</x:v>
      </x:c>
      <x:c r="Q113" t="str">
        <x:v>No incident</x:v>
      </x:c>
      <x:c r="R113" t="str">
        <x:v>N/A</x:v>
      </x:c>
      <x:c r="S113" t="str">
        <x:v>Preventive</x:v>
      </x:c>
      <x:c r="T113" t="n">
        <x:v>1.18</x:v>
      </x:c>
      <x:c r="U113" t="n">
        <x:v>6.9</x:v>
      </x:c>
    </x:row>
    <x:row r="114">
      <x:c r="A114" s="12" t="n">
        <x:v>46064</x:v>
      </x:c>
      <x:c r="B114" t="str">
        <x:v>B</x:v>
      </x:c>
      <x:c r="C114" t="str">
        <x:v>Dried Mango</x:v>
      </x:c>
      <x:c r="D114" t="str">
        <x:v>Dryer 3</x:v>
      </x:c>
      <x:c r="E114" t="str">
        <x:v>Sup 2</x:v>
      </x:c>
      <x:c r="F114" t="n">
        <x:v>450</x:v>
      </x:c>
      <x:c r="G114" t="n">
        <x:v>40</x:v>
      </x:c>
      <x:c r="H114" t="n">
        <x:v>72</x:v>
      </x:c>
      <x:c r="I114" t="n">
        <x:v>1576</x:v>
      </x:c>
      <x:c r="J114" t="n">
        <x:v>1207</x:v>
      </x:c>
      <x:c r="K114" t="n">
        <x:v>69</x:v>
      </x:c>
      <x:c r="L114" t="n">
        <x:v>15</x:v>
      </x:c>
      <x:c r="M114" t="n">
        <x:v>89.7</x:v>
      </x:c>
      <x:c r="N114" t="n">
        <x:v>86.1</x:v>
      </x:c>
      <x:c r="O114" t="n">
        <x:v>81.5</x:v>
      </x:c>
      <x:c r="P114" t="n">
        <x:v>4</x:v>
      </x:c>
      <x:c r="Q114" t="str">
        <x:v>Recordable</x:v>
      </x:c>
      <x:c r="R114" t="str">
        <x:v>In progress</x:v>
      </x:c>
      <x:c r="S114" t="str">
        <x:v>Preventive</x:v>
      </x:c>
      <x:c r="T114" t="n">
        <x:v>0.5</x:v>
      </x:c>
      <x:c r="U114" t="n">
        <x:v>9.7</x:v>
      </x:c>
    </x:row>
    <x:row r="115">
      <x:c r="A115" s="12" t="n">
        <x:v>46064</x:v>
      </x:c>
      <x:c r="B115" t="str">
        <x:v>C</x:v>
      </x:c>
      <x:c r="C115" t="str">
        <x:v>Dried Pineapple</x:v>
      </x:c>
      <x:c r="D115" t="str">
        <x:v>Dryer 3</x:v>
      </x:c>
      <x:c r="E115" t="str">
        <x:v>Sup 2</x:v>
      </x:c>
      <x:c r="F115" t="n">
        <x:v>420</x:v>
      </x:c>
      <x:c r="G115" t="n">
        <x:v>40</x:v>
      </x:c>
      <x:c r="H115" t="n">
        <x:v>59</x:v>
      </x:c>
      <x:c r="I115" t="n">
        <x:v>1813</x:v>
      </x:c>
      <x:c r="J115" t="n">
        <x:v>1417</x:v>
      </x:c>
      <x:c r="K115" t="n">
        <x:v>73</x:v>
      </x:c>
      <x:c r="L115" t="n">
        <x:v>30</x:v>
      </x:c>
      <x:c r="M115" t="n">
        <x:v>88.2</x:v>
      </x:c>
      <x:c r="N115" t="n">
        <x:v>63.7</x:v>
      </x:c>
      <x:c r="O115" t="n">
        <x:v>67.3</x:v>
      </x:c>
      <x:c r="P115" t="n">
        <x:v>1</x:v>
      </x:c>
      <x:c r="Q115" t="str">
        <x:v>Near miss</x:v>
      </x:c>
      <x:c r="R115" t="str">
        <x:v>In progress</x:v>
      </x:c>
      <x:c r="S115" t="str">
        <x:v>Preventive</x:v>
      </x:c>
      <x:c r="T115" t="n">
        <x:v>0.75</x:v>
      </x:c>
      <x:c r="U115" t="n">
        <x:v>12.5</x:v>
      </x:c>
    </x:row>
    <x:row r="116">
      <x:c r="A116" s="12" t="n">
        <x:v>46065</x:v>
      </x:c>
      <x:c r="B116" t="str">
        <x:v>A</x:v>
      </x:c>
      <x:c r="C116" t="str">
        <x:v>Dried Mango</x:v>
      </x:c>
      <x:c r="D116" t="str">
        <x:v>Dryer 1</x:v>
      </x:c>
      <x:c r="E116" t="str">
        <x:v>Sup 1</x:v>
      </x:c>
      <x:c r="F116" t="n">
        <x:v>420</x:v>
      </x:c>
      <x:c r="G116" t="n">
        <x:v>30</x:v>
      </x:c>
      <x:c r="H116" t="n">
        <x:v>48</x:v>
      </x:c>
      <x:c r="I116" t="n">
        <x:v>1697</x:v>
      </x:c>
      <x:c r="J116" t="n">
        <x:v>1530</x:v>
      </x:c>
      <x:c r="K116" t="n">
        <x:v>63</x:v>
      </x:c>
      <x:c r="L116" t="n">
        <x:v>35</x:v>
      </x:c>
      <x:c r="M116" t="n">
        <x:v>79.4</x:v>
      </x:c>
      <x:c r="N116" t="n">
        <x:v>78.5</x:v>
      </x:c>
      <x:c r="O116" t="n">
        <x:v>82.7</x:v>
      </x:c>
      <x:c r="P116" t="n">
        <x:v>3</x:v>
      </x:c>
      <x:c r="Q116" t="str">
        <x:v>No incident</x:v>
      </x:c>
      <x:c r="R116" t="str">
        <x:v>N/A</x:v>
      </x:c>
      <x:c r="S116" t="str">
        <x:v>Inspection</x:v>
      </x:c>
      <x:c r="T116" t="n">
        <x:v>0.76</x:v>
      </x:c>
      <x:c r="U116" t="n">
        <x:v>11.9</x:v>
      </x:c>
    </x:row>
    <x:row r="117">
      <x:c r="A117" s="12" t="n">
        <x:v>46065</x:v>
      </x:c>
      <x:c r="B117" t="str">
        <x:v>B</x:v>
      </x:c>
      <x:c r="C117" t="str">
        <x:v>Desiccated Coconut</x:v>
      </x:c>
      <x:c r="D117" t="str">
        <x:v>Dryer 3</x:v>
      </x:c>
      <x:c r="E117" t="str">
        <x:v>Sup 3</x:v>
      </x:c>
      <x:c r="F117" t="n">
        <x:v>480</x:v>
      </x:c>
      <x:c r="G117" t="n">
        <x:v>20</x:v>
      </x:c>
      <x:c r="H117" t="n">
        <x:v>52</x:v>
      </x:c>
      <x:c r="I117" t="n">
        <x:v>1124</x:v>
      </x:c>
      <x:c r="J117" t="n">
        <x:v>882</x:v>
      </x:c>
      <x:c r="K117" t="n">
        <x:v>35</x:v>
      </x:c>
      <x:c r="L117" t="n">
        <x:v>13</x:v>
      </x:c>
      <x:c r="M117" t="n">
        <x:v>82.9</x:v>
      </x:c>
      <x:c r="N117" t="n">
        <x:v>82.4</x:v>
      </x:c>
      <x:c r="O117" t="n">
        <x:v>66.9</x:v>
      </x:c>
      <x:c r="P117" t="n">
        <x:v>2</x:v>
      </x:c>
      <x:c r="Q117" t="str">
        <x:v>First aid</x:v>
      </x:c>
      <x:c r="R117" t="str">
        <x:v>In progress</x:v>
      </x:c>
      <x:c r="S117" t="str">
        <x:v>Inspection</x:v>
      </x:c>
      <x:c r="T117" t="n">
        <x:v>0.5</x:v>
      </x:c>
      <x:c r="U117" t="n">
        <x:v>7</x:v>
      </x:c>
    </x:row>
    <x:row r="118">
      <x:c r="A118" s="12" t="n">
        <x:v>46065</x:v>
      </x:c>
      <x:c r="B118" t="str">
        <x:v>C</x:v>
      </x:c>
      <x:c r="C118" t="str">
        <x:v>Dried Mango</x:v>
      </x:c>
      <x:c r="D118" t="str">
        <x:v>Dryer 2</x:v>
      </x:c>
      <x:c r="E118" t="str">
        <x:v>Sup 1</x:v>
      </x:c>
      <x:c r="F118" t="n">
        <x:v>420</x:v>
      </x:c>
      <x:c r="G118" t="n">
        <x:v>0</x:v>
      </x:c>
      <x:c r="H118" t="n">
        <x:v>38</x:v>
      </x:c>
      <x:c r="I118" t="n">
        <x:v>1705</x:v>
      </x:c>
      <x:c r="J118" t="n">
        <x:v>1421</x:v>
      </x:c>
      <x:c r="K118" t="n">
        <x:v>46</x:v>
      </x:c>
      <x:c r="L118" t="n">
        <x:v>20</x:v>
      </x:c>
      <x:c r="M118" t="n">
        <x:v>79.5</x:v>
      </x:c>
      <x:c r="N118" t="n">
        <x:v>69.6</x:v>
      </x:c>
      <x:c r="O118" t="n">
        <x:v>86.4</x:v>
      </x:c>
      <x:c r="P118" t="n">
        <x:v>6</x:v>
      </x:c>
      <x:c r="Q118" t="str">
        <x:v>No incident</x:v>
      </x:c>
      <x:c r="R118" t="str">
        <x:v>N/A</x:v>
      </x:c>
      <x:c r="S118" t="str">
        <x:v>Preventive</x:v>
      </x:c>
      <x:c r="T118" t="n">
        <x:v>0.61</x:v>
      </x:c>
      <x:c r="U118" t="n">
        <x:v>11.4</x:v>
      </x:c>
    </x:row>
    <x:row r="119">
      <x:c r="A119" s="12" t="n">
        <x:v>46066</x:v>
      </x:c>
      <x:c r="B119" t="str">
        <x:v>A</x:v>
      </x:c>
      <x:c r="C119" t="str">
        <x:v>Desiccated Coconut</x:v>
      </x:c>
      <x:c r="D119" t="str">
        <x:v>Dryer 2</x:v>
      </x:c>
      <x:c r="E119" t="str">
        <x:v>Sup 3</x:v>
      </x:c>
      <x:c r="F119" t="n">
        <x:v>450</x:v>
      </x:c>
      <x:c r="G119" t="n">
        <x:v>0</x:v>
      </x:c>
      <x:c r="H119" t="n">
        <x:v>44</x:v>
      </x:c>
      <x:c r="I119" t="n">
        <x:v>1289</x:v>
      </x:c>
      <x:c r="J119" t="n">
        <x:v>1165</x:v>
      </x:c>
      <x:c r="K119" t="n">
        <x:v>31</x:v>
      </x:c>
      <x:c r="L119" t="n">
        <x:v>10</x:v>
      </x:c>
      <x:c r="M119" t="n">
        <x:v>97</x:v>
      </x:c>
      <x:c r="N119" t="n">
        <x:v>71.8</x:v>
      </x:c>
      <x:c r="O119" t="n">
        <x:v>86.7</x:v>
      </x:c>
      <x:c r="P119" t="n">
        <x:v>2</x:v>
      </x:c>
      <x:c r="Q119" t="str">
        <x:v>No incident</x:v>
      </x:c>
      <x:c r="R119" t="str">
        <x:v>N/A</x:v>
      </x:c>
      <x:c r="S119" t="str">
        <x:v>Inspection</x:v>
      </x:c>
      <x:c r="T119" t="n">
        <x:v>1.21</x:v>
      </x:c>
      <x:c r="U119" t="n">
        <x:v>10.1</x:v>
      </x:c>
    </x:row>
    <x:row r="120">
      <x:c r="A120" s="12" t="n">
        <x:v>46066</x:v>
      </x:c>
      <x:c r="B120" t="str">
        <x:v>B</x:v>
      </x:c>
      <x:c r="C120" t="str">
        <x:v>Dried Pineapple</x:v>
      </x:c>
      <x:c r="D120" t="str">
        <x:v>Dryer 1</x:v>
      </x:c>
      <x:c r="E120" t="str">
        <x:v>Sup 1</x:v>
      </x:c>
      <x:c r="F120" t="n">
        <x:v>480</x:v>
      </x:c>
      <x:c r="G120" t="n">
        <x:v>20</x:v>
      </x:c>
      <x:c r="H120" t="n">
        <x:v>21</x:v>
      </x:c>
      <x:c r="I120" t="n">
        <x:v>1835</x:v>
      </x:c>
      <x:c r="J120" t="n">
        <x:v>1629</x:v>
      </x:c>
      <x:c r="K120" t="n">
        <x:v>42</x:v>
      </x:c>
      <x:c r="L120" t="n">
        <x:v>27</x:v>
      </x:c>
      <x:c r="M120" t="n">
        <x:v>89.6</x:v>
      </x:c>
      <x:c r="N120" t="n">
        <x:v>72.2</x:v>
      </x:c>
      <x:c r="O120" t="n">
        <x:v>72.5</x:v>
      </x:c>
      <x:c r="P120" t="n">
        <x:v>3</x:v>
      </x:c>
      <x:c r="Q120" t="str">
        <x:v>No incident</x:v>
      </x:c>
      <x:c r="R120" t="str">
        <x:v>N/A</x:v>
      </x:c>
      <x:c r="S120" t="str">
        <x:v>Preventive</x:v>
      </x:c>
      <x:c r="T120" t="n">
        <x:v>1.04</x:v>
      </x:c>
      <x:c r="U120" t="n">
        <x:v>13</x:v>
      </x:c>
    </x:row>
    <x:row r="121">
      <x:c r="A121" s="12" t="n">
        <x:v>46066</x:v>
      </x:c>
      <x:c r="B121" t="str">
        <x:v>C</x:v>
      </x:c>
      <x:c r="C121" t="str">
        <x:v>Dried Mango</x:v>
      </x:c>
      <x:c r="D121" t="str">
        <x:v>Dryer 3</x:v>
      </x:c>
      <x:c r="E121" t="str">
        <x:v>Sup 2</x:v>
      </x:c>
      <x:c r="F121" t="n">
        <x:v>450</x:v>
      </x:c>
      <x:c r="G121" t="n">
        <x:v>30</x:v>
      </x:c>
      <x:c r="H121" t="n">
        <x:v>86</x:v>
      </x:c>
      <x:c r="I121" t="n">
        <x:v>1726</x:v>
      </x:c>
      <x:c r="J121" t="n">
        <x:v>1358</x:v>
      </x:c>
      <x:c r="K121" t="n">
        <x:v>68</x:v>
      </x:c>
      <x:c r="L121" t="n">
        <x:v>22</x:v>
      </x:c>
      <x:c r="M121" t="n">
        <x:v>87.4</x:v>
      </x:c>
      <x:c r="N121" t="n">
        <x:v>63.3</x:v>
      </x:c>
      <x:c r="O121" t="n">
        <x:v>65</x:v>
      </x:c>
      <x:c r="P121" t="n">
        <x:v>2</x:v>
      </x:c>
      <x:c r="Q121" t="str">
        <x:v>No incident</x:v>
      </x:c>
      <x:c r="R121" t="str">
        <x:v>N/A</x:v>
      </x:c>
      <x:c r="S121" t="str">
        <x:v>Preventive</x:v>
      </x:c>
      <x:c r="T121" t="n">
        <x:v>1.38</x:v>
      </x:c>
      <x:c r="U121" t="n">
        <x:v>11.5</x:v>
      </x:c>
    </x:row>
    <x:row r="122">
      <x:c r="A122" s="12" t="n">
        <x:v>46067</x:v>
      </x:c>
      <x:c r="B122" t="str">
        <x:v>A</x:v>
      </x:c>
      <x:c r="C122" t="str">
        <x:v>Dried Pineapple</x:v>
      </x:c>
      <x:c r="D122" t="str">
        <x:v>Dryer 1</x:v>
      </x:c>
      <x:c r="E122" t="str">
        <x:v>Sup 2</x:v>
      </x:c>
      <x:c r="F122" t="n">
        <x:v>480</x:v>
      </x:c>
      <x:c r="G122" t="n">
        <x:v>20</x:v>
      </x:c>
      <x:c r="H122" t="n">
        <x:v>35</x:v>
      </x:c>
      <x:c r="I122" t="n">
        <x:v>1863</x:v>
      </x:c>
      <x:c r="J122" t="n">
        <x:v>1548</x:v>
      </x:c>
      <x:c r="K122" t="n">
        <x:v>37</x:v>
      </x:c>
      <x:c r="L122" t="n">
        <x:v>10</x:v>
      </x:c>
      <x:c r="M122" t="n">
        <x:v>91</x:v>
      </x:c>
      <x:c r="N122" t="n">
        <x:v>78.8</x:v>
      </x:c>
      <x:c r="O122" t="n">
        <x:v>69.9</x:v>
      </x:c>
      <x:c r="P122" t="n">
        <x:v>5</x:v>
      </x:c>
      <x:c r="Q122" t="str">
        <x:v>No incident</x:v>
      </x:c>
      <x:c r="R122" t="str">
        <x:v>N/A</x:v>
      </x:c>
      <x:c r="S122" t="str">
        <x:v>Preventive</x:v>
      </x:c>
      <x:c r="T122" t="n">
        <x:v>0.92</x:v>
      </x:c>
      <x:c r="U122" t="n">
        <x:v>13.9</x:v>
      </x:c>
    </x:row>
    <x:row r="123">
      <x:c r="A123" s="12" t="n">
        <x:v>46067</x:v>
      </x:c>
      <x:c r="B123" t="str">
        <x:v>B</x:v>
      </x:c>
      <x:c r="C123" t="str">
        <x:v>Dried Pineapple</x:v>
      </x:c>
      <x:c r="D123" t="str">
        <x:v>Dryer 3</x:v>
      </x:c>
      <x:c r="E123" t="str">
        <x:v>Sup 1</x:v>
      </x:c>
      <x:c r="F123" t="n">
        <x:v>480</x:v>
      </x:c>
      <x:c r="G123" t="n">
        <x:v>30</x:v>
      </x:c>
      <x:c r="H123" t="n">
        <x:v>50</x:v>
      </x:c>
      <x:c r="I123" t="n">
        <x:v>1840</x:v>
      </x:c>
      <x:c r="J123" t="n">
        <x:v>1610</x:v>
      </x:c>
      <x:c r="K123" t="n">
        <x:v>67</x:v>
      </x:c>
      <x:c r="L123" t="n">
        <x:v>35</x:v>
      </x:c>
      <x:c r="M123" t="n">
        <x:v>92.9</x:v>
      </x:c>
      <x:c r="N123" t="n">
        <x:v>62.7</x:v>
      </x:c>
      <x:c r="O123" t="n">
        <x:v>72.8</x:v>
      </x:c>
      <x:c r="P123" t="n">
        <x:v>5</x:v>
      </x:c>
      <x:c r="Q123" t="str">
        <x:v>No incident</x:v>
      </x:c>
      <x:c r="R123" t="str">
        <x:v>N/A</x:v>
      </x:c>
      <x:c r="S123" t="str">
        <x:v>Inspection</x:v>
      </x:c>
      <x:c r="T123" t="n">
        <x:v>1.24</x:v>
      </x:c>
      <x:c r="U123" t="n">
        <x:v>12.1</x:v>
      </x:c>
    </x:row>
    <x:row r="124">
      <x:c r="A124" s="12" t="n">
        <x:v>46067</x:v>
      </x:c>
      <x:c r="B124" t="str">
        <x:v>C</x:v>
      </x:c>
      <x:c r="C124" t="str">
        <x:v>Desiccated Coconut</x:v>
      </x:c>
      <x:c r="D124" t="str">
        <x:v>Dryer 2</x:v>
      </x:c>
      <x:c r="E124" t="str">
        <x:v>Sup 1</x:v>
      </x:c>
      <x:c r="F124" t="n">
        <x:v>480</x:v>
      </x:c>
      <x:c r="G124" t="n">
        <x:v>30</x:v>
      </x:c>
      <x:c r="H124" t="n">
        <x:v>66</x:v>
      </x:c>
      <x:c r="I124" t="n">
        <x:v>1289</x:v>
      </x:c>
      <x:c r="J124" t="n">
        <x:v>1059</x:v>
      </x:c>
      <x:c r="K124" t="n">
        <x:v>37</x:v>
      </x:c>
      <x:c r="L124" t="n">
        <x:v>24</x:v>
      </x:c>
      <x:c r="M124" t="n">
        <x:v>92.3</x:v>
      </x:c>
      <x:c r="N124" t="n">
        <x:v>76.5</x:v>
      </x:c>
      <x:c r="O124" t="n">
        <x:v>79.1</x:v>
      </x:c>
      <x:c r="P124" t="n">
        <x:v>6</x:v>
      </x:c>
      <x:c r="Q124" t="str">
        <x:v>No incident</x:v>
      </x:c>
      <x:c r="R124" t="str">
        <x:v>N/A</x:v>
      </x:c>
      <x:c r="S124" t="str">
        <x:v>Corrective</x:v>
      </x:c>
      <x:c r="T124" t="n">
        <x:v>0.76</x:v>
      </x:c>
      <x:c r="U124" t="n">
        <x:v>9.2</x:v>
      </x:c>
    </x:row>
    <x:row r="125">
      <x:c r="A125" s="12" t="n">
        <x:v>46068</x:v>
      </x:c>
      <x:c r="B125" t="str">
        <x:v>A</x:v>
      </x:c>
      <x:c r="C125" t="str">
        <x:v>Desiccated Coconut</x:v>
      </x:c>
      <x:c r="D125" t="str">
        <x:v>Dryer 3</x:v>
      </x:c>
      <x:c r="E125" t="str">
        <x:v>Sup 2</x:v>
      </x:c>
      <x:c r="F125" t="n">
        <x:v>450</x:v>
      </x:c>
      <x:c r="G125" t="n">
        <x:v>40</x:v>
      </x:c>
      <x:c r="H125" t="n">
        <x:v>39</x:v>
      </x:c>
      <x:c r="I125" t="n">
        <x:v>1179</x:v>
      </x:c>
      <x:c r="J125" t="n">
        <x:v>1027</x:v>
      </x:c>
      <x:c r="K125" t="n">
        <x:v>44</x:v>
      </x:c>
      <x:c r="L125" t="n">
        <x:v>12</x:v>
      </x:c>
      <x:c r="M125" t="n">
        <x:v>92.9</x:v>
      </x:c>
      <x:c r="N125" t="n">
        <x:v>70</x:v>
      </x:c>
      <x:c r="O125" t="n">
        <x:v>59.8</x:v>
      </x:c>
      <x:c r="P125" t="n">
        <x:v>3</x:v>
      </x:c>
      <x:c r="Q125" t="str">
        <x:v>No incident</x:v>
      </x:c>
      <x:c r="R125" t="str">
        <x:v>N/A</x:v>
      </x:c>
      <x:c r="S125" t="str">
        <x:v>Preventive</x:v>
      </x:c>
      <x:c r="T125" t="n">
        <x:v>0.54</x:v>
      </x:c>
      <x:c r="U125" t="n">
        <x:v>9</x:v>
      </x:c>
    </x:row>
    <x:row r="126">
      <x:c r="A126" s="12" t="n">
        <x:v>46068</x:v>
      </x:c>
      <x:c r="B126" t="str">
        <x:v>B</x:v>
      </x:c>
      <x:c r="C126" t="str">
        <x:v>Dried Mango</x:v>
      </x:c>
      <x:c r="D126" t="str">
        <x:v>Dryer 3</x:v>
      </x:c>
      <x:c r="E126" t="str">
        <x:v>Sup 1</x:v>
      </x:c>
      <x:c r="F126" t="n">
        <x:v>450</x:v>
      </x:c>
      <x:c r="G126" t="n">
        <x:v>20</x:v>
      </x:c>
      <x:c r="H126" t="n">
        <x:v>57</x:v>
      </x:c>
      <x:c r="I126" t="n">
        <x:v>1753</x:v>
      </x:c>
      <x:c r="J126" t="n">
        <x:v>1339</x:v>
      </x:c>
      <x:c r="K126" t="n">
        <x:v>66</x:v>
      </x:c>
      <x:c r="L126" t="n">
        <x:v>15</x:v>
      </x:c>
      <x:c r="M126" t="n">
        <x:v>86.9</x:v>
      </x:c>
      <x:c r="N126" t="n">
        <x:v>62.8</x:v>
      </x:c>
      <x:c r="O126" t="n">
        <x:v>76.2</x:v>
      </x:c>
      <x:c r="P126" t="n">
        <x:v>4</x:v>
      </x:c>
      <x:c r="Q126" t="str">
        <x:v>Near miss</x:v>
      </x:c>
      <x:c r="R126" t="str">
        <x:v>Closed</x:v>
      </x:c>
      <x:c r="S126" t="str">
        <x:v>Inspection</x:v>
      </x:c>
      <x:c r="T126" t="n">
        <x:v>0.5</x:v>
      </x:c>
      <x:c r="U126" t="n">
        <x:v>11.8</x:v>
      </x:c>
    </x:row>
    <x:row r="127">
      <x:c r="A127" s="12" t="n">
        <x:v>46068</x:v>
      </x:c>
      <x:c r="B127" t="str">
        <x:v>C</x:v>
      </x:c>
      <x:c r="C127" t="str">
        <x:v>Dried Pineapple</x:v>
      </x:c>
      <x:c r="D127" t="str">
        <x:v>Dryer 2</x:v>
      </x:c>
      <x:c r="E127" t="str">
        <x:v>Sup 1</x:v>
      </x:c>
      <x:c r="F127" t="n">
        <x:v>480</x:v>
      </x:c>
      <x:c r="G127" t="n">
        <x:v>20</x:v>
      </x:c>
      <x:c r="H127" t="n">
        <x:v>15</x:v>
      </x:c>
      <x:c r="I127" t="n">
        <x:v>1825</x:v>
      </x:c>
      <x:c r="J127" t="n">
        <x:v>1567</x:v>
      </x:c>
      <x:c r="K127" t="n">
        <x:v>35</x:v>
      </x:c>
      <x:c r="L127" t="n">
        <x:v>24</x:v>
      </x:c>
      <x:c r="M127" t="n">
        <x:v>77.5</x:v>
      </x:c>
      <x:c r="N127" t="n">
        <x:v>66.9</x:v>
      </x:c>
      <x:c r="O127" t="n">
        <x:v>71.3</x:v>
      </x:c>
      <x:c r="P127" t="n">
        <x:v>3</x:v>
      </x:c>
      <x:c r="Q127" t="str">
        <x:v>Near miss</x:v>
      </x:c>
      <x:c r="R127" t="str">
        <x:v>Closed</x:v>
      </x:c>
      <x:c r="S127" t="str">
        <x:v>Preventive</x:v>
      </x:c>
      <x:c r="T127" t="n">
        <x:v>0.73</x:v>
      </x:c>
      <x:c r="U127" t="n">
        <x:v>13.4</x:v>
      </x:c>
    </x:row>
    <x:row r="128">
      <x:c r="A128" s="12" t="n">
        <x:v>46069</x:v>
      </x:c>
      <x:c r="B128" t="str">
        <x:v>A</x:v>
      </x:c>
      <x:c r="C128" t="str">
        <x:v>Dried Pineapple</x:v>
      </x:c>
      <x:c r="D128" t="str">
        <x:v>Dryer 2</x:v>
      </x:c>
      <x:c r="E128" t="str">
        <x:v>Sup 1</x:v>
      </x:c>
      <x:c r="F128" t="n">
        <x:v>480</x:v>
      </x:c>
      <x:c r="G128" t="n">
        <x:v>0</x:v>
      </x:c>
      <x:c r="H128" t="n">
        <x:v>43</x:v>
      </x:c>
      <x:c r="I128" t="n">
        <x:v>1810</x:v>
      </x:c>
      <x:c r="J128" t="n">
        <x:v>1560</x:v>
      </x:c>
      <x:c r="K128" t="n">
        <x:v>64</x:v>
      </x:c>
      <x:c r="L128" t="n">
        <x:v>24</x:v>
      </x:c>
      <x:c r="M128" t="n">
        <x:v>90.2</x:v>
      </x:c>
      <x:c r="N128" t="n">
        <x:v>70.3</x:v>
      </x:c>
      <x:c r="O128" t="n">
        <x:v>75.9</x:v>
      </x:c>
      <x:c r="P128" t="n">
        <x:v>0</x:v>
      </x:c>
      <x:c r="Q128" t="str">
        <x:v>No incident</x:v>
      </x:c>
      <x:c r="R128" t="str">
        <x:v>N/A</x:v>
      </x:c>
      <x:c r="S128" t="str">
        <x:v>Inspection</x:v>
      </x:c>
      <x:c r="T128" t="n">
        <x:v>0.63</x:v>
      </x:c>
      <x:c r="U128" t="n">
        <x:v>14.1</x:v>
      </x:c>
    </x:row>
    <x:row r="129">
      <x:c r="A129" s="12" t="n">
        <x:v>46069</x:v>
      </x:c>
      <x:c r="B129" t="str">
        <x:v>B</x:v>
      </x:c>
      <x:c r="C129" t="str">
        <x:v>Desiccated Coconut</x:v>
      </x:c>
      <x:c r="D129" t="str">
        <x:v>Dryer 1</x:v>
      </x:c>
      <x:c r="E129" t="str">
        <x:v>Sup 2</x:v>
      </x:c>
      <x:c r="F129" t="n">
        <x:v>480</x:v>
      </x:c>
      <x:c r="G129" t="n">
        <x:v>40</x:v>
      </x:c>
      <x:c r="H129" t="n">
        <x:v>21</x:v>
      </x:c>
      <x:c r="I129" t="n">
        <x:v>1129</x:v>
      </x:c>
      <x:c r="J129" t="n">
        <x:v>1084</x:v>
      </x:c>
      <x:c r="K129" t="n">
        <x:v>35</x:v>
      </x:c>
      <x:c r="L129" t="n">
        <x:v>23</x:v>
      </x:c>
      <x:c r="M129" t="n">
        <x:v>94.5</x:v>
      </x:c>
      <x:c r="N129" t="n">
        <x:v>73.3</x:v>
      </x:c>
      <x:c r="O129" t="n">
        <x:v>76.9</x:v>
      </x:c>
      <x:c r="P129" t="n">
        <x:v>2</x:v>
      </x:c>
      <x:c r="Q129" t="str">
        <x:v>No incident</x:v>
      </x:c>
      <x:c r="R129" t="str">
        <x:v>N/A</x:v>
      </x:c>
      <x:c r="S129" t="str">
        <x:v>Preventive</x:v>
      </x:c>
      <x:c r="T129" t="n">
        <x:v>1.2</x:v>
      </x:c>
      <x:c r="U129" t="n">
        <x:v>8.2</x:v>
      </x:c>
    </x:row>
    <x:row r="130">
      <x:c r="A130" s="12" t="n">
        <x:v>46069</x:v>
      </x:c>
      <x:c r="B130" t="str">
        <x:v>C</x:v>
      </x:c>
      <x:c r="C130" t="str">
        <x:v>Dried Pineapple</x:v>
      </x:c>
      <x:c r="D130" t="str">
        <x:v>Dryer 2</x:v>
      </x:c>
      <x:c r="E130" t="str">
        <x:v>Sup 3</x:v>
      </x:c>
      <x:c r="F130" t="n">
        <x:v>480</x:v>
      </x:c>
      <x:c r="G130" t="n">
        <x:v>40</x:v>
      </x:c>
      <x:c r="H130" t="n">
        <x:v>38</x:v>
      </x:c>
      <x:c r="I130" t="n">
        <x:v>1638</x:v>
      </x:c>
      <x:c r="J130" t="n">
        <x:v>1374</x:v>
      </x:c>
      <x:c r="K130" t="n">
        <x:v>35</x:v>
      </x:c>
      <x:c r="L130" t="n">
        <x:v>12</x:v>
      </x:c>
      <x:c r="M130" t="n">
        <x:v>82</x:v>
      </x:c>
      <x:c r="N130" t="n">
        <x:v>72.1</x:v>
      </x:c>
      <x:c r="O130" t="n">
        <x:v>78.5</x:v>
      </x:c>
      <x:c r="P130" t="n">
        <x:v>3</x:v>
      </x:c>
      <x:c r="Q130" t="str">
        <x:v>No incident</x:v>
      </x:c>
      <x:c r="R130" t="str">
        <x:v>N/A</x:v>
      </x:c>
      <x:c r="S130" t="str">
        <x:v>Inspection</x:v>
      </x:c>
      <x:c r="T130" t="n">
        <x:v>1.43</x:v>
      </x:c>
      <x:c r="U130" t="n">
        <x:v>12.6</x:v>
      </x:c>
    </x:row>
    <x:row r="131">
      <x:c r="A131" s="12" t="n">
        <x:v>46070</x:v>
      </x:c>
      <x:c r="B131" t="str">
        <x:v>A</x:v>
      </x:c>
      <x:c r="C131" t="str">
        <x:v>Dried Mango</x:v>
      </x:c>
      <x:c r="D131" t="str">
        <x:v>Dryer 2</x:v>
      </x:c>
      <x:c r="E131" t="str">
        <x:v>Sup 2</x:v>
      </x:c>
      <x:c r="F131" t="n">
        <x:v>420</x:v>
      </x:c>
      <x:c r="G131" t="n">
        <x:v>30</x:v>
      </x:c>
      <x:c r="H131" t="n">
        <x:v>37</x:v>
      </x:c>
      <x:c r="I131" t="n">
        <x:v>1737</x:v>
      </x:c>
      <x:c r="J131" t="n">
        <x:v>1390</x:v>
      </x:c>
      <x:c r="K131" t="n">
        <x:v>46</x:v>
      </x:c>
      <x:c r="L131" t="n">
        <x:v>20</x:v>
      </x:c>
      <x:c r="M131" t="n">
        <x:v>100</x:v>
      </x:c>
      <x:c r="N131" t="n">
        <x:v>71.8</x:v>
      </x:c>
      <x:c r="O131" t="n">
        <x:v>72.2</x:v>
      </x:c>
      <x:c r="P131" t="n">
        <x:v>3</x:v>
      </x:c>
      <x:c r="Q131" t="str">
        <x:v>No incident</x:v>
      </x:c>
      <x:c r="R131" t="str">
        <x:v>N/A</x:v>
      </x:c>
      <x:c r="S131" t="str">
        <x:v>Corrective</x:v>
      </x:c>
      <x:c r="T131" t="n">
        <x:v>1.13</x:v>
      </x:c>
      <x:c r="U131" t="n">
        <x:v>12.4</x:v>
      </x:c>
    </x:row>
    <x:row r="132">
      <x:c r="A132" s="12" t="n">
        <x:v>46070</x:v>
      </x:c>
      <x:c r="B132" t="str">
        <x:v>B</x:v>
      </x:c>
      <x:c r="C132" t="str">
        <x:v>Dried Mango</x:v>
      </x:c>
      <x:c r="D132" t="str">
        <x:v>Dryer 2</x:v>
      </x:c>
      <x:c r="E132" t="str">
        <x:v>Sup 2</x:v>
      </x:c>
      <x:c r="F132" t="n">
        <x:v>420</x:v>
      </x:c>
      <x:c r="G132" t="n">
        <x:v>30</x:v>
      </x:c>
      <x:c r="H132" t="n">
        <x:v>36</x:v>
      </x:c>
      <x:c r="I132" t="n">
        <x:v>1550</x:v>
      </x:c>
      <x:c r="J132" t="n">
        <x:v>1300</x:v>
      </x:c>
      <x:c r="K132" t="n">
        <x:v>55</x:v>
      </x:c>
      <x:c r="L132" t="n">
        <x:v>25</x:v>
      </x:c>
      <x:c r="M132" t="n">
        <x:v>90.2</x:v>
      </x:c>
      <x:c r="N132" t="n">
        <x:v>85.6</x:v>
      </x:c>
      <x:c r="O132" t="n">
        <x:v>85.9</x:v>
      </x:c>
      <x:c r="P132" t="n">
        <x:v>3</x:v>
      </x:c>
      <x:c r="Q132" t="str">
        <x:v>No incident</x:v>
      </x:c>
      <x:c r="R132" t="str">
        <x:v>N/A</x:v>
      </x:c>
      <x:c r="S132" t="str">
        <x:v>Inspection</x:v>
      </x:c>
      <x:c r="T132" t="n">
        <x:v>0.93</x:v>
      </x:c>
      <x:c r="U132" t="n">
        <x:v>10.1</x:v>
      </x:c>
    </x:row>
    <x:row r="133">
      <x:c r="A133" s="12" t="n">
        <x:v>46070</x:v>
      </x:c>
      <x:c r="B133" t="str">
        <x:v>C</x:v>
      </x:c>
      <x:c r="C133" t="str">
        <x:v>Dried Mango</x:v>
      </x:c>
      <x:c r="D133" t="str">
        <x:v>Dryer 3</x:v>
      </x:c>
      <x:c r="E133" t="str">
        <x:v>Sup 1</x:v>
      </x:c>
      <x:c r="F133" t="n">
        <x:v>480</x:v>
      </x:c>
      <x:c r="G133" t="n">
        <x:v>20</x:v>
      </x:c>
      <x:c r="H133" t="n">
        <x:v>75</x:v>
      </x:c>
      <x:c r="I133" t="n">
        <x:v>1591</x:v>
      </x:c>
      <x:c r="J133" t="n">
        <x:v>1317</x:v>
      </x:c>
      <x:c r="K133" t="n">
        <x:v>62</x:v>
      </x:c>
      <x:c r="L133" t="n">
        <x:v>43</x:v>
      </x:c>
      <x:c r="M133" t="n">
        <x:v>93.4</x:v>
      </x:c>
      <x:c r="N133" t="n">
        <x:v>65.4</x:v>
      </x:c>
      <x:c r="O133" t="n">
        <x:v>87.1</x:v>
      </x:c>
      <x:c r="P133" t="n">
        <x:v>2</x:v>
      </x:c>
      <x:c r="Q133" t="str">
        <x:v>No incident</x:v>
      </x:c>
      <x:c r="R133" t="str">
        <x:v>N/A</x:v>
      </x:c>
      <x:c r="S133" t="str">
        <x:v>Preventive</x:v>
      </x:c>
      <x:c r="T133" t="n">
        <x:v>0.9</x:v>
      </x:c>
      <x:c r="U133" t="n">
        <x:v>11.4</x:v>
      </x:c>
    </x:row>
    <x:row r="134">
      <x:c r="A134" s="12" t="n">
        <x:v>46071</x:v>
      </x:c>
      <x:c r="B134" t="str">
        <x:v>A</x:v>
      </x:c>
      <x:c r="C134" t="str">
        <x:v>Dried Mango</x:v>
      </x:c>
      <x:c r="D134" t="str">
        <x:v>Dryer 4</x:v>
      </x:c>
      <x:c r="E134" t="str">
        <x:v>Sup 2</x:v>
      </x:c>
      <x:c r="F134" t="n">
        <x:v>480</x:v>
      </x:c>
      <x:c r="G134" t="n">
        <x:v>40</x:v>
      </x:c>
      <x:c r="H134" t="n">
        <x:v>44</x:v>
      </x:c>
      <x:c r="I134" t="n">
        <x:v>1620</x:v>
      </x:c>
      <x:c r="J134" t="n">
        <x:v>1468</x:v>
      </x:c>
      <x:c r="K134" t="n">
        <x:v>55</x:v>
      </x:c>
      <x:c r="L134" t="n">
        <x:v>14</x:v>
      </x:c>
      <x:c r="M134" t="n">
        <x:v>93.3</x:v>
      </x:c>
      <x:c r="N134" t="n">
        <x:v>74.3</x:v>
      </x:c>
      <x:c r="O134" t="n">
        <x:v>57.9</x:v>
      </x:c>
      <x:c r="P134" t="n">
        <x:v>0</x:v>
      </x:c>
      <x:c r="Q134" t="str">
        <x:v>No incident</x:v>
      </x:c>
      <x:c r="R134" t="str">
        <x:v>N/A</x:v>
      </x:c>
      <x:c r="S134" t="str">
        <x:v>Corrective</x:v>
      </x:c>
      <x:c r="T134" t="n">
        <x:v>1.26</x:v>
      </x:c>
      <x:c r="U134" t="n">
        <x:v>12.5</x:v>
      </x:c>
    </x:row>
    <x:row r="135">
      <x:c r="A135" s="12" t="n">
        <x:v>46071</x:v>
      </x:c>
      <x:c r="B135" t="str">
        <x:v>B</x:v>
      </x:c>
      <x:c r="C135" t="str">
        <x:v>Desiccated Coconut</x:v>
      </x:c>
      <x:c r="D135" t="str">
        <x:v>Dryer 3</x:v>
      </x:c>
      <x:c r="E135" t="str">
        <x:v>Sup 1</x:v>
      </x:c>
      <x:c r="F135" t="n">
        <x:v>450</x:v>
      </x:c>
      <x:c r="G135" t="n">
        <x:v>30</x:v>
      </x:c>
      <x:c r="H135" t="n">
        <x:v>49</x:v>
      </x:c>
      <x:c r="I135" t="n">
        <x:v>1155</x:v>
      </x:c>
      <x:c r="J135" t="n">
        <x:v>951</x:v>
      </x:c>
      <x:c r="K135" t="n">
        <x:v>41</x:v>
      </x:c>
      <x:c r="L135" t="n">
        <x:v>27</x:v>
      </x:c>
      <x:c r="M135" t="n">
        <x:v>95.6</x:v>
      </x:c>
      <x:c r="N135" t="n">
        <x:v>73.3</x:v>
      </x:c>
      <x:c r="O135" t="n">
        <x:v>61.2</x:v>
      </x:c>
      <x:c r="P135" t="n">
        <x:v>1</x:v>
      </x:c>
      <x:c r="Q135" t="str">
        <x:v>No incident</x:v>
      </x:c>
      <x:c r="R135" t="str">
        <x:v>N/A</x:v>
      </x:c>
      <x:c r="S135" t="str">
        <x:v>Corrective</x:v>
      </x:c>
      <x:c r="T135" t="n">
        <x:v>1.49</x:v>
      </x:c>
      <x:c r="U135" t="n">
        <x:v>8.7</x:v>
      </x:c>
    </x:row>
    <x:row r="136">
      <x:c r="A136" s="12" t="n">
        <x:v>46071</x:v>
      </x:c>
      <x:c r="B136" t="str">
        <x:v>C</x:v>
      </x:c>
      <x:c r="C136" t="str">
        <x:v>Dried Mango</x:v>
      </x:c>
      <x:c r="D136" t="str">
        <x:v>Dryer 1</x:v>
      </x:c>
      <x:c r="E136" t="str">
        <x:v>Sup 1</x:v>
      </x:c>
      <x:c r="F136" t="n">
        <x:v>450</x:v>
      </x:c>
      <x:c r="G136" t="n">
        <x:v>0</x:v>
      </x:c>
      <x:c r="H136" t="n">
        <x:v>49</x:v>
      </x:c>
      <x:c r="I136" t="n">
        <x:v>1705</x:v>
      </x:c>
      <x:c r="J136" t="n">
        <x:v>1469</x:v>
      </x:c>
      <x:c r="K136" t="n">
        <x:v>57</x:v>
      </x:c>
      <x:c r="L136" t="n">
        <x:v>31</x:v>
      </x:c>
      <x:c r="M136" t="n">
        <x:v>82.6</x:v>
      </x:c>
      <x:c r="N136" t="n">
        <x:v>69.5</x:v>
      </x:c>
      <x:c r="O136" t="n">
        <x:v>71.7</x:v>
      </x:c>
      <x:c r="P136" t="n">
        <x:v>4</x:v>
      </x:c>
      <x:c r="Q136" t="str">
        <x:v>No incident</x:v>
      </x:c>
      <x:c r="R136" t="str">
        <x:v>N/A</x:v>
      </x:c>
      <x:c r="S136" t="str">
        <x:v>Preventive</x:v>
      </x:c>
      <x:c r="T136" t="n">
        <x:v>0.9</x:v>
      </x:c>
      <x:c r="U136" t="n">
        <x:v>12.5</x:v>
      </x:c>
    </x:row>
    <x:row r="137">
      <x:c r="A137" s="12" t="n">
        <x:v>46072</x:v>
      </x:c>
      <x:c r="B137" t="str">
        <x:v>A</x:v>
      </x:c>
      <x:c r="C137" t="str">
        <x:v>Dried Pineapple</x:v>
      </x:c>
      <x:c r="D137" t="str">
        <x:v>Dryer 3</x:v>
      </x:c>
      <x:c r="E137" t="str">
        <x:v>Sup 2</x:v>
      </x:c>
      <x:c r="F137" t="n">
        <x:v>480</x:v>
      </x:c>
      <x:c r="G137" t="n">
        <x:v>0</x:v>
      </x:c>
      <x:c r="H137" t="n">
        <x:v>52</x:v>
      </x:c>
      <x:c r="I137" t="n">
        <x:v>1812</x:v>
      </x:c>
      <x:c r="J137" t="n">
        <x:v>1566</x:v>
      </x:c>
      <x:c r="K137" t="n">
        <x:v>69</x:v>
      </x:c>
      <x:c r="L137" t="n">
        <x:v>45</x:v>
      </x:c>
      <x:c r="M137" t="n">
        <x:v>81.5</x:v>
      </x:c>
      <x:c r="N137" t="n">
        <x:v>84.4</x:v>
      </x:c>
      <x:c r="O137" t="n">
        <x:v>85.7</x:v>
      </x:c>
      <x:c r="P137" t="n">
        <x:v>1</x:v>
      </x:c>
      <x:c r="Q137" t="str">
        <x:v>Near miss</x:v>
      </x:c>
      <x:c r="R137" t="str">
        <x:v>Closed</x:v>
      </x:c>
      <x:c r="S137" t="str">
        <x:v>Corrective</x:v>
      </x:c>
      <x:c r="T137" t="n">
        <x:v>1.48</x:v>
      </x:c>
      <x:c r="U137" t="n">
        <x:v>14.4</x:v>
      </x:c>
    </x:row>
    <x:row r="138">
      <x:c r="A138" s="12" t="n">
        <x:v>46072</x:v>
      </x:c>
      <x:c r="B138" t="str">
        <x:v>B</x:v>
      </x:c>
      <x:c r="C138" t="str">
        <x:v>Desiccated Coconut</x:v>
      </x:c>
      <x:c r="D138" t="str">
        <x:v>Dryer 2</x:v>
      </x:c>
      <x:c r="E138" t="str">
        <x:v>Sup 3</x:v>
      </x:c>
      <x:c r="F138" t="n">
        <x:v>480</x:v>
      </x:c>
      <x:c r="G138" t="n">
        <x:v>0</x:v>
      </x:c>
      <x:c r="H138" t="n">
        <x:v>52</x:v>
      </x:c>
      <x:c r="I138" t="n">
        <x:v>1148</x:v>
      </x:c>
      <x:c r="J138" t="n">
        <x:v>1059</x:v>
      </x:c>
      <x:c r="K138" t="n">
        <x:v>36</x:v>
      </x:c>
      <x:c r="L138" t="n">
        <x:v>21</x:v>
      </x:c>
      <x:c r="M138" t="n">
        <x:v>94.4</x:v>
      </x:c>
      <x:c r="N138" t="n">
        <x:v>72.1</x:v>
      </x:c>
      <x:c r="O138" t="n">
        <x:v>70.8</x:v>
      </x:c>
      <x:c r="P138" t="n">
        <x:v>3</x:v>
      </x:c>
      <x:c r="Q138" t="str">
        <x:v>Near miss</x:v>
      </x:c>
      <x:c r="R138" t="str">
        <x:v>In progress</x:v>
      </x:c>
      <x:c r="S138" t="str">
        <x:v>Corrective</x:v>
      </x:c>
      <x:c r="T138" t="n">
        <x:v>1.18</x:v>
      </x:c>
      <x:c r="U138" t="n">
        <x:v>8.1</x:v>
      </x:c>
    </x:row>
    <x:row r="139">
      <x:c r="A139" s="12" t="n">
        <x:v>46072</x:v>
      </x:c>
      <x:c r="B139" t="str">
        <x:v>C</x:v>
      </x:c>
      <x:c r="C139" t="str">
        <x:v>Desiccated Coconut</x:v>
      </x:c>
      <x:c r="D139" t="str">
        <x:v>Dryer 1</x:v>
      </x:c>
      <x:c r="E139" t="str">
        <x:v>Sup 1</x:v>
      </x:c>
      <x:c r="F139" t="n">
        <x:v>450</x:v>
      </x:c>
      <x:c r="G139" t="n">
        <x:v>30</x:v>
      </x:c>
      <x:c r="H139" t="n">
        <x:v>48</x:v>
      </x:c>
      <x:c r="I139" t="n">
        <x:v>1165</x:v>
      </x:c>
      <x:c r="J139" t="n">
        <x:v>981</x:v>
      </x:c>
      <x:c r="K139" t="n">
        <x:v>26</x:v>
      </x:c>
      <x:c r="L139" t="n">
        <x:v>7</x:v>
      </x:c>
      <x:c r="M139" t="n">
        <x:v>84.2</x:v>
      </x:c>
      <x:c r="N139" t="n">
        <x:v>66</x:v>
      </x:c>
      <x:c r="O139" t="n">
        <x:v>74.8</x:v>
      </x:c>
      <x:c r="P139" t="n">
        <x:v>2</x:v>
      </x:c>
      <x:c r="Q139" t="str">
        <x:v>No incident</x:v>
      </x:c>
      <x:c r="R139" t="str">
        <x:v>N/A</x:v>
      </x:c>
      <x:c r="S139" t="str">
        <x:v>Corrective</x:v>
      </x:c>
      <x:c r="T139" t="n">
        <x:v>0.92</x:v>
      </x:c>
      <x:c r="U139" t="n">
        <x:v>8.2</x:v>
      </x:c>
    </x:row>
    <x:row r="140">
      <x:c r="A140" s="12" t="n">
        <x:v>46073</x:v>
      </x:c>
      <x:c r="B140" t="str">
        <x:v>A</x:v>
      </x:c>
      <x:c r="C140" t="str">
        <x:v>Desiccated Coconut</x:v>
      </x:c>
      <x:c r="D140" t="str">
        <x:v>Dryer 4</x:v>
      </x:c>
      <x:c r="E140" t="str">
        <x:v>Sup 3</x:v>
      </x:c>
      <x:c r="F140" t="n">
        <x:v>450</x:v>
      </x:c>
      <x:c r="G140" t="n">
        <x:v>40</x:v>
      </x:c>
      <x:c r="H140" t="n">
        <x:v>33</x:v>
      </x:c>
      <x:c r="I140" t="n">
        <x:v>1200</x:v>
      </x:c>
      <x:c r="J140" t="n">
        <x:v>985</x:v>
      </x:c>
      <x:c r="K140" t="n">
        <x:v>25</x:v>
      </x:c>
      <x:c r="L140" t="n">
        <x:v>9</x:v>
      </x:c>
      <x:c r="M140" t="n">
        <x:v>98.5</x:v>
      </x:c>
      <x:c r="N140" t="n">
        <x:v>64.5</x:v>
      </x:c>
      <x:c r="O140" t="n">
        <x:v>75.2</x:v>
      </x:c>
      <x:c r="P140" t="n">
        <x:v>3</x:v>
      </x:c>
      <x:c r="Q140" t="str">
        <x:v>No incident</x:v>
      </x:c>
      <x:c r="R140" t="str">
        <x:v>N/A</x:v>
      </x:c>
      <x:c r="S140" t="str">
        <x:v>Corrective</x:v>
      </x:c>
      <x:c r="T140" t="n">
        <x:v>1.56</x:v>
      </x:c>
      <x:c r="U140" t="n">
        <x:v>9</x:v>
      </x:c>
    </x:row>
    <x:row r="141">
      <x:c r="A141" s="12" t="n">
        <x:v>46073</x:v>
      </x:c>
      <x:c r="B141" t="str">
        <x:v>B</x:v>
      </x:c>
      <x:c r="C141" t="str">
        <x:v>Desiccated Coconut</x:v>
      </x:c>
      <x:c r="D141" t="str">
        <x:v>Dryer 3</x:v>
      </x:c>
      <x:c r="E141" t="str">
        <x:v>Sup 3</x:v>
      </x:c>
      <x:c r="F141" t="n">
        <x:v>480</x:v>
      </x:c>
      <x:c r="G141" t="n">
        <x:v>0</x:v>
      </x:c>
      <x:c r="H141" t="n">
        <x:v>61</x:v>
      </x:c>
      <x:c r="I141" t="n">
        <x:v>1264</x:v>
      </x:c>
      <x:c r="J141" t="n">
        <x:v>1075</x:v>
      </x:c>
      <x:c r="K141" t="n">
        <x:v>35</x:v>
      </x:c>
      <x:c r="L141" t="n">
        <x:v>12</x:v>
      </x:c>
      <x:c r="M141" t="n">
        <x:v>90.2</x:v>
      </x:c>
      <x:c r="N141" t="n">
        <x:v>83.6</x:v>
      </x:c>
      <x:c r="O141" t="n">
        <x:v>58.4</x:v>
      </x:c>
      <x:c r="P141" t="n">
        <x:v>4</x:v>
      </x:c>
      <x:c r="Q141" t="str">
        <x:v>No incident</x:v>
      </x:c>
      <x:c r="R141" t="str">
        <x:v>N/A</x:v>
      </x:c>
      <x:c r="S141" t="str">
        <x:v>Inspection</x:v>
      </x:c>
      <x:c r="T141" t="n">
        <x:v>0.93</x:v>
      </x:c>
      <x:c r="U141" t="n">
        <x:v>9.7</x:v>
      </x:c>
    </x:row>
    <x:row r="142">
      <x:c r="A142" s="12" t="n">
        <x:v>46073</x:v>
      </x:c>
      <x:c r="B142" t="str">
        <x:v>C</x:v>
      </x:c>
      <x:c r="C142" t="str">
        <x:v>Desiccated Coconut</x:v>
      </x:c>
      <x:c r="D142" t="str">
        <x:v>Dryer 1</x:v>
      </x:c>
      <x:c r="E142" t="str">
        <x:v>Sup 3</x:v>
      </x:c>
      <x:c r="F142" t="n">
        <x:v>450</x:v>
      </x:c>
      <x:c r="G142" t="n">
        <x:v>40</x:v>
      </x:c>
      <x:c r="H142" t="n">
        <x:v>39</x:v>
      </x:c>
      <x:c r="I142" t="n">
        <x:v>1148</x:v>
      </x:c>
      <x:c r="J142" t="n">
        <x:v>1032</x:v>
      </x:c>
      <x:c r="K142" t="n">
        <x:v>19</x:v>
      </x:c>
      <x:c r="L142" t="n">
        <x:v>9</x:v>
      </x:c>
      <x:c r="M142" t="n">
        <x:v>92.2</x:v>
      </x:c>
      <x:c r="N142" t="n">
        <x:v>69.9</x:v>
      </x:c>
      <x:c r="O142" t="n">
        <x:v>82.4</x:v>
      </x:c>
      <x:c r="P142" t="n">
        <x:v>4</x:v>
      </x:c>
      <x:c r="Q142" t="str">
        <x:v>No incident</x:v>
      </x:c>
      <x:c r="R142" t="str">
        <x:v>N/A</x:v>
      </x:c>
      <x:c r="S142" t="str">
        <x:v>Preventive</x:v>
      </x:c>
      <x:c r="T142" t="n">
        <x:v>0.62</x:v>
      </x:c>
      <x:c r="U142" t="n">
        <x:v>8</x:v>
      </x:c>
    </x:row>
    <x:row r="143">
      <x:c r="A143" s="12" t="n">
        <x:v>46074</x:v>
      </x:c>
      <x:c r="B143" t="str">
        <x:v>A</x:v>
      </x:c>
      <x:c r="C143" t="str">
        <x:v>Dried Mango</x:v>
      </x:c>
      <x:c r="D143" t="str">
        <x:v>Dryer 2</x:v>
      </x:c>
      <x:c r="E143" t="str">
        <x:v>Sup 3</x:v>
      </x:c>
      <x:c r="F143" t="n">
        <x:v>450</x:v>
      </x:c>
      <x:c r="G143" t="n">
        <x:v>40</x:v>
      </x:c>
      <x:c r="H143" t="n">
        <x:v>26</x:v>
      </x:c>
      <x:c r="I143" t="n">
        <x:v>1557</x:v>
      </x:c>
      <x:c r="J143" t="n">
        <x:v>1487</x:v>
      </x:c>
      <x:c r="K143" t="n">
        <x:v>56</x:v>
      </x:c>
      <x:c r="L143" t="n">
        <x:v>16</x:v>
      </x:c>
      <x:c r="M143" t="n">
        <x:v>96.1</x:v>
      </x:c>
      <x:c r="N143" t="n">
        <x:v>73.8</x:v>
      </x:c>
      <x:c r="O143" t="n">
        <x:v>66.8</x:v>
      </x:c>
      <x:c r="P143" t="n">
        <x:v>2</x:v>
      </x:c>
      <x:c r="Q143" t="str">
        <x:v>No incident</x:v>
      </x:c>
      <x:c r="R143" t="str">
        <x:v>N/A</x:v>
      </x:c>
      <x:c r="S143" t="str">
        <x:v>Inspection</x:v>
      </x:c>
      <x:c r="T143" t="n">
        <x:v>0.7</x:v>
      </x:c>
      <x:c r="U143" t="n">
        <x:v>13.6</x:v>
      </x:c>
    </x:row>
    <x:row r="144">
      <x:c r="A144" s="12" t="n">
        <x:v>46074</x:v>
      </x:c>
      <x:c r="B144" t="str">
        <x:v>B</x:v>
      </x:c>
      <x:c r="C144" t="str">
        <x:v>Desiccated Coconut</x:v>
      </x:c>
      <x:c r="D144" t="str">
        <x:v>Dryer 2</x:v>
      </x:c>
      <x:c r="E144" t="str">
        <x:v>Sup 1</x:v>
      </x:c>
      <x:c r="F144" t="n">
        <x:v>450</x:v>
      </x:c>
      <x:c r="G144" t="n">
        <x:v>30</x:v>
      </x:c>
      <x:c r="H144" t="n">
        <x:v>21</x:v>
      </x:c>
      <x:c r="I144" t="n">
        <x:v>1108</x:v>
      </x:c>
      <x:c r="J144" t="n">
        <x:v>1000</x:v>
      </x:c>
      <x:c r="K144" t="n">
        <x:v>34</x:v>
      </x:c>
      <x:c r="L144" t="n">
        <x:v>13</x:v>
      </x:c>
      <x:c r="M144" t="n">
        <x:v>98.3</x:v>
      </x:c>
      <x:c r="N144" t="n">
        <x:v>78.3</x:v>
      </x:c>
      <x:c r="O144" t="n">
        <x:v>79.1</x:v>
      </x:c>
      <x:c r="P144" t="n">
        <x:v>0</x:v>
      </x:c>
      <x:c r="Q144" t="str">
        <x:v>No incident</x:v>
      </x:c>
      <x:c r="R144" t="str">
        <x:v>N/A</x:v>
      </x:c>
      <x:c r="S144" t="str">
        <x:v>Inspection</x:v>
      </x:c>
      <x:c r="T144" t="n">
        <x:v>0.85</x:v>
      </x:c>
      <x:c r="U144" t="n">
        <x:v>9.1</x:v>
      </x:c>
    </x:row>
    <x:row r="145">
      <x:c r="A145" s="12" t="n">
        <x:v>46074</x:v>
      </x:c>
      <x:c r="B145" t="str">
        <x:v>C</x:v>
      </x:c>
      <x:c r="C145" t="str">
        <x:v>Dried Mango</x:v>
      </x:c>
      <x:c r="D145" t="str">
        <x:v>Dryer 1</x:v>
      </x:c>
      <x:c r="E145" t="str">
        <x:v>Sup 1</x:v>
      </x:c>
      <x:c r="F145" t="n">
        <x:v>480</x:v>
      </x:c>
      <x:c r="G145" t="n">
        <x:v>0</x:v>
      </x:c>
      <x:c r="H145" t="n">
        <x:v>27</x:v>
      </x:c>
      <x:c r="I145" t="n">
        <x:v>1658</x:v>
      </x:c>
      <x:c r="J145" t="n">
        <x:v>1557</x:v>
      </x:c>
      <x:c r="K145" t="n">
        <x:v>47</x:v>
      </x:c>
      <x:c r="L145" t="n">
        <x:v>12</x:v>
      </x:c>
      <x:c r="M145" t="n">
        <x:v>88.7</x:v>
      </x:c>
      <x:c r="N145" t="n">
        <x:v>67</x:v>
      </x:c>
      <x:c r="O145" t="n">
        <x:v>67</x:v>
      </x:c>
      <x:c r="P145" t="n">
        <x:v>4</x:v>
      </x:c>
      <x:c r="Q145" t="str">
        <x:v>No incident</x:v>
      </x:c>
      <x:c r="R145" t="str">
        <x:v>N/A</x:v>
      </x:c>
      <x:c r="S145" t="str">
        <x:v>Corrective</x:v>
      </x:c>
      <x:c r="T145" t="n">
        <x:v>1.67</x:v>
      </x:c>
      <x:c r="U145" t="n">
        <x:v>12.3</x:v>
      </x:c>
    </x:row>
    <x:row r="146">
      <x:c r="A146" s="12" t="n">
        <x:v>46075</x:v>
      </x:c>
      <x:c r="B146" t="str">
        <x:v>A</x:v>
      </x:c>
      <x:c r="C146" t="str">
        <x:v>Dried Pineapple</x:v>
      </x:c>
      <x:c r="D146" t="str">
        <x:v>Dryer 4</x:v>
      </x:c>
      <x:c r="E146" t="str">
        <x:v>Sup 3</x:v>
      </x:c>
      <x:c r="F146" t="n">
        <x:v>480</x:v>
      </x:c>
      <x:c r="G146" t="n">
        <x:v>20</x:v>
      </x:c>
      <x:c r="H146" t="n">
        <x:v>48</x:v>
      </x:c>
      <x:c r="I146" t="n">
        <x:v>1660</x:v>
      </x:c>
      <x:c r="J146" t="n">
        <x:v>1521</x:v>
      </x:c>
      <x:c r="K146" t="n">
        <x:v>43</x:v>
      </x:c>
      <x:c r="L146" t="n">
        <x:v>30</x:v>
      </x:c>
      <x:c r="M146" t="n">
        <x:v>95.2</x:v>
      </x:c>
      <x:c r="N146" t="n">
        <x:v>70.1</x:v>
      </x:c>
      <x:c r="O146" t="n">
        <x:v>76.6</x:v>
      </x:c>
      <x:c r="P146" t="n">
        <x:v>3</x:v>
      </x:c>
      <x:c r="Q146" t="str">
        <x:v>No incident</x:v>
      </x:c>
      <x:c r="R146" t="str">
        <x:v>N/A</x:v>
      </x:c>
      <x:c r="S146" t="str">
        <x:v>Corrective</x:v>
      </x:c>
      <x:c r="T146" t="n">
        <x:v>1.28</x:v>
      </x:c>
      <x:c r="U146" t="n">
        <x:v>11.6</x:v>
      </x:c>
    </x:row>
    <x:row r="147">
      <x:c r="A147" s="12" t="n">
        <x:v>46075</x:v>
      </x:c>
      <x:c r="B147" t="str">
        <x:v>B</x:v>
      </x:c>
      <x:c r="C147" t="str">
        <x:v>Dried Pineapple</x:v>
      </x:c>
      <x:c r="D147" t="str">
        <x:v>Dryer 2</x:v>
      </x:c>
      <x:c r="E147" t="str">
        <x:v>Sup 3</x:v>
      </x:c>
      <x:c r="F147" t="n">
        <x:v>450</x:v>
      </x:c>
      <x:c r="G147" t="n">
        <x:v>30</x:v>
      </x:c>
      <x:c r="H147" t="n">
        <x:v>40</x:v>
      </x:c>
      <x:c r="I147" t="n">
        <x:v>1745</x:v>
      </x:c>
      <x:c r="J147" t="n">
        <x:v>1479</x:v>
      </x:c>
      <x:c r="K147" t="n">
        <x:v>41</x:v>
      </x:c>
      <x:c r="L147" t="n">
        <x:v>19</x:v>
      </x:c>
      <x:c r="M147" t="n">
        <x:v>87.3</x:v>
      </x:c>
      <x:c r="N147" t="n">
        <x:v>80</x:v>
      </x:c>
      <x:c r="O147" t="n">
        <x:v>85.2</x:v>
      </x:c>
      <x:c r="P147" t="n">
        <x:v>2</x:v>
      </x:c>
      <x:c r="Q147" t="str">
        <x:v>No incident</x:v>
      </x:c>
      <x:c r="R147" t="str">
        <x:v>N/A</x:v>
      </x:c>
      <x:c r="S147" t="str">
        <x:v>Corrective</x:v>
      </x:c>
      <x:c r="T147" t="n">
        <x:v>1.1</x:v>
      </x:c>
      <x:c r="U147" t="n">
        <x:v>13.5</x:v>
      </x:c>
    </x:row>
    <x:row r="148">
      <x:c r="A148" s="12" t="n">
        <x:v>46075</x:v>
      </x:c>
      <x:c r="B148" t="str">
        <x:v>C</x:v>
      </x:c>
      <x:c r="C148" t="str">
        <x:v>Dried Pineapple</x:v>
      </x:c>
      <x:c r="D148" t="str">
        <x:v>Dryer 4</x:v>
      </x:c>
      <x:c r="E148" t="str">
        <x:v>Sup 3</x:v>
      </x:c>
      <x:c r="F148" t="n">
        <x:v>450</x:v>
      </x:c>
      <x:c r="G148" t="n">
        <x:v>0</x:v>
      </x:c>
      <x:c r="H148" t="n">
        <x:v>60</x:v>
      </x:c>
      <x:c r="I148" t="n">
        <x:v>1862</x:v>
      </x:c>
      <x:c r="J148" t="n">
        <x:v>1584</x:v>
      </x:c>
      <x:c r="K148" t="n">
        <x:v>51</x:v>
      </x:c>
      <x:c r="L148" t="n">
        <x:v>34</x:v>
      </x:c>
      <x:c r="M148" t="n">
        <x:v>87.9</x:v>
      </x:c>
      <x:c r="N148" t="n">
        <x:v>79.2</x:v>
      </x:c>
      <x:c r="O148" t="n">
        <x:v>79.5</x:v>
      </x:c>
      <x:c r="P148" t="n">
        <x:v>0</x:v>
      </x:c>
      <x:c r="Q148" t="str">
        <x:v>No incident</x:v>
      </x:c>
      <x:c r="R148" t="str">
        <x:v>N/A</x:v>
      </x:c>
      <x:c r="S148" t="str">
        <x:v>Corrective</x:v>
      </x:c>
      <x:c r="T148" t="n">
        <x:v>1.45</x:v>
      </x:c>
      <x:c r="U148" t="n">
        <x:v>13.5</x:v>
      </x:c>
    </x:row>
    <x:row r="149">
      <x:c r="A149" s="12" t="n">
        <x:v>46076</x:v>
      </x:c>
      <x:c r="B149" t="str">
        <x:v>A</x:v>
      </x:c>
      <x:c r="C149" t="str">
        <x:v>Desiccated Coconut</x:v>
      </x:c>
      <x:c r="D149" t="str">
        <x:v>Dryer 3</x:v>
      </x:c>
      <x:c r="E149" t="str">
        <x:v>Sup 1</x:v>
      </x:c>
      <x:c r="F149" t="n">
        <x:v>450</x:v>
      </x:c>
      <x:c r="G149" t="n">
        <x:v>40</x:v>
      </x:c>
      <x:c r="H149" t="n">
        <x:v>58</x:v>
      </x:c>
      <x:c r="I149" t="n">
        <x:v>1286</x:v>
      </x:c>
      <x:c r="J149" t="n">
        <x:v>1052</x:v>
      </x:c>
      <x:c r="K149" t="n">
        <x:v>43</x:v>
      </x:c>
      <x:c r="L149" t="n">
        <x:v>16</x:v>
      </x:c>
      <x:c r="M149" t="n">
        <x:v>89.8</x:v>
      </x:c>
      <x:c r="N149" t="n">
        <x:v>63.9</x:v>
      </x:c>
      <x:c r="O149" t="n">
        <x:v>71.2</x:v>
      </x:c>
      <x:c r="P149" t="n">
        <x:v>2</x:v>
      </x:c>
      <x:c r="Q149" t="str">
        <x:v>No incident</x:v>
      </x:c>
      <x:c r="R149" t="str">
        <x:v>N/A</x:v>
      </x:c>
      <x:c r="S149" t="str">
        <x:v>Inspection</x:v>
      </x:c>
      <x:c r="T149" t="n">
        <x:v>0.79</x:v>
      </x:c>
      <x:c r="U149" t="n">
        <x:v>9.2</x:v>
      </x:c>
    </x:row>
    <x:row r="150">
      <x:c r="A150" s="12" t="n">
        <x:v>46076</x:v>
      </x:c>
      <x:c r="B150" t="str">
        <x:v>B</x:v>
      </x:c>
      <x:c r="C150" t="str">
        <x:v>Desiccated Coconut</x:v>
      </x:c>
      <x:c r="D150" t="str">
        <x:v>Dryer 2</x:v>
      </x:c>
      <x:c r="E150" t="str">
        <x:v>Sup 2</x:v>
      </x:c>
      <x:c r="F150" t="n">
        <x:v>450</x:v>
      </x:c>
      <x:c r="G150" t="n">
        <x:v>0</x:v>
      </x:c>
      <x:c r="H150" t="n">
        <x:v>43</x:v>
      </x:c>
      <x:c r="I150" t="n">
        <x:v>1256</x:v>
      </x:c>
      <x:c r="J150" t="n">
        <x:v>1045</x:v>
      </x:c>
      <x:c r="K150" t="n">
        <x:v>28</x:v>
      </x:c>
      <x:c r="L150" t="n">
        <x:v>9</x:v>
      </x:c>
      <x:c r="M150" t="n">
        <x:v>88.1</x:v>
      </x:c>
      <x:c r="N150" t="n">
        <x:v>72.4</x:v>
      </x:c>
      <x:c r="O150" t="n">
        <x:v>69.5</x:v>
      </x:c>
      <x:c r="P150" t="n">
        <x:v>3</x:v>
      </x:c>
      <x:c r="Q150" t="str">
        <x:v>No incident</x:v>
      </x:c>
      <x:c r="R150" t="str">
        <x:v>N/A</x:v>
      </x:c>
      <x:c r="S150" t="str">
        <x:v>Corrective</x:v>
      </x:c>
      <x:c r="T150" t="n">
        <x:v>1.01</x:v>
      </x:c>
      <x:c r="U150" t="n">
        <x:v>8.4</x:v>
      </x:c>
    </x:row>
    <x:row r="151">
      <x:c r="A151" s="12" t="n">
        <x:v>46076</x:v>
      </x:c>
      <x:c r="B151" t="str">
        <x:v>C</x:v>
      </x:c>
      <x:c r="C151" t="str">
        <x:v>Dried Mango</x:v>
      </x:c>
      <x:c r="D151" t="str">
        <x:v>Dryer 4</x:v>
      </x:c>
      <x:c r="E151" t="str">
        <x:v>Sup 2</x:v>
      </x:c>
      <x:c r="F151" t="n">
        <x:v>480</x:v>
      </x:c>
      <x:c r="G151" t="n">
        <x:v>40</x:v>
      </x:c>
      <x:c r="H151" t="n">
        <x:v>72</x:v>
      </x:c>
      <x:c r="I151" t="n">
        <x:v>1743</x:v>
      </x:c>
      <x:c r="J151" t="n">
        <x:v>1283</x:v>
      </x:c>
      <x:c r="K151" t="n">
        <x:v>59</x:v>
      </x:c>
      <x:c r="L151" t="n">
        <x:v>16</x:v>
      </x:c>
      <x:c r="M151" t="n">
        <x:v>90.8</x:v>
      </x:c>
      <x:c r="N151" t="n">
        <x:v>55.4</x:v>
      </x:c>
      <x:c r="O151" t="n">
        <x:v>75.9</x:v>
      </x:c>
      <x:c r="P151" t="n">
        <x:v>3</x:v>
      </x:c>
      <x:c r="Q151" t="str">
        <x:v>No incident</x:v>
      </x:c>
      <x:c r="R151" t="str">
        <x:v>N/A</x:v>
      </x:c>
      <x:c r="S151" t="str">
        <x:v>Corrective</x:v>
      </x:c>
      <x:c r="T151" t="n">
        <x:v>0.81</x:v>
      </x:c>
      <x:c r="U151" t="n">
        <x:v>10.9</x:v>
      </x:c>
    </x:row>
    <x:row r="152">
      <x:c r="A152" s="12" t="n">
        <x:v>46077</x:v>
      </x:c>
      <x:c r="B152" t="str">
        <x:v>A</x:v>
      </x:c>
      <x:c r="C152" t="str">
        <x:v>Desiccated Coconut</x:v>
      </x:c>
      <x:c r="D152" t="str">
        <x:v>Dryer 2</x:v>
      </x:c>
      <x:c r="E152" t="str">
        <x:v>Sup 3</x:v>
      </x:c>
      <x:c r="F152" t="n">
        <x:v>480</x:v>
      </x:c>
      <x:c r="G152" t="n">
        <x:v>0</x:v>
      </x:c>
      <x:c r="H152" t="n">
        <x:v>55</x:v>
      </x:c>
      <x:c r="I152" t="n">
        <x:v>1122</x:v>
      </x:c>
      <x:c r="J152" t="n">
        <x:v>954</x:v>
      </x:c>
      <x:c r="K152" t="n">
        <x:v>25</x:v>
      </x:c>
      <x:c r="L152" t="n">
        <x:v>5</x:v>
      </x:c>
      <x:c r="M152" t="n">
        <x:v>86.5</x:v>
      </x:c>
      <x:c r="N152" t="n">
        <x:v>75.4</x:v>
      </x:c>
      <x:c r="O152" t="n">
        <x:v>84.4</x:v>
      </x:c>
      <x:c r="P152" t="n">
        <x:v>4</x:v>
      </x:c>
      <x:c r="Q152" t="str">
        <x:v>No incident</x:v>
      </x:c>
      <x:c r="R152" t="str">
        <x:v>N/A</x:v>
      </x:c>
      <x:c r="S152" t="str">
        <x:v>Corrective</x:v>
      </x:c>
      <x:c r="T152" t="n">
        <x:v>1.23</x:v>
      </x:c>
      <x:c r="U152" t="n">
        <x:v>7.9</x:v>
      </x:c>
    </x:row>
    <x:row r="153">
      <x:c r="A153" s="12" t="n">
        <x:v>46077</x:v>
      </x:c>
      <x:c r="B153" t="str">
        <x:v>B</x:v>
      </x:c>
      <x:c r="C153" t="str">
        <x:v>Dried Mango</x:v>
      </x:c>
      <x:c r="D153" t="str">
        <x:v>Dryer 2</x:v>
      </x:c>
      <x:c r="E153" t="str">
        <x:v>Sup 1</x:v>
      </x:c>
      <x:c r="F153" t="n">
        <x:v>480</x:v>
      </x:c>
      <x:c r="G153" t="n">
        <x:v>0</x:v>
      </x:c>
      <x:c r="H153" t="n">
        <x:v>42</x:v>
      </x:c>
      <x:c r="I153" t="n">
        <x:v>1766</x:v>
      </x:c>
      <x:c r="J153" t="n">
        <x:v>1492</x:v>
      </x:c>
      <x:c r="K153" t="n">
        <x:v>53</x:v>
      </x:c>
      <x:c r="L153" t="n">
        <x:v>24</x:v>
      </x:c>
      <x:c r="M153" t="n">
        <x:v>93.9</x:v>
      </x:c>
      <x:c r="N153" t="n">
        <x:v>71.3</x:v>
      </x:c>
      <x:c r="O153" t="n">
        <x:v>56.7</x:v>
      </x:c>
      <x:c r="P153" t="n">
        <x:v>4</x:v>
      </x:c>
      <x:c r="Q153" t="str">
        <x:v>No incident</x:v>
      </x:c>
      <x:c r="R153" t="str">
        <x:v>N/A</x:v>
      </x:c>
      <x:c r="S153" t="str">
        <x:v>Inspection</x:v>
      </x:c>
      <x:c r="T153" t="n">
        <x:v>0.62</x:v>
      </x:c>
      <x:c r="U153" t="n">
        <x:v>12.2</x:v>
      </x:c>
    </x:row>
    <x:row r="154">
      <x:c r="A154" s="12" t="n">
        <x:v>46077</x:v>
      </x:c>
      <x:c r="B154" t="str">
        <x:v>C</x:v>
      </x:c>
      <x:c r="C154" t="str">
        <x:v>Dried Mango</x:v>
      </x:c>
      <x:c r="D154" t="str">
        <x:v>Dryer 3</x:v>
      </x:c>
      <x:c r="E154" t="str">
        <x:v>Sup 1</x:v>
      </x:c>
      <x:c r="F154" t="n">
        <x:v>450</x:v>
      </x:c>
      <x:c r="G154" t="n">
        <x:v>20</x:v>
      </x:c>
      <x:c r="H154" t="n">
        <x:v>79</x:v>
      </x:c>
      <x:c r="I154" t="n">
        <x:v>1582</x:v>
      </x:c>
      <x:c r="J154" t="n">
        <x:v>1284</x:v>
      </x:c>
      <x:c r="K154" t="n">
        <x:v>71</x:v>
      </x:c>
      <x:c r="L154" t="n">
        <x:v>38</x:v>
      </x:c>
      <x:c r="M154" t="n">
        <x:v>91.6</x:v>
      </x:c>
      <x:c r="N154" t="n">
        <x:v>80.8</x:v>
      </x:c>
      <x:c r="O154" t="n">
        <x:v>67.7</x:v>
      </x:c>
      <x:c r="P154" t="n">
        <x:v>1</x:v>
      </x:c>
      <x:c r="Q154" t="str">
        <x:v>No incident</x:v>
      </x:c>
      <x:c r="R154" t="str">
        <x:v>N/A</x:v>
      </x:c>
      <x:c r="S154" t="str">
        <x:v>Inspection</x:v>
      </x:c>
      <x:c r="T154" t="n">
        <x:v>0.69</x:v>
      </x:c>
      <x:c r="U154" t="n">
        <x:v>9.8</x:v>
      </x:c>
    </x:row>
    <x:row r="155">
      <x:c r="A155" s="12" t="n">
        <x:v>46078</x:v>
      </x:c>
      <x:c r="B155" t="str">
        <x:v>A</x:v>
      </x:c>
      <x:c r="C155" t="str">
        <x:v>Desiccated Coconut</x:v>
      </x:c>
      <x:c r="D155" t="str">
        <x:v>Dryer 3</x:v>
      </x:c>
      <x:c r="E155" t="str">
        <x:v>Sup 3</x:v>
      </x:c>
      <x:c r="F155" t="n">
        <x:v>450</x:v>
      </x:c>
      <x:c r="G155" t="n">
        <x:v>0</x:v>
      </x:c>
      <x:c r="H155" t="n">
        <x:v>69</x:v>
      </x:c>
      <x:c r="I155" t="n">
        <x:v>1270</x:v>
      </x:c>
      <x:c r="J155" t="n">
        <x:v>1029</x:v>
      </x:c>
      <x:c r="K155" t="n">
        <x:v>39</x:v>
      </x:c>
      <x:c r="L155" t="n">
        <x:v>7</x:v>
      </x:c>
      <x:c r="M155" t="n">
        <x:v>89.4</x:v>
      </x:c>
      <x:c r="N155" t="n">
        <x:v>67.9</x:v>
      </x:c>
      <x:c r="O155" t="n">
        <x:v>61.5</x:v>
      </x:c>
      <x:c r="P155" t="n">
        <x:v>4</x:v>
      </x:c>
      <x:c r="Q155" t="str">
        <x:v>No incident</x:v>
      </x:c>
      <x:c r="R155" t="str">
        <x:v>N/A</x:v>
      </x:c>
      <x:c r="S155" t="str">
        <x:v>Preventive</x:v>
      </x:c>
      <x:c r="T155" t="n">
        <x:v>0.92</x:v>
      </x:c>
      <x:c r="U155" t="n">
        <x:v>9.2</x:v>
      </x:c>
    </x:row>
    <x:row r="156">
      <x:c r="A156" s="12" t="n">
        <x:v>46078</x:v>
      </x:c>
      <x:c r="B156" t="str">
        <x:v>B</x:v>
      </x:c>
      <x:c r="C156" t="str">
        <x:v>Dried Mango</x:v>
      </x:c>
      <x:c r="D156" t="str">
        <x:v>Dryer 2</x:v>
      </x:c>
      <x:c r="E156" t="str">
        <x:v>Sup 3</x:v>
      </x:c>
      <x:c r="F156" t="n">
        <x:v>450</x:v>
      </x:c>
      <x:c r="G156" t="n">
        <x:v>30</x:v>
      </x:c>
      <x:c r="H156" t="n">
        <x:v>44</x:v>
      </x:c>
      <x:c r="I156" t="n">
        <x:v>1559</x:v>
      </x:c>
      <x:c r="J156" t="n">
        <x:v>1381</x:v>
      </x:c>
      <x:c r="K156" t="n">
        <x:v>49</x:v>
      </x:c>
      <x:c r="L156" t="n">
        <x:v>27</x:v>
      </x:c>
      <x:c r="M156" t="n">
        <x:v>82.6</x:v>
      </x:c>
      <x:c r="N156" t="n">
        <x:v>72.5</x:v>
      </x:c>
      <x:c r="O156" t="n">
        <x:v>85.4</x:v>
      </x:c>
      <x:c r="P156" t="n">
        <x:v>5</x:v>
      </x:c>
      <x:c r="Q156" t="str">
        <x:v>No incident</x:v>
      </x:c>
      <x:c r="R156" t="str">
        <x:v>N/A</x:v>
      </x:c>
      <x:c r="S156" t="str">
        <x:v>Inspection</x:v>
      </x:c>
      <x:c r="T156" t="n">
        <x:v>0.93</x:v>
      </x:c>
      <x:c r="U156" t="n">
        <x:v>11.2</x:v>
      </x:c>
    </x:row>
    <x:row r="157">
      <x:c r="A157" s="12" t="n">
        <x:v>46078</x:v>
      </x:c>
      <x:c r="B157" t="str">
        <x:v>C</x:v>
      </x:c>
      <x:c r="C157" t="str">
        <x:v>Desiccated Coconut</x:v>
      </x:c>
      <x:c r="D157" t="str">
        <x:v>Dryer 2</x:v>
      </x:c>
      <x:c r="E157" t="str">
        <x:v>Sup 3</x:v>
      </x:c>
      <x:c r="F157" t="n">
        <x:v>450</x:v>
      </x:c>
      <x:c r="G157" t="n">
        <x:v>30</x:v>
      </x:c>
      <x:c r="H157" t="n">
        <x:v>61</x:v>
      </x:c>
      <x:c r="I157" t="n">
        <x:v>1208</x:v>
      </x:c>
      <x:c r="J157" t="n">
        <x:v>936</x:v>
      </x:c>
      <x:c r="K157" t="n">
        <x:v>30</x:v>
      </x:c>
      <x:c r="L157" t="n">
        <x:v>12</x:v>
      </x:c>
      <x:c r="M157" t="n">
        <x:v>91.9</x:v>
      </x:c>
      <x:c r="N157" t="n">
        <x:v>84.2</x:v>
      </x:c>
      <x:c r="O157" t="n">
        <x:v>70.1</x:v>
      </x:c>
      <x:c r="P157" t="n">
        <x:v>4</x:v>
      </x:c>
      <x:c r="Q157" t="str">
        <x:v>No incident</x:v>
      </x:c>
      <x:c r="R157" t="str">
        <x:v>N/A</x:v>
      </x:c>
      <x:c r="S157" t="str">
        <x:v>Corrective</x:v>
      </x:c>
      <x:c r="T157" t="n">
        <x:v>1.54</x:v>
      </x:c>
      <x:c r="U157" t="n">
        <x:v>7.9</x:v>
      </x:c>
    </x:row>
    <x:row r="158">
      <x:c r="A158" s="12" t="n">
        <x:v>46079</x:v>
      </x:c>
      <x:c r="B158" t="str">
        <x:v>A</x:v>
      </x:c>
      <x:c r="C158" t="str">
        <x:v>Dried Mango</x:v>
      </x:c>
      <x:c r="D158" t="str">
        <x:v>Dryer 3</x:v>
      </x:c>
      <x:c r="E158" t="str">
        <x:v>Sup 1</x:v>
      </x:c>
      <x:c r="F158" t="n">
        <x:v>420</x:v>
      </x:c>
      <x:c r="G158" t="n">
        <x:v>0</x:v>
      </x:c>
      <x:c r="H158" t="n">
        <x:v>62</x:v>
      </x:c>
      <x:c r="I158" t="n">
        <x:v>1692</x:v>
      </x:c>
      <x:c r="J158" t="n">
        <x:v>1415</x:v>
      </x:c>
      <x:c r="K158" t="n">
        <x:v>76</x:v>
      </x:c>
      <x:c r="L158" t="n">
        <x:v>39</x:v>
      </x:c>
      <x:c r="M158" t="n">
        <x:v>87.5</x:v>
      </x:c>
      <x:c r="N158" t="n">
        <x:v>83</x:v>
      </x:c>
      <x:c r="O158" t="n">
        <x:v>79.7</x:v>
      </x:c>
      <x:c r="P158" t="n">
        <x:v>0</x:v>
      </x:c>
      <x:c r="Q158" t="str">
        <x:v>Near miss</x:v>
      </x:c>
      <x:c r="R158" t="str">
        <x:v>Closed</x:v>
      </x:c>
      <x:c r="S158" t="str">
        <x:v>Preventive</x:v>
      </x:c>
      <x:c r="T158" t="n">
        <x:v>0.82</x:v>
      </x:c>
      <x:c r="U158" t="n">
        <x:v>12</x:v>
      </x:c>
    </x:row>
    <x:row r="159">
      <x:c r="A159" s="12" t="n">
        <x:v>46079</x:v>
      </x:c>
      <x:c r="B159" t="str">
        <x:v>B</x:v>
      </x:c>
      <x:c r="C159" t="str">
        <x:v>Desiccated Coconut</x:v>
      </x:c>
      <x:c r="D159" t="str">
        <x:v>Dryer 4</x:v>
      </x:c>
      <x:c r="E159" t="str">
        <x:v>Sup 2</x:v>
      </x:c>
      <x:c r="F159" t="n">
        <x:v>480</x:v>
      </x:c>
      <x:c r="G159" t="n">
        <x:v>40</x:v>
      </x:c>
      <x:c r="H159" t="n">
        <x:v>48</x:v>
      </x:c>
      <x:c r="I159" t="n">
        <x:v>1193</x:v>
      </x:c>
      <x:c r="J159" t="n">
        <x:v>1044</x:v>
      </x:c>
      <x:c r="K159" t="n">
        <x:v>23</x:v>
      </x:c>
      <x:c r="L159" t="n">
        <x:v>7</x:v>
      </x:c>
      <x:c r="M159" t="n">
        <x:v>85</x:v>
      </x:c>
      <x:c r="N159" t="n">
        <x:v>71.5</x:v>
      </x:c>
      <x:c r="O159" t="n">
        <x:v>73.4</x:v>
      </x:c>
      <x:c r="P159" t="n">
        <x:v>2</x:v>
      </x:c>
      <x:c r="Q159" t="str">
        <x:v>No incident</x:v>
      </x:c>
      <x:c r="R159" t="str">
        <x:v>N/A</x:v>
      </x:c>
      <x:c r="S159" t="str">
        <x:v>Corrective</x:v>
      </x:c>
      <x:c r="T159" t="n">
        <x:v>0.98</x:v>
      </x:c>
      <x:c r="U159" t="n">
        <x:v>7.9</x:v>
      </x:c>
    </x:row>
    <x:row r="160">
      <x:c r="A160" s="12" t="n">
        <x:v>46079</x:v>
      </x:c>
      <x:c r="B160" t="str">
        <x:v>C</x:v>
      </x:c>
      <x:c r="C160" t="str">
        <x:v>Desiccated Coconut</x:v>
      </x:c>
      <x:c r="D160" t="str">
        <x:v>Dryer 3</x:v>
      </x:c>
      <x:c r="E160" t="str">
        <x:v>Sup 3</x:v>
      </x:c>
      <x:c r="F160" t="n">
        <x:v>480</x:v>
      </x:c>
      <x:c r="G160" t="n">
        <x:v>20</x:v>
      </x:c>
      <x:c r="H160" t="n">
        <x:v>52</x:v>
      </x:c>
      <x:c r="I160" t="n">
        <x:v>1113</x:v>
      </x:c>
      <x:c r="J160" t="n">
        <x:v>889</x:v>
      </x:c>
      <x:c r="K160" t="n">
        <x:v>27</x:v>
      </x:c>
      <x:c r="L160" t="n">
        <x:v>10</x:v>
      </x:c>
      <x:c r="M160" t="n">
        <x:v>87.2</x:v>
      </x:c>
      <x:c r="N160" t="n">
        <x:v>64.7</x:v>
      </x:c>
      <x:c r="O160" t="n">
        <x:v>75</x:v>
      </x:c>
      <x:c r="P160" t="n">
        <x:v>3</x:v>
      </x:c>
      <x:c r="Q160" t="str">
        <x:v>Near miss</x:v>
      </x:c>
      <x:c r="R160" t="str">
        <x:v>In progress</x:v>
      </x:c>
      <x:c r="S160" t="str">
        <x:v>Inspection</x:v>
      </x:c>
      <x:c r="T160" t="n">
        <x:v>0.5</x:v>
      </x:c>
      <x:c r="U160" t="n">
        <x:v>7</x:v>
      </x:c>
    </x:row>
    <x:row r="161">
      <x:c r="A161" s="12" t="n">
        <x:v>46080</x:v>
      </x:c>
      <x:c r="B161" t="str">
        <x:v>A</x:v>
      </x:c>
      <x:c r="C161" t="str">
        <x:v>Dried Pineapple</x:v>
      </x:c>
      <x:c r="D161" t="str">
        <x:v>Dryer 1</x:v>
      </x:c>
      <x:c r="E161" t="str">
        <x:v>Sup 3</x:v>
      </x:c>
      <x:c r="F161" t="n">
        <x:v>450</x:v>
      </x:c>
      <x:c r="G161" t="n">
        <x:v>40</x:v>
      </x:c>
      <x:c r="H161" t="n">
        <x:v>40</x:v>
      </x:c>
      <x:c r="I161" t="n">
        <x:v>1770</x:v>
      </x:c>
      <x:c r="J161" t="n">
        <x:v>1447</x:v>
      </x:c>
      <x:c r="K161" t="n">
        <x:v>43</x:v>
      </x:c>
      <x:c r="L161" t="n">
        <x:v>8</x:v>
      </x:c>
      <x:c r="M161" t="n">
        <x:v>88.2</x:v>
      </x:c>
      <x:c r="N161" t="n">
        <x:v>59.2</x:v>
      </x:c>
      <x:c r="O161" t="n">
        <x:v>66.5</x:v>
      </x:c>
      <x:c r="P161" t="n">
        <x:v>3</x:v>
      </x:c>
      <x:c r="Q161" t="str">
        <x:v>No incident</x:v>
      </x:c>
      <x:c r="R161" t="str">
        <x:v>N/A</x:v>
      </x:c>
      <x:c r="S161" t="str">
        <x:v>Corrective</x:v>
      </x:c>
      <x:c r="T161" t="n">
        <x:v>1.48</x:v>
      </x:c>
      <x:c r="U161" t="n">
        <x:v>12.5</x:v>
      </x:c>
    </x:row>
    <x:row r="162">
      <x:c r="A162" s="12" t="n">
        <x:v>46080</x:v>
      </x:c>
      <x:c r="B162" t="str">
        <x:v>B</x:v>
      </x:c>
      <x:c r="C162" t="str">
        <x:v>Dried Pineapple</x:v>
      </x:c>
      <x:c r="D162" t="str">
        <x:v>Dryer 1</x:v>
      </x:c>
      <x:c r="E162" t="str">
        <x:v>Sup 1</x:v>
      </x:c>
      <x:c r="F162" t="n">
        <x:v>450</x:v>
      </x:c>
      <x:c r="G162" t="n">
        <x:v>0</x:v>
      </x:c>
      <x:c r="H162" t="n">
        <x:v>38</x:v>
      </x:c>
      <x:c r="I162" t="n">
        <x:v>1704</x:v>
      </x:c>
      <x:c r="J162" t="n">
        <x:v>1534</x:v>
      </x:c>
      <x:c r="K162" t="n">
        <x:v>52</x:v>
      </x:c>
      <x:c r="L162" t="n">
        <x:v>13</x:v>
      </x:c>
      <x:c r="M162" t="n">
        <x:v>79.4</x:v>
      </x:c>
      <x:c r="N162" t="n">
        <x:v>71.6</x:v>
      </x:c>
      <x:c r="O162" t="n">
        <x:v>73.2</x:v>
      </x:c>
      <x:c r="P162" t="n">
        <x:v>1</x:v>
      </x:c>
      <x:c r="Q162" t="str">
        <x:v>First aid</x:v>
      </x:c>
      <x:c r="R162" t="str">
        <x:v>Open</x:v>
      </x:c>
      <x:c r="S162" t="str">
        <x:v>Inspection</x:v>
      </x:c>
      <x:c r="T162" t="n">
        <x:v>0.93</x:v>
      </x:c>
      <x:c r="U162" t="n">
        <x:v>13.7</x:v>
      </x:c>
    </x:row>
    <x:row r="163">
      <x:c r="A163" s="12" t="n">
        <x:v>46080</x:v>
      </x:c>
      <x:c r="B163" t="str">
        <x:v>C</x:v>
      </x:c>
      <x:c r="C163" t="str">
        <x:v>Desiccated Coconut</x:v>
      </x:c>
      <x:c r="D163" t="str">
        <x:v>Dryer 4</x:v>
      </x:c>
      <x:c r="E163" t="str">
        <x:v>Sup 1</x:v>
      </x:c>
      <x:c r="F163" t="n">
        <x:v>450</x:v>
      </x:c>
      <x:c r="G163" t="n">
        <x:v>20</x:v>
      </x:c>
      <x:c r="H163" t="n">
        <x:v>43</x:v>
      </x:c>
      <x:c r="I163" t="n">
        <x:v>1129</x:v>
      </x:c>
      <x:c r="J163" t="n">
        <x:v>974</x:v>
      </x:c>
      <x:c r="K163" t="n">
        <x:v>33</x:v>
      </x:c>
      <x:c r="L163" t="n">
        <x:v>18</x:v>
      </x:c>
      <x:c r="M163" t="n">
        <x:v>88.9</x:v>
      </x:c>
      <x:c r="N163" t="n">
        <x:v>73.3</x:v>
      </x:c>
      <x:c r="O163" t="n">
        <x:v>73.1</x:v>
      </x:c>
      <x:c r="P163" t="n">
        <x:v>4</x:v>
      </x:c>
      <x:c r="Q163" t="str">
        <x:v>Near miss</x:v>
      </x:c>
      <x:c r="R163" t="str">
        <x:v>In progress</x:v>
      </x:c>
      <x:c r="S163" t="str">
        <x:v>Inspection</x:v>
      </x:c>
      <x:c r="T163" t="n">
        <x:v>0.92</x:v>
      </x:c>
      <x:c r="U163" t="n">
        <x:v>8.6</x:v>
      </x:c>
    </x:row>
    <x:row r="164">
      <x:c r="A164" s="12" t="n">
        <x:v>46081</x:v>
      </x:c>
      <x:c r="B164" t="str">
        <x:v>A</x:v>
      </x:c>
      <x:c r="C164" t="str">
        <x:v>Desiccated Coconut</x:v>
      </x:c>
      <x:c r="D164" t="str">
        <x:v>Dryer 2</x:v>
      </x:c>
      <x:c r="E164" t="str">
        <x:v>Sup 3</x:v>
      </x:c>
      <x:c r="F164" t="n">
        <x:v>420</x:v>
      </x:c>
      <x:c r="G164" t="n">
        <x:v>40</x:v>
      </x:c>
      <x:c r="H164" t="n">
        <x:v>32</x:v>
      </x:c>
      <x:c r="I164" t="n">
        <x:v>1215</x:v>
      </x:c>
      <x:c r="J164" t="n">
        <x:v>1085</x:v>
      </x:c>
      <x:c r="K164" t="n">
        <x:v>37</x:v>
      </x:c>
      <x:c r="L164" t="n">
        <x:v>21</x:v>
      </x:c>
      <x:c r="M164" t="n">
        <x:v>86.1</x:v>
      </x:c>
      <x:c r="N164" t="n">
        <x:v>71.5</x:v>
      </x:c>
      <x:c r="O164" t="n">
        <x:v>77.4</x:v>
      </x:c>
      <x:c r="P164" t="n">
        <x:v>0</x:v>
      </x:c>
      <x:c r="Q164" t="str">
        <x:v>No incident</x:v>
      </x:c>
      <x:c r="R164" t="str">
        <x:v>N/A</x:v>
      </x:c>
      <x:c r="S164" t="str">
        <x:v>Corrective</x:v>
      </x:c>
      <x:c r="T164" t="n">
        <x:v>1.25</x:v>
      </x:c>
      <x:c r="U164" t="n">
        <x:v>9.1</x:v>
      </x:c>
    </x:row>
    <x:row r="165">
      <x:c r="A165" s="12" t="n">
        <x:v>46081</x:v>
      </x:c>
      <x:c r="B165" t="str">
        <x:v>B</x:v>
      </x:c>
      <x:c r="C165" t="str">
        <x:v>Desiccated Coconut</x:v>
      </x:c>
      <x:c r="D165" t="str">
        <x:v>Dryer 3</x:v>
      </x:c>
      <x:c r="E165" t="str">
        <x:v>Sup 3</x:v>
      </x:c>
      <x:c r="F165" t="n">
        <x:v>420</x:v>
      </x:c>
      <x:c r="G165" t="n">
        <x:v>0</x:v>
      </x:c>
      <x:c r="H165" t="n">
        <x:v>78</x:v>
      </x:c>
      <x:c r="I165" t="n">
        <x:v>1203</x:v>
      </x:c>
      <x:c r="J165" t="n">
        <x:v>877</x:v>
      </x:c>
      <x:c r="K165" t="n">
        <x:v>42</x:v>
      </x:c>
      <x:c r="L165" t="n">
        <x:v>24</x:v>
      </x:c>
      <x:c r="M165" t="n">
        <x:v>97.3</x:v>
      </x:c>
      <x:c r="N165" t="n">
        <x:v>73.9</x:v>
      </x:c>
      <x:c r="O165" t="n">
        <x:v>78</x:v>
      </x:c>
      <x:c r="P165" t="n">
        <x:v>6</x:v>
      </x:c>
      <x:c r="Q165" t="str">
        <x:v>No incident</x:v>
      </x:c>
      <x:c r="R165" t="str">
        <x:v>N/A</x:v>
      </x:c>
      <x:c r="S165" t="str">
        <x:v>Preventive</x:v>
      </x:c>
      <x:c r="T165" t="n">
        <x:v>0.81</x:v>
      </x:c>
      <x:c r="U165" t="n">
        <x:v>7.3</x:v>
      </x:c>
    </x:row>
    <x:row r="166">
      <x:c r="A166" s="12" t="n">
        <x:v>46081</x:v>
      </x:c>
      <x:c r="B166" t="str">
        <x:v>C</x:v>
      </x:c>
      <x:c r="C166" t="str">
        <x:v>Desiccated Coconut</x:v>
      </x:c>
      <x:c r="D166" t="str">
        <x:v>Dryer 1</x:v>
      </x:c>
      <x:c r="E166" t="str">
        <x:v>Sup 3</x:v>
      </x:c>
      <x:c r="F166" t="n">
        <x:v>480</x:v>
      </x:c>
      <x:c r="G166" t="n">
        <x:v>30</x:v>
      </x:c>
      <x:c r="H166" t="n">
        <x:v>23</x:v>
      </x:c>
      <x:c r="I166" t="n">
        <x:v>1130</x:v>
      </x:c>
      <x:c r="J166" t="n">
        <x:v>1087</x:v>
      </x:c>
      <x:c r="K166" t="n">
        <x:v>23</x:v>
      </x:c>
      <x:c r="L166" t="n">
        <x:v>15</x:v>
      </x:c>
      <x:c r="M166" t="n">
        <x:v>87.9</x:v>
      </x:c>
      <x:c r="N166" t="n">
        <x:v>67.4</x:v>
      </x:c>
      <x:c r="O166" t="n">
        <x:v>70.9</x:v>
      </x:c>
      <x:c r="P166" t="n">
        <x:v>5</x:v>
      </x:c>
      <x:c r="Q166" t="str">
        <x:v>No incident</x:v>
      </x:c>
      <x:c r="R166" t="str">
        <x:v>N/A</x:v>
      </x:c>
      <x:c r="S166" t="str">
        <x:v>Inspection</x:v>
      </x:c>
      <x:c r="T166" t="n">
        <x:v>0.5</x:v>
      </x:c>
      <x:c r="U166" t="n">
        <x:v>9.4</x:v>
      </x:c>
    </x:row>
    <x:row r="167">
      <x:c r="A167" s="12" t="n">
        <x:v>46082</x:v>
      </x:c>
      <x:c r="B167" t="str">
        <x:v>A</x:v>
      </x:c>
      <x:c r="C167" t="str">
        <x:v>Desiccated Coconut</x:v>
      </x:c>
      <x:c r="D167" t="str">
        <x:v>Dryer 4</x:v>
      </x:c>
      <x:c r="E167" t="str">
        <x:v>Sup 3</x:v>
      </x:c>
      <x:c r="F167" t="n">
        <x:v>420</x:v>
      </x:c>
      <x:c r="G167" t="n">
        <x:v>30</x:v>
      </x:c>
      <x:c r="H167" t="n">
        <x:v>23</x:v>
      </x:c>
      <x:c r="I167" t="n">
        <x:v>1122</x:v>
      </x:c>
      <x:c r="J167" t="n">
        <x:v>1082</x:v>
      </x:c>
      <x:c r="K167" t="n">
        <x:v>30</x:v>
      </x:c>
      <x:c r="L167" t="n">
        <x:v>6</x:v>
      </x:c>
      <x:c r="M167" t="n">
        <x:v>93.1</x:v>
      </x:c>
      <x:c r="N167" t="n">
        <x:v>82.7</x:v>
      </x:c>
      <x:c r="O167" t="n">
        <x:v>75.4</x:v>
      </x:c>
      <x:c r="P167" t="n">
        <x:v>4</x:v>
      </x:c>
      <x:c r="Q167" t="str">
        <x:v>No incident</x:v>
      </x:c>
      <x:c r="R167" t="str">
        <x:v>N/A</x:v>
      </x:c>
      <x:c r="S167" t="str">
        <x:v>Inspection</x:v>
      </x:c>
      <x:c r="T167" t="n">
        <x:v>0.74</x:v>
      </x:c>
      <x:c r="U167" t="n">
        <x:v>9</x:v>
      </x:c>
    </x:row>
    <x:row r="168">
      <x:c r="A168" s="12" t="n">
        <x:v>46082</x:v>
      </x:c>
      <x:c r="B168" t="str">
        <x:v>B</x:v>
      </x:c>
      <x:c r="C168" t="str">
        <x:v>Dried Mango</x:v>
      </x:c>
      <x:c r="D168" t="str">
        <x:v>Dryer 3</x:v>
      </x:c>
      <x:c r="E168" t="str">
        <x:v>Sup 3</x:v>
      </x:c>
      <x:c r="F168" t="n">
        <x:v>450</x:v>
      </x:c>
      <x:c r="G168" t="n">
        <x:v>30</x:v>
      </x:c>
      <x:c r="H168" t="n">
        <x:v>70</x:v>
      </x:c>
      <x:c r="I168" t="n">
        <x:v>1768</x:v>
      </x:c>
      <x:c r="J168" t="n">
        <x:v>1489</x:v>
      </x:c>
      <x:c r="K168" t="n">
        <x:v>74</x:v>
      </x:c>
      <x:c r="L168" t="n">
        <x:v>23</x:v>
      </x:c>
      <x:c r="M168" t="n">
        <x:v>98.5</x:v>
      </x:c>
      <x:c r="N168" t="n">
        <x:v>65.3</x:v>
      </x:c>
      <x:c r="O168" t="n">
        <x:v>65.4</x:v>
      </x:c>
      <x:c r="P168" t="n">
        <x:v>3</x:v>
      </x:c>
      <x:c r="Q168" t="str">
        <x:v>No incident</x:v>
      </x:c>
      <x:c r="R168" t="str">
        <x:v>N/A</x:v>
      </x:c>
      <x:c r="S168" t="str">
        <x:v>Corrective</x:v>
      </x:c>
      <x:c r="T168" t="n">
        <x:v>0.89</x:v>
      </x:c>
      <x:c r="U168" t="n">
        <x:v>12.4</x:v>
      </x:c>
    </x:row>
    <x:row r="169">
      <x:c r="A169" s="12" t="n">
        <x:v>46082</x:v>
      </x:c>
      <x:c r="B169" t="str">
        <x:v>C</x:v>
      </x:c>
      <x:c r="C169" t="str">
        <x:v>Dried Pineapple</x:v>
      </x:c>
      <x:c r="D169" t="str">
        <x:v>Dryer 4</x:v>
      </x:c>
      <x:c r="E169" t="str">
        <x:v>Sup 1</x:v>
      </x:c>
      <x:c r="F169" t="n">
        <x:v>420</x:v>
      </x:c>
      <x:c r="G169" t="n">
        <x:v>20</x:v>
      </x:c>
      <x:c r="H169" t="n">
        <x:v>30</x:v>
      </x:c>
      <x:c r="I169" t="n">
        <x:v>1748</x:v>
      </x:c>
      <x:c r="J169" t="n">
        <x:v>1532</x:v>
      </x:c>
      <x:c r="K169" t="n">
        <x:v>37</x:v>
      </x:c>
      <x:c r="L169" t="n">
        <x:v>8</x:v>
      </x:c>
      <x:c r="M169" t="n">
        <x:v>87.2</x:v>
      </x:c>
      <x:c r="N169" t="n">
        <x:v>74.7</x:v>
      </x:c>
      <x:c r="O169" t="n">
        <x:v>77.7</x:v>
      </x:c>
      <x:c r="P169" t="n">
        <x:v>4</x:v>
      </x:c>
      <x:c r="Q169" t="str">
        <x:v>First aid</x:v>
      </x:c>
      <x:c r="R169" t="str">
        <x:v>Closed</x:v>
      </x:c>
      <x:c r="S169" t="str">
        <x:v>Corrective</x:v>
      </x:c>
      <x:c r="T169" t="n">
        <x:v>1.64</x:v>
      </x:c>
      <x:c r="U169" t="n">
        <x:v>11.9</x:v>
      </x:c>
    </x:row>
    <x:row r="170">
      <x:c r="A170" s="12" t="n">
        <x:v>46083</x:v>
      </x:c>
      <x:c r="B170" t="str">
        <x:v>A</x:v>
      </x:c>
      <x:c r="C170" t="str">
        <x:v>Dried Mango</x:v>
      </x:c>
      <x:c r="D170" t="str">
        <x:v>Dryer 4</x:v>
      </x:c>
      <x:c r="E170" t="str">
        <x:v>Sup 3</x:v>
      </x:c>
      <x:c r="F170" t="n">
        <x:v>420</x:v>
      </x:c>
      <x:c r="G170" t="n">
        <x:v>0</x:v>
      </x:c>
      <x:c r="H170" t="n">
        <x:v>21</x:v>
      </x:c>
      <x:c r="I170" t="n">
        <x:v>1628</x:v>
      </x:c>
      <x:c r="J170" t="n">
        <x:v>1593</x:v>
      </x:c>
      <x:c r="K170" t="n">
        <x:v>71</x:v>
      </x:c>
      <x:c r="L170" t="n">
        <x:v>34</x:v>
      </x:c>
      <x:c r="M170" t="n">
        <x:v>90.4</x:v>
      </x:c>
      <x:c r="N170" t="n">
        <x:v>73.9</x:v>
      </x:c>
      <x:c r="O170" t="n">
        <x:v>76.3</x:v>
      </x:c>
      <x:c r="P170" t="n">
        <x:v>5</x:v>
      </x:c>
      <x:c r="Q170" t="str">
        <x:v>No incident</x:v>
      </x:c>
      <x:c r="R170" t="str">
        <x:v>N/A</x:v>
      </x:c>
      <x:c r="S170" t="str">
        <x:v>Corrective</x:v>
      </x:c>
      <x:c r="T170" t="n">
        <x:v>0.71</x:v>
      </x:c>
      <x:c r="U170" t="n">
        <x:v>14.3</x:v>
      </x:c>
    </x:row>
    <x:row r="171">
      <x:c r="A171" s="12" t="n">
        <x:v>46083</x:v>
      </x:c>
      <x:c r="B171" t="str">
        <x:v>B</x:v>
      </x:c>
      <x:c r="C171" t="str">
        <x:v>Dried Pineapple</x:v>
      </x:c>
      <x:c r="D171" t="str">
        <x:v>Dryer 4</x:v>
      </x:c>
      <x:c r="E171" t="str">
        <x:v>Sup 2</x:v>
      </x:c>
      <x:c r="F171" t="n">
        <x:v>450</x:v>
      </x:c>
      <x:c r="G171" t="n">
        <x:v>30</x:v>
      </x:c>
      <x:c r="H171" t="n">
        <x:v>64</x:v>
      </x:c>
      <x:c r="I171" t="n">
        <x:v>1886</x:v>
      </x:c>
      <x:c r="J171" t="n">
        <x:v>1457</x:v>
      </x:c>
      <x:c r="K171" t="n">
        <x:v>34</x:v>
      </x:c>
      <x:c r="L171" t="n">
        <x:v>17</x:v>
      </x:c>
      <x:c r="M171" t="n">
        <x:v>93.9</x:v>
      </x:c>
      <x:c r="N171" t="n">
        <x:v>67.9</x:v>
      </x:c>
      <x:c r="O171" t="n">
        <x:v>72.7</x:v>
      </x:c>
      <x:c r="P171" t="n">
        <x:v>3</x:v>
      </x:c>
      <x:c r="Q171" t="str">
        <x:v>Near miss</x:v>
      </x:c>
      <x:c r="R171" t="str">
        <x:v>In progress</x:v>
      </x:c>
      <x:c r="S171" t="str">
        <x:v>Corrective</x:v>
      </x:c>
      <x:c r="T171" t="n">
        <x:v>1.19</x:v>
      </x:c>
      <x:c r="U171" t="n">
        <x:v>11.8</x:v>
      </x:c>
    </x:row>
    <x:row r="172">
      <x:c r="A172" s="12" t="n">
        <x:v>46083</x:v>
      </x:c>
      <x:c r="B172" t="str">
        <x:v>C</x:v>
      </x:c>
      <x:c r="C172" t="str">
        <x:v>Dried Mango</x:v>
      </x:c>
      <x:c r="D172" t="str">
        <x:v>Dryer 1</x:v>
      </x:c>
      <x:c r="E172" t="str">
        <x:v>Sup 2</x:v>
      </x:c>
      <x:c r="F172" t="n">
        <x:v>480</x:v>
      </x:c>
      <x:c r="G172" t="n">
        <x:v>40</x:v>
      </x:c>
      <x:c r="H172" t="n">
        <x:v>31</x:v>
      </x:c>
      <x:c r="I172" t="n">
        <x:v>1528</x:v>
      </x:c>
      <x:c r="J172" t="n">
        <x:v>1255</x:v>
      </x:c>
      <x:c r="K172" t="n">
        <x:v>37</x:v>
      </x:c>
      <x:c r="L172" t="n">
        <x:v>23</x:v>
      </x:c>
      <x:c r="M172" t="n">
        <x:v>86.9</x:v>
      </x:c>
      <x:c r="N172" t="n">
        <x:v>82.9</x:v>
      </x:c>
      <x:c r="O172" t="n">
        <x:v>74.3</x:v>
      </x:c>
      <x:c r="P172" t="n">
        <x:v>5</x:v>
      </x:c>
      <x:c r="Q172" t="str">
        <x:v>First aid</x:v>
      </x:c>
      <x:c r="R172" t="str">
        <x:v>Closed</x:v>
      </x:c>
      <x:c r="S172" t="str">
        <x:v>Preventive</x:v>
      </x:c>
      <x:c r="T172" t="n">
        <x:v>1.64</x:v>
      </x:c>
      <x:c r="U172" t="n">
        <x:v>11.1</x:v>
      </x:c>
    </x:row>
    <x:row r="173">
      <x:c r="A173" s="12" t="n">
        <x:v>46084</x:v>
      </x:c>
      <x:c r="B173" t="str">
        <x:v>A</x:v>
      </x:c>
      <x:c r="C173" t="str">
        <x:v>Desiccated Coconut</x:v>
      </x:c>
      <x:c r="D173" t="str">
        <x:v>Dryer 2</x:v>
      </x:c>
      <x:c r="E173" t="str">
        <x:v>Sup 2</x:v>
      </x:c>
      <x:c r="F173" t="n">
        <x:v>480</x:v>
      </x:c>
      <x:c r="G173" t="n">
        <x:v>30</x:v>
      </x:c>
      <x:c r="H173" t="n">
        <x:v>57</x:v>
      </x:c>
      <x:c r="I173" t="n">
        <x:v>1154</x:v>
      </x:c>
      <x:c r="J173" t="n">
        <x:v>939</x:v>
      </x:c>
      <x:c r="K173" t="n">
        <x:v>33</x:v>
      </x:c>
      <x:c r="L173" t="n">
        <x:v>15</x:v>
      </x:c>
      <x:c r="M173" t="n">
        <x:v>93.2</x:v>
      </x:c>
      <x:c r="N173" t="n">
        <x:v>68.7</x:v>
      </x:c>
      <x:c r="O173" t="n">
        <x:v>80.5</x:v>
      </x:c>
      <x:c r="P173" t="n">
        <x:v>6</x:v>
      </x:c>
      <x:c r="Q173" t="str">
        <x:v>No incident</x:v>
      </x:c>
      <x:c r="R173" t="str">
        <x:v>N/A</x:v>
      </x:c>
      <x:c r="S173" t="str">
        <x:v>Preventive</x:v>
      </x:c>
      <x:c r="T173" t="n">
        <x:v>0.5</x:v>
      </x:c>
      <x:c r="U173" t="n">
        <x:v>7.7</x:v>
      </x:c>
    </x:row>
    <x:row r="174">
      <x:c r="A174" s="12" t="n">
        <x:v>46084</x:v>
      </x:c>
      <x:c r="B174" t="str">
        <x:v>B</x:v>
      </x:c>
      <x:c r="C174" t="str">
        <x:v>Dried Pineapple</x:v>
      </x:c>
      <x:c r="D174" t="str">
        <x:v>Dryer 4</x:v>
      </x:c>
      <x:c r="E174" t="str">
        <x:v>Sup 3</x:v>
      </x:c>
      <x:c r="F174" t="n">
        <x:v>480</x:v>
      </x:c>
      <x:c r="G174" t="n">
        <x:v>0</x:v>
      </x:c>
      <x:c r="H174" t="n">
        <x:v>60</x:v>
      </x:c>
      <x:c r="I174" t="n">
        <x:v>1789</x:v>
      </x:c>
      <x:c r="J174" t="n">
        <x:v>1467</x:v>
      </x:c>
      <x:c r="K174" t="n">
        <x:v>36</x:v>
      </x:c>
      <x:c r="L174" t="n">
        <x:v>22</x:v>
      </x:c>
      <x:c r="M174" t="n">
        <x:v>83.1</x:v>
      </x:c>
      <x:c r="N174" t="n">
        <x:v>84.8</x:v>
      </x:c>
      <x:c r="O174" t="n">
        <x:v>76.4</x:v>
      </x:c>
      <x:c r="P174" t="n">
        <x:v>5</x:v>
      </x:c>
      <x:c r="Q174" t="str">
        <x:v>No incident</x:v>
      </x:c>
      <x:c r="R174" t="str">
        <x:v>N/A</x:v>
      </x:c>
      <x:c r="S174" t="str">
        <x:v>Inspection</x:v>
      </x:c>
      <x:c r="T174" t="n">
        <x:v>0.54</x:v>
      </x:c>
      <x:c r="U174" t="n">
        <x:v>11.4</x:v>
      </x:c>
    </x:row>
    <x:row r="175">
      <x:c r="A175" s="12" t="n">
        <x:v>46084</x:v>
      </x:c>
      <x:c r="B175" t="str">
        <x:v>C</x:v>
      </x:c>
      <x:c r="C175" t="str">
        <x:v>Dried Pineapple</x:v>
      </x:c>
      <x:c r="D175" t="str">
        <x:v>Dryer 1</x:v>
      </x:c>
      <x:c r="E175" t="str">
        <x:v>Sup 1</x:v>
      </x:c>
      <x:c r="F175" t="n">
        <x:v>450</x:v>
      </x:c>
      <x:c r="G175" t="n">
        <x:v>0</x:v>
      </x:c>
      <x:c r="H175" t="n">
        <x:v>58</x:v>
      </x:c>
      <x:c r="I175" t="n">
        <x:v>1864</x:v>
      </x:c>
      <x:c r="J175" t="n">
        <x:v>1429</x:v>
      </x:c>
      <x:c r="K175" t="n">
        <x:v>55</x:v>
      </x:c>
      <x:c r="L175" t="n">
        <x:v>24</x:v>
      </x:c>
      <x:c r="M175" t="n">
        <x:v>79.9</x:v>
      </x:c>
      <x:c r="N175" t="n">
        <x:v>64.9</x:v>
      </x:c>
      <x:c r="O175" t="n">
        <x:v>75</x:v>
      </x:c>
      <x:c r="P175" t="n">
        <x:v>1</x:v>
      </x:c>
      <x:c r="Q175" t="str">
        <x:v>Near miss</x:v>
      </x:c>
      <x:c r="R175" t="str">
        <x:v>Closed</x:v>
      </x:c>
      <x:c r="S175" t="str">
        <x:v>Preventive</x:v>
      </x:c>
      <x:c r="T175" t="n">
        <x:v>0.5</x:v>
      </x:c>
      <x:c r="U175" t="n">
        <x:v>12.1</x:v>
      </x:c>
    </x:row>
    <x:row r="176">
      <x:c r="A176" s="12" t="n">
        <x:v>46085</x:v>
      </x:c>
      <x:c r="B176" t="str">
        <x:v>A</x:v>
      </x:c>
      <x:c r="C176" t="str">
        <x:v>Dried Mango</x:v>
      </x:c>
      <x:c r="D176" t="str">
        <x:v>Dryer 2</x:v>
      </x:c>
      <x:c r="E176" t="str">
        <x:v>Sup 2</x:v>
      </x:c>
      <x:c r="F176" t="n">
        <x:v>420</x:v>
      </x:c>
      <x:c r="G176" t="n">
        <x:v>20</x:v>
      </x:c>
      <x:c r="H176" t="n">
        <x:v>15</x:v>
      </x:c>
      <x:c r="I176" t="n">
        <x:v>1520</x:v>
      </x:c>
      <x:c r="J176" t="n">
        <x:v>1409</x:v>
      </x:c>
      <x:c r="K176" t="n">
        <x:v>42</x:v>
      </x:c>
      <x:c r="L176" t="n">
        <x:v>15</x:v>
      </x:c>
      <x:c r="M176" t="n">
        <x:v>77.2</x:v>
      </x:c>
      <x:c r="N176" t="n">
        <x:v>72</x:v>
      </x:c>
      <x:c r="O176" t="n">
        <x:v>65.3</x:v>
      </x:c>
      <x:c r="P176" t="n">
        <x:v>1</x:v>
      </x:c>
      <x:c r="Q176" t="str">
        <x:v>No incident</x:v>
      </x:c>
      <x:c r="R176" t="str">
        <x:v>N/A</x:v>
      </x:c>
      <x:c r="S176" t="str">
        <x:v>Inspection</x:v>
      </x:c>
      <x:c r="T176" t="n">
        <x:v>0.83</x:v>
      </x:c>
      <x:c r="U176" t="n">
        <x:v>12.4</x:v>
      </x:c>
    </x:row>
    <x:row r="177">
      <x:c r="A177" s="12" t="n">
        <x:v>46085</x:v>
      </x:c>
      <x:c r="B177" t="str">
        <x:v>B</x:v>
      </x:c>
      <x:c r="C177" t="str">
        <x:v>Dried Pineapple</x:v>
      </x:c>
      <x:c r="D177" t="str">
        <x:v>Dryer 1</x:v>
      </x:c>
      <x:c r="E177" t="str">
        <x:v>Sup 2</x:v>
      </x:c>
      <x:c r="F177" t="n">
        <x:v>450</x:v>
      </x:c>
      <x:c r="G177" t="n">
        <x:v>20</x:v>
      </x:c>
      <x:c r="H177" t="n">
        <x:v>59</x:v>
      </x:c>
      <x:c r="I177" t="n">
        <x:v>1647</x:v>
      </x:c>
      <x:c r="J177" t="n">
        <x:v>1257</x:v>
      </x:c>
      <x:c r="K177" t="n">
        <x:v>41</x:v>
      </x:c>
      <x:c r="L177" t="n">
        <x:v>26</x:v>
      </x:c>
      <x:c r="M177" t="n">
        <x:v>91.3</x:v>
      </x:c>
      <x:c r="N177" t="n">
        <x:v>84.1</x:v>
      </x:c>
      <x:c r="O177" t="n">
        <x:v>86.8</x:v>
      </x:c>
      <x:c r="P177" t="n">
        <x:v>4</x:v>
      </x:c>
      <x:c r="Q177" t="str">
        <x:v>No incident</x:v>
      </x:c>
      <x:c r="R177" t="str">
        <x:v>N/A</x:v>
      </x:c>
      <x:c r="S177" t="str">
        <x:v>Corrective</x:v>
      </x:c>
      <x:c r="T177" t="n">
        <x:v>1.4</x:v>
      </x:c>
      <x:c r="U177" t="n">
        <x:v>9.4</x:v>
      </x:c>
    </x:row>
    <x:row r="178">
      <x:c r="A178" s="12" t="n">
        <x:v>46085</x:v>
      </x:c>
      <x:c r="B178" t="str">
        <x:v>C</x:v>
      </x:c>
      <x:c r="C178" t="str">
        <x:v>Desiccated Coconut</x:v>
      </x:c>
      <x:c r="D178" t="str">
        <x:v>Dryer 1</x:v>
      </x:c>
      <x:c r="E178" t="str">
        <x:v>Sup 3</x:v>
      </x:c>
      <x:c r="F178" t="n">
        <x:v>420</x:v>
      </x:c>
      <x:c r="G178" t="n">
        <x:v>20</x:v>
      </x:c>
      <x:c r="H178" t="n">
        <x:v>53</x:v>
      </x:c>
      <x:c r="I178" t="n">
        <x:v>1117</x:v>
      </x:c>
      <x:c r="J178" t="n">
        <x:v>1006</x:v>
      </x:c>
      <x:c r="K178" t="n">
        <x:v>24</x:v>
      </x:c>
      <x:c r="L178" t="n">
        <x:v>10</x:v>
      </x:c>
      <x:c r="M178" t="n">
        <x:v>82.1</x:v>
      </x:c>
      <x:c r="N178" t="n">
        <x:v>77.9</x:v>
      </x:c>
      <x:c r="O178" t="n">
        <x:v>75.6</x:v>
      </x:c>
      <x:c r="P178" t="n">
        <x:v>3</x:v>
      </x:c>
      <x:c r="Q178" t="str">
        <x:v>Near miss</x:v>
      </x:c>
      <x:c r="R178" t="str">
        <x:v>Open</x:v>
      </x:c>
      <x:c r="S178" t="str">
        <x:v>Corrective</x:v>
      </x:c>
      <x:c r="T178" t="n">
        <x:v>1.99</x:v>
      </x:c>
      <x:c r="U178" t="n">
        <x:v>7.6</x:v>
      </x:c>
    </x:row>
    <x:row r="179">
      <x:c r="A179" s="12" t="n">
        <x:v>46086</x:v>
      </x:c>
      <x:c r="B179" t="str">
        <x:v>A</x:v>
      </x:c>
      <x:c r="C179" t="str">
        <x:v>Dried Pineapple</x:v>
      </x:c>
      <x:c r="D179" t="str">
        <x:v>Dryer 1</x:v>
      </x:c>
      <x:c r="E179" t="str">
        <x:v>Sup 3</x:v>
      </x:c>
      <x:c r="F179" t="n">
        <x:v>450</x:v>
      </x:c>
      <x:c r="G179" t="n">
        <x:v>30</x:v>
      </x:c>
      <x:c r="H179" t="n">
        <x:v>48</x:v>
      </x:c>
      <x:c r="I179" t="n">
        <x:v>1793</x:v>
      </x:c>
      <x:c r="J179" t="n">
        <x:v>1534</x:v>
      </x:c>
      <x:c r="K179" t="n">
        <x:v>41</x:v>
      </x:c>
      <x:c r="L179" t="n">
        <x:v>22</x:v>
      </x:c>
      <x:c r="M179" t="n">
        <x:v>96.9</x:v>
      </x:c>
      <x:c r="N179" t="n">
        <x:v>73</x:v>
      </x:c>
      <x:c r="O179" t="n">
        <x:v>87</x:v>
      </x:c>
      <x:c r="P179" t="n">
        <x:v>4</x:v>
      </x:c>
      <x:c r="Q179" t="str">
        <x:v>No incident</x:v>
      </x:c>
      <x:c r="R179" t="str">
        <x:v>N/A</x:v>
      </x:c>
      <x:c r="S179" t="str">
        <x:v>Preventive</x:v>
      </x:c>
      <x:c r="T179" t="n">
        <x:v>0.76</x:v>
      </x:c>
      <x:c r="U179" t="n">
        <x:v>12.8</x:v>
      </x:c>
    </x:row>
    <x:row r="180">
      <x:c r="A180" s="12" t="n">
        <x:v>46086</x:v>
      </x:c>
      <x:c r="B180" t="str">
        <x:v>B</x:v>
      </x:c>
      <x:c r="C180" t="str">
        <x:v>Dried Pineapple</x:v>
      </x:c>
      <x:c r="D180" t="str">
        <x:v>Dryer 3</x:v>
      </x:c>
      <x:c r="E180" t="str">
        <x:v>Sup 3</x:v>
      </x:c>
      <x:c r="F180" t="n">
        <x:v>480</x:v>
      </x:c>
      <x:c r="G180" t="n">
        <x:v>0</x:v>
      </x:c>
      <x:c r="H180" t="n">
        <x:v>53</x:v>
      </x:c>
      <x:c r="I180" t="n">
        <x:v>1841</x:v>
      </x:c>
      <x:c r="J180" t="n">
        <x:v>1453</x:v>
      </x:c>
      <x:c r="K180" t="n">
        <x:v>58</x:v>
      </x:c>
      <x:c r="L180" t="n">
        <x:v>26</x:v>
      </x:c>
      <x:c r="M180" t="n">
        <x:v>91.8</x:v>
      </x:c>
      <x:c r="N180" t="n">
        <x:v>87</x:v>
      </x:c>
      <x:c r="O180" t="n">
        <x:v>91.5</x:v>
      </x:c>
      <x:c r="P180" t="n">
        <x:v>1</x:v>
      </x:c>
      <x:c r="Q180" t="str">
        <x:v>No incident</x:v>
      </x:c>
      <x:c r="R180" t="str">
        <x:v>N/A</x:v>
      </x:c>
      <x:c r="S180" t="str">
        <x:v>Inspection</x:v>
      </x:c>
      <x:c r="T180" t="n">
        <x:v>0.73</x:v>
      </x:c>
      <x:c r="U180" t="n">
        <x:v>13.2</x:v>
      </x:c>
    </x:row>
    <x:row r="181">
      <x:c r="A181" s="12" t="n">
        <x:v>46086</x:v>
      </x:c>
      <x:c r="B181" t="str">
        <x:v>C</x:v>
      </x:c>
      <x:c r="C181" t="str">
        <x:v>Dried Pineapple</x:v>
      </x:c>
      <x:c r="D181" t="str">
        <x:v>Dryer 1</x:v>
      </x:c>
      <x:c r="E181" t="str">
        <x:v>Sup 3</x:v>
      </x:c>
      <x:c r="F181" t="n">
        <x:v>450</x:v>
      </x:c>
      <x:c r="G181" t="n">
        <x:v>30</x:v>
      </x:c>
      <x:c r="H181" t="n">
        <x:v>43</x:v>
      </x:c>
      <x:c r="I181" t="n">
        <x:v>1840</x:v>
      </x:c>
      <x:c r="J181" t="n">
        <x:v>1632</x:v>
      </x:c>
      <x:c r="K181" t="n">
        <x:v>66</x:v>
      </x:c>
      <x:c r="L181" t="n">
        <x:v>34</x:v>
      </x:c>
      <x:c r="M181" t="n">
        <x:v>85.8</x:v>
      </x:c>
      <x:c r="N181" t="n">
        <x:v>67.5</x:v>
      </x:c>
      <x:c r="O181" t="n">
        <x:v>81.5</x:v>
      </x:c>
      <x:c r="P181" t="n">
        <x:v>3</x:v>
      </x:c>
      <x:c r="Q181" t="str">
        <x:v>First aid</x:v>
      </x:c>
      <x:c r="R181" t="str">
        <x:v>In progress</x:v>
      </x:c>
      <x:c r="S181" t="str">
        <x:v>Corrective</x:v>
      </x:c>
      <x:c r="T181" t="n">
        <x:v>1.21</x:v>
      </x:c>
      <x:c r="U181" t="n">
        <x:v>14.9</x:v>
      </x:c>
    </x:row>
    <x:row r="182">
      <x:c r="A182" s="12" t="n">
        <x:v>46087</x:v>
      </x:c>
      <x:c r="B182" t="str">
        <x:v>A</x:v>
      </x:c>
      <x:c r="C182" t="str">
        <x:v>Dried Pineapple</x:v>
      </x:c>
      <x:c r="D182" t="str">
        <x:v>Dryer 2</x:v>
      </x:c>
      <x:c r="E182" t="str">
        <x:v>Sup 2</x:v>
      </x:c>
      <x:c r="F182" t="n">
        <x:v>420</x:v>
      </x:c>
      <x:c r="G182" t="n">
        <x:v>30</x:v>
      </x:c>
      <x:c r="H182" t="n">
        <x:v>33</x:v>
      </x:c>
      <x:c r="I182" t="n">
        <x:v>1625</x:v>
      </x:c>
      <x:c r="J182" t="n">
        <x:v>1511</x:v>
      </x:c>
      <x:c r="K182" t="n">
        <x:v>52</x:v>
      </x:c>
      <x:c r="L182" t="n">
        <x:v>34</x:v>
      </x:c>
      <x:c r="M182" t="n">
        <x:v>86</x:v>
      </x:c>
      <x:c r="N182" t="n">
        <x:v>89.1</x:v>
      </x:c>
      <x:c r="O182" t="n">
        <x:v>77.6</x:v>
      </x:c>
      <x:c r="P182" t="n">
        <x:v>1</x:v>
      </x:c>
      <x:c r="Q182" t="str">
        <x:v>No incident</x:v>
      </x:c>
      <x:c r="R182" t="str">
        <x:v>N/A</x:v>
      </x:c>
      <x:c r="S182" t="str">
        <x:v>Preventive</x:v>
      </x:c>
      <x:c r="T182" t="n">
        <x:v>0.73</x:v>
      </x:c>
      <x:c r="U182" t="n">
        <x:v>13.2</x:v>
      </x:c>
    </x:row>
    <x:row r="183">
      <x:c r="A183" s="12" t="n">
        <x:v>46087</x:v>
      </x:c>
      <x:c r="B183" t="str">
        <x:v>B</x:v>
      </x:c>
      <x:c r="C183" t="str">
        <x:v>Dried Mango</x:v>
      </x:c>
      <x:c r="D183" t="str">
        <x:v>Dryer 3</x:v>
      </x:c>
      <x:c r="E183" t="str">
        <x:v>Sup 3</x:v>
      </x:c>
      <x:c r="F183" t="n">
        <x:v>420</x:v>
      </x:c>
      <x:c r="G183" t="n">
        <x:v>20</x:v>
      </x:c>
      <x:c r="H183" t="n">
        <x:v>58</x:v>
      </x:c>
      <x:c r="I183" t="n">
        <x:v>1652</x:v>
      </x:c>
      <x:c r="J183" t="n">
        <x:v>1387</x:v>
      </x:c>
      <x:c r="K183" t="n">
        <x:v>61</x:v>
      </x:c>
      <x:c r="L183" t="n">
        <x:v>28</x:v>
      </x:c>
      <x:c r="M183" t="n">
        <x:v>93.3</x:v>
      </x:c>
      <x:c r="N183" t="n">
        <x:v>70.4</x:v>
      </x:c>
      <x:c r="O183" t="n">
        <x:v>78.3</x:v>
      </x:c>
      <x:c r="P183" t="n">
        <x:v>1</x:v>
      </x:c>
      <x:c r="Q183" t="str">
        <x:v>No incident</x:v>
      </x:c>
      <x:c r="R183" t="str">
        <x:v>N/A</x:v>
      </x:c>
      <x:c r="S183" t="str">
        <x:v>Preventive</x:v>
      </x:c>
      <x:c r="T183" t="n">
        <x:v>0.9</x:v>
      </x:c>
      <x:c r="U183" t="n">
        <x:v>12.2</x:v>
      </x:c>
    </x:row>
    <x:row r="184">
      <x:c r="A184" s="12" t="n">
        <x:v>46087</x:v>
      </x:c>
      <x:c r="B184" t="str">
        <x:v>C</x:v>
      </x:c>
      <x:c r="C184" t="str">
        <x:v>Dried Mango</x:v>
      </x:c>
      <x:c r="D184" t="str">
        <x:v>Dryer 3</x:v>
      </x:c>
      <x:c r="E184" t="str">
        <x:v>Sup 2</x:v>
      </x:c>
      <x:c r="F184" t="n">
        <x:v>450</x:v>
      </x:c>
      <x:c r="G184" t="n">
        <x:v>40</x:v>
      </x:c>
      <x:c r="H184" t="n">
        <x:v>71</x:v>
      </x:c>
      <x:c r="I184" t="n">
        <x:v>1768</x:v>
      </x:c>
      <x:c r="J184" t="n">
        <x:v>1519</x:v>
      </x:c>
      <x:c r="K184" t="n">
        <x:v>83</x:v>
      </x:c>
      <x:c r="L184" t="n">
        <x:v>35</x:v>
      </x:c>
      <x:c r="M184" t="n">
        <x:v>83.6</x:v>
      </x:c>
      <x:c r="N184" t="n">
        <x:v>57.3</x:v>
      </x:c>
      <x:c r="O184" t="n">
        <x:v>72.8</x:v>
      </x:c>
      <x:c r="P184" t="n">
        <x:v>1</x:v>
      </x:c>
      <x:c r="Q184" t="str">
        <x:v>Near miss</x:v>
      </x:c>
      <x:c r="R184" t="str">
        <x:v>In progress</x:v>
      </x:c>
      <x:c r="S184" t="str">
        <x:v>Inspection</x:v>
      </x:c>
      <x:c r="T184" t="n">
        <x:v>0.67</x:v>
      </x:c>
      <x:c r="U184" t="n">
        <x:v>13.5</x:v>
      </x:c>
    </x:row>
    <x:row r="185">
      <x:c r="A185" s="12" t="n">
        <x:v>46088</x:v>
      </x:c>
      <x:c r="B185" t="str">
        <x:v>A</x:v>
      </x:c>
      <x:c r="C185" t="str">
        <x:v>Desiccated Coconut</x:v>
      </x:c>
      <x:c r="D185" t="str">
        <x:v>Dryer 1</x:v>
      </x:c>
      <x:c r="E185" t="str">
        <x:v>Sup 1</x:v>
      </x:c>
      <x:c r="F185" t="n">
        <x:v>480</x:v>
      </x:c>
      <x:c r="G185" t="n">
        <x:v>20</x:v>
      </x:c>
      <x:c r="H185" t="n">
        <x:v>54</x:v>
      </x:c>
      <x:c r="I185" t="n">
        <x:v>1180</x:v>
      </x:c>
      <x:c r="J185" t="n">
        <x:v>1036</x:v>
      </x:c>
      <x:c r="K185" t="n">
        <x:v>35</x:v>
      </x:c>
      <x:c r="L185" t="n">
        <x:v>11</x:v>
      </x:c>
      <x:c r="M185" t="n">
        <x:v>85.5</x:v>
      </x:c>
      <x:c r="N185" t="n">
        <x:v>91.5</x:v>
      </x:c>
      <x:c r="O185" t="n">
        <x:v>79.1</x:v>
      </x:c>
      <x:c r="P185" t="n">
        <x:v>1</x:v>
      </x:c>
      <x:c r="Q185" t="str">
        <x:v>No incident</x:v>
      </x:c>
      <x:c r="R185" t="str">
        <x:v>N/A</x:v>
      </x:c>
      <x:c r="S185" t="str">
        <x:v>Corrective</x:v>
      </x:c>
      <x:c r="T185" t="n">
        <x:v>1.82</x:v>
      </x:c>
      <x:c r="U185" t="n">
        <x:v>9.5</x:v>
      </x:c>
    </x:row>
    <x:row r="186">
      <x:c r="A186" s="12" t="n">
        <x:v>46088</x:v>
      </x:c>
      <x:c r="B186" t="str">
        <x:v>B</x:v>
      </x:c>
      <x:c r="C186" t="str">
        <x:v>Dried Mango</x:v>
      </x:c>
      <x:c r="D186" t="str">
        <x:v>Dryer 3</x:v>
      </x:c>
      <x:c r="E186" t="str">
        <x:v>Sup 2</x:v>
      </x:c>
      <x:c r="F186" t="n">
        <x:v>420</x:v>
      </x:c>
      <x:c r="G186" t="n">
        <x:v>0</x:v>
      </x:c>
      <x:c r="H186" t="n">
        <x:v>31</x:v>
      </x:c>
      <x:c r="I186" t="n">
        <x:v>1567</x:v>
      </x:c>
      <x:c r="J186" t="n">
        <x:v>1310</x:v>
      </x:c>
      <x:c r="K186" t="n">
        <x:v>66</x:v>
      </x:c>
      <x:c r="L186" t="n">
        <x:v>17</x:v>
      </x:c>
      <x:c r="M186" t="n">
        <x:v>91.1</x:v>
      </x:c>
      <x:c r="N186" t="n">
        <x:v>74.1</x:v>
      </x:c>
      <x:c r="O186" t="n">
        <x:v>70.2</x:v>
      </x:c>
      <x:c r="P186" t="n">
        <x:v>8</x:v>
      </x:c>
      <x:c r="Q186" t="str">
        <x:v>Recordable</x:v>
      </x:c>
      <x:c r="R186" t="str">
        <x:v>In progress</x:v>
      </x:c>
      <x:c r="S186" t="str">
        <x:v>Inspection</x:v>
      </x:c>
      <x:c r="T186" t="n">
        <x:v>0.68</x:v>
      </x:c>
      <x:c r="U186" t="n">
        <x:v>11</x:v>
      </x:c>
    </x:row>
    <x:row r="187">
      <x:c r="A187" s="12" t="n">
        <x:v>46088</x:v>
      </x:c>
      <x:c r="B187" t="str">
        <x:v>C</x:v>
      </x:c>
      <x:c r="C187" t="str">
        <x:v>Dried Pineapple</x:v>
      </x:c>
      <x:c r="D187" t="str">
        <x:v>Dryer 1</x:v>
      </x:c>
      <x:c r="E187" t="str">
        <x:v>Sup 1</x:v>
      </x:c>
      <x:c r="F187" t="n">
        <x:v>450</x:v>
      </x:c>
      <x:c r="G187" t="n">
        <x:v>20</x:v>
      </x:c>
      <x:c r="H187" t="n">
        <x:v>39</x:v>
      </x:c>
      <x:c r="I187" t="n">
        <x:v>1693</x:v>
      </x:c>
      <x:c r="J187" t="n">
        <x:v>1572</x:v>
      </x:c>
      <x:c r="K187" t="n">
        <x:v>59</x:v>
      </x:c>
      <x:c r="L187" t="n">
        <x:v>29</x:v>
      </x:c>
      <x:c r="M187" t="n">
        <x:v>90.6</x:v>
      </x:c>
      <x:c r="N187" t="n">
        <x:v>62.2</x:v>
      </x:c>
      <x:c r="O187" t="n">
        <x:v>74.6</x:v>
      </x:c>
      <x:c r="P187" t="n">
        <x:v>1</x:v>
      </x:c>
      <x:c r="Q187" t="str">
        <x:v>No incident</x:v>
      </x:c>
      <x:c r="R187" t="str">
        <x:v>N/A</x:v>
      </x:c>
      <x:c r="S187" t="str">
        <x:v>Corrective</x:v>
      </x:c>
      <x:c r="T187" t="n">
        <x:v>1.54</x:v>
      </x:c>
      <x:c r="U187" t="n">
        <x:v>12.5</x:v>
      </x:c>
    </x:row>
    <x:row r="188">
      <x:c r="A188" s="12" t="n">
        <x:v>46089</x:v>
      </x:c>
      <x:c r="B188" t="str">
        <x:v>A</x:v>
      </x:c>
      <x:c r="C188" t="str">
        <x:v>Dried Pineapple</x:v>
      </x:c>
      <x:c r="D188" t="str">
        <x:v>Dryer 3</x:v>
      </x:c>
      <x:c r="E188" t="str">
        <x:v>Sup 1</x:v>
      </x:c>
      <x:c r="F188" t="n">
        <x:v>480</x:v>
      </x:c>
      <x:c r="G188" t="n">
        <x:v>0</x:v>
      </x:c>
      <x:c r="H188" t="n">
        <x:v>51</x:v>
      </x:c>
      <x:c r="I188" t="n">
        <x:v>1652</x:v>
      </x:c>
      <x:c r="J188" t="n">
        <x:v>1480</x:v>
      </x:c>
      <x:c r="K188" t="n">
        <x:v>69</x:v>
      </x:c>
      <x:c r="L188" t="n">
        <x:v>42</x:v>
      </x:c>
      <x:c r="M188" t="n">
        <x:v>88.3</x:v>
      </x:c>
      <x:c r="N188" t="n">
        <x:v>57.7</x:v>
      </x:c>
      <x:c r="O188" t="n">
        <x:v>69.3</x:v>
      </x:c>
      <x:c r="P188" t="n">
        <x:v>3</x:v>
      </x:c>
      <x:c r="Q188" t="str">
        <x:v>First aid</x:v>
      </x:c>
      <x:c r="R188" t="str">
        <x:v>Open</x:v>
      </x:c>
      <x:c r="S188" t="str">
        <x:v>Corrective</x:v>
      </x:c>
      <x:c r="T188" t="n">
        <x:v>1.11</x:v>
      </x:c>
      <x:c r="U188" t="n">
        <x:v>12.4</x:v>
      </x:c>
    </x:row>
    <x:row r="189">
      <x:c r="A189" s="12" t="n">
        <x:v>46089</x:v>
      </x:c>
      <x:c r="B189" t="str">
        <x:v>B</x:v>
      </x:c>
      <x:c r="C189" t="str">
        <x:v>Dried Pineapple</x:v>
      </x:c>
      <x:c r="D189" t="str">
        <x:v>Dryer 4</x:v>
      </x:c>
      <x:c r="E189" t="str">
        <x:v>Sup 1</x:v>
      </x:c>
      <x:c r="F189" t="n">
        <x:v>420</x:v>
      </x:c>
      <x:c r="G189" t="n">
        <x:v>40</x:v>
      </x:c>
      <x:c r="H189" t="n">
        <x:v>41</x:v>
      </x:c>
      <x:c r="I189" t="n">
        <x:v>1854</x:v>
      </x:c>
      <x:c r="J189" t="n">
        <x:v>1670</x:v>
      </x:c>
      <x:c r="K189" t="n">
        <x:v>37</x:v>
      </x:c>
      <x:c r="L189" t="n">
        <x:v>25</x:v>
      </x:c>
      <x:c r="M189" t="n">
        <x:v>81.8</x:v>
      </x:c>
      <x:c r="N189" t="n">
        <x:v>86.3</x:v>
      </x:c>
      <x:c r="O189" t="n">
        <x:v>78.2</x:v>
      </x:c>
      <x:c r="P189" t="n">
        <x:v>6</x:v>
      </x:c>
      <x:c r="Q189" t="str">
        <x:v>No incident</x:v>
      </x:c>
      <x:c r="R189" t="str">
        <x:v>N/A</x:v>
      </x:c>
      <x:c r="S189" t="str">
        <x:v>Corrective</x:v>
      </x:c>
      <x:c r="T189" t="n">
        <x:v>0.94</x:v>
      </x:c>
      <x:c r="U189" t="n">
        <x:v>13.6</x:v>
      </x:c>
    </x:row>
    <x:row r="190">
      <x:c r="A190" s="12" t="n">
        <x:v>46089</x:v>
      </x:c>
      <x:c r="B190" t="str">
        <x:v>C</x:v>
      </x:c>
      <x:c r="C190" t="str">
        <x:v>Desiccated Coconut</x:v>
      </x:c>
      <x:c r="D190" t="str">
        <x:v>Dryer 1</x:v>
      </x:c>
      <x:c r="E190" t="str">
        <x:v>Sup 3</x:v>
      </x:c>
      <x:c r="F190" t="n">
        <x:v>420</x:v>
      </x:c>
      <x:c r="G190" t="n">
        <x:v>20</x:v>
      </x:c>
      <x:c r="H190" t="n">
        <x:v>20</x:v>
      </x:c>
      <x:c r="I190" t="n">
        <x:v>1239</x:v>
      </x:c>
      <x:c r="J190" t="n">
        <x:v>1195</x:v>
      </x:c>
      <x:c r="K190" t="n">
        <x:v>30</x:v>
      </x:c>
      <x:c r="L190" t="n">
        <x:v>11</x:v>
      </x:c>
      <x:c r="M190" t="n">
        <x:v>88.4</x:v>
      </x:c>
      <x:c r="N190" t="n">
        <x:v>76.3</x:v>
      </x:c>
      <x:c r="O190" t="n">
        <x:v>73.3</x:v>
      </x:c>
      <x:c r="P190" t="n">
        <x:v>2</x:v>
      </x:c>
      <x:c r="Q190" t="str">
        <x:v>No incident</x:v>
      </x:c>
      <x:c r="R190" t="str">
        <x:v>N/A</x:v>
      </x:c>
      <x:c r="S190" t="str">
        <x:v>Corrective</x:v>
      </x:c>
      <x:c r="T190" t="n">
        <x:v>1.41</x:v>
      </x:c>
      <x:c r="U190" t="n">
        <x:v>10</x:v>
      </x:c>
    </x:row>
    <x:row r="191">
      <x:c r="A191" s="12" t="n">
        <x:v>46090</x:v>
      </x:c>
      <x:c r="B191" t="str">
        <x:v>A</x:v>
      </x:c>
      <x:c r="C191" t="str">
        <x:v>Dried Mango</x:v>
      </x:c>
      <x:c r="D191" t="str">
        <x:v>Dryer 1</x:v>
      </x:c>
      <x:c r="E191" t="str">
        <x:v>Sup 2</x:v>
      </x:c>
      <x:c r="F191" t="n">
        <x:v>480</x:v>
      </x:c>
      <x:c r="G191" t="n">
        <x:v>40</x:v>
      </x:c>
      <x:c r="H191" t="n">
        <x:v>25</x:v>
      </x:c>
      <x:c r="I191" t="n">
        <x:v>1717</x:v>
      </x:c>
      <x:c r="J191" t="n">
        <x:v>1442</x:v>
      </x:c>
      <x:c r="K191" t="n">
        <x:v>59</x:v>
      </x:c>
      <x:c r="L191" t="n">
        <x:v>40</x:v>
      </x:c>
      <x:c r="M191" t="n">
        <x:v>80.8</x:v>
      </x:c>
      <x:c r="N191" t="n">
        <x:v>78.7</x:v>
      </x:c>
      <x:c r="O191" t="n">
        <x:v>76.6</x:v>
      </x:c>
      <x:c r="P191" t="n">
        <x:v>2</x:v>
      </x:c>
      <x:c r="Q191" t="str">
        <x:v>Near miss</x:v>
      </x:c>
      <x:c r="R191" t="str">
        <x:v>Closed</x:v>
      </x:c>
      <x:c r="S191" t="str">
        <x:v>Inspection</x:v>
      </x:c>
      <x:c r="T191" t="n">
        <x:v>1.47</x:v>
      </x:c>
      <x:c r="U191" t="n">
        <x:v>10.9</x:v>
      </x:c>
    </x:row>
    <x:row r="192">
      <x:c r="A192" s="12" t="n">
        <x:v>46090</x:v>
      </x:c>
      <x:c r="B192" t="str">
        <x:v>B</x:v>
      </x:c>
      <x:c r="C192" t="str">
        <x:v>Dried Mango</x:v>
      </x:c>
      <x:c r="D192" t="str">
        <x:v>Dryer 3</x:v>
      </x:c>
      <x:c r="E192" t="str">
        <x:v>Sup 3</x:v>
      </x:c>
      <x:c r="F192" t="n">
        <x:v>420</x:v>
      </x:c>
      <x:c r="G192" t="n">
        <x:v>40</x:v>
      </x:c>
      <x:c r="H192" t="n">
        <x:v>66</x:v>
      </x:c>
      <x:c r="I192" t="n">
        <x:v>1679</x:v>
      </x:c>
      <x:c r="J192" t="n">
        <x:v>1286</x:v>
      </x:c>
      <x:c r="K192" t="n">
        <x:v>50</x:v>
      </x:c>
      <x:c r="L192" t="n">
        <x:v>14</x:v>
      </x:c>
      <x:c r="M192" t="n">
        <x:v>92.6</x:v>
      </x:c>
      <x:c r="N192" t="n">
        <x:v>69.4</x:v>
      </x:c>
      <x:c r="O192" t="n">
        <x:v>82.4</x:v>
      </x:c>
      <x:c r="P192" t="n">
        <x:v>4</x:v>
      </x:c>
      <x:c r="Q192" t="str">
        <x:v>No incident</x:v>
      </x:c>
      <x:c r="R192" t="str">
        <x:v>N/A</x:v>
      </x:c>
      <x:c r="S192" t="str">
        <x:v>Inspection</x:v>
      </x:c>
      <x:c r="T192" t="n">
        <x:v>1.08</x:v>
      </x:c>
      <x:c r="U192" t="n">
        <x:v>10</x:v>
      </x:c>
    </x:row>
    <x:row r="193">
      <x:c r="A193" s="12" t="n">
        <x:v>46090</x:v>
      </x:c>
      <x:c r="B193" t="str">
        <x:v>C</x:v>
      </x:c>
      <x:c r="C193" t="str">
        <x:v>Dried Mango</x:v>
      </x:c>
      <x:c r="D193" t="str">
        <x:v>Dryer 4</x:v>
      </x:c>
      <x:c r="E193" t="str">
        <x:v>Sup 3</x:v>
      </x:c>
      <x:c r="F193" t="n">
        <x:v>450</x:v>
      </x:c>
      <x:c r="G193" t="n">
        <x:v>0</x:v>
      </x:c>
      <x:c r="H193" t="n">
        <x:v>50</x:v>
      </x:c>
      <x:c r="I193" t="n">
        <x:v>1582</x:v>
      </x:c>
      <x:c r="J193" t="n">
        <x:v>1459</x:v>
      </x:c>
      <x:c r="K193" t="n">
        <x:v>63</x:v>
      </x:c>
      <x:c r="L193" t="n">
        <x:v>15</x:v>
      </x:c>
      <x:c r="M193" t="n">
        <x:v>86.8</x:v>
      </x:c>
      <x:c r="N193" t="n">
        <x:v>57.2</x:v>
      </x:c>
      <x:c r="O193" t="n">
        <x:v>71.8</x:v>
      </x:c>
      <x:c r="P193" t="n">
        <x:v>4</x:v>
      </x:c>
      <x:c r="Q193" t="str">
        <x:v>No incident</x:v>
      </x:c>
      <x:c r="R193" t="str">
        <x:v>N/A</x:v>
      </x:c>
      <x:c r="S193" t="str">
        <x:v>Preventive</x:v>
      </x:c>
      <x:c r="T193" t="n">
        <x:v>0.5</x:v>
      </x:c>
      <x:c r="U193" t="n">
        <x:v>11.8</x:v>
      </x:c>
    </x:row>
    <x:row r="194">
      <x:c r="A194" s="12" t="n">
        <x:v>46091</x:v>
      </x:c>
      <x:c r="B194" t="str">
        <x:v>A</x:v>
      </x:c>
      <x:c r="C194" t="str">
        <x:v>Desiccated Coconut</x:v>
      </x:c>
      <x:c r="D194" t="str">
        <x:v>Dryer 2</x:v>
      </x:c>
      <x:c r="E194" t="str">
        <x:v>Sup 2</x:v>
      </x:c>
      <x:c r="F194" t="n">
        <x:v>480</x:v>
      </x:c>
      <x:c r="G194" t="n">
        <x:v>30</x:v>
      </x:c>
      <x:c r="H194" t="n">
        <x:v>36</x:v>
      </x:c>
      <x:c r="I194" t="n">
        <x:v>1198</x:v>
      </x:c>
      <x:c r="J194" t="n">
        <x:v>1070</x:v>
      </x:c>
      <x:c r="K194" t="n">
        <x:v>25</x:v>
      </x:c>
      <x:c r="L194" t="n">
        <x:v>8</x:v>
      </x:c>
      <x:c r="M194" t="n">
        <x:v>88</x:v>
      </x:c>
      <x:c r="N194" t="n">
        <x:v>66.2</x:v>
      </x:c>
      <x:c r="O194" t="n">
        <x:v>75.6</x:v>
      </x:c>
      <x:c r="P194" t="n">
        <x:v>3</x:v>
      </x:c>
      <x:c r="Q194" t="str">
        <x:v>No incident</x:v>
      </x:c>
      <x:c r="R194" t="str">
        <x:v>N/A</x:v>
      </x:c>
      <x:c r="S194" t="str">
        <x:v>Corrective</x:v>
      </x:c>
      <x:c r="T194" t="n">
        <x:v>1.39</x:v>
      </x:c>
      <x:c r="U194" t="n">
        <x:v>8.4</x:v>
      </x:c>
    </x:row>
    <x:row r="195">
      <x:c r="A195" s="12" t="n">
        <x:v>46091</x:v>
      </x:c>
      <x:c r="B195" t="str">
        <x:v>B</x:v>
      </x:c>
      <x:c r="C195" t="str">
        <x:v>Dried Pineapple</x:v>
      </x:c>
      <x:c r="D195" t="str">
        <x:v>Dryer 2</x:v>
      </x:c>
      <x:c r="E195" t="str">
        <x:v>Sup 3</x:v>
      </x:c>
      <x:c r="F195" t="n">
        <x:v>450</x:v>
      </x:c>
      <x:c r="G195" t="n">
        <x:v>20</x:v>
      </x:c>
      <x:c r="H195" t="n">
        <x:v>39</x:v>
      </x:c>
      <x:c r="I195" t="n">
        <x:v>1858</x:v>
      </x:c>
      <x:c r="J195" t="n">
        <x:v>1655</x:v>
      </x:c>
      <x:c r="K195" t="n">
        <x:v>37</x:v>
      </x:c>
      <x:c r="L195" t="n">
        <x:v>22</x:v>
      </x:c>
      <x:c r="M195" t="n">
        <x:v>100</x:v>
      </x:c>
      <x:c r="N195" t="n">
        <x:v>62.4</x:v>
      </x:c>
      <x:c r="O195" t="n">
        <x:v>81.7</x:v>
      </x:c>
      <x:c r="P195" t="n">
        <x:v>3</x:v>
      </x:c>
      <x:c r="Q195" t="str">
        <x:v>Near miss</x:v>
      </x:c>
      <x:c r="R195" t="str">
        <x:v>Open</x:v>
      </x:c>
      <x:c r="S195" t="str">
        <x:v>Inspection</x:v>
      </x:c>
      <x:c r="T195" t="n">
        <x:v>0.5</x:v>
      </x:c>
      <x:c r="U195" t="n">
        <x:v>13.2</x:v>
      </x:c>
    </x:row>
    <x:row r="196">
      <x:c r="A196" s="12" t="n">
        <x:v>46091</x:v>
      </x:c>
      <x:c r="B196" t="str">
        <x:v>C</x:v>
      </x:c>
      <x:c r="C196" t="str">
        <x:v>Dried Pineapple</x:v>
      </x:c>
      <x:c r="D196" t="str">
        <x:v>Dryer 4</x:v>
      </x:c>
      <x:c r="E196" t="str">
        <x:v>Sup 3</x:v>
      </x:c>
      <x:c r="F196" t="n">
        <x:v>420</x:v>
      </x:c>
      <x:c r="G196" t="n">
        <x:v>0</x:v>
      </x:c>
      <x:c r="H196" t="n">
        <x:v>66</x:v>
      </x:c>
      <x:c r="I196" t="n">
        <x:v>1653</x:v>
      </x:c>
      <x:c r="J196" t="n">
        <x:v>1274</x:v>
      </x:c>
      <x:c r="K196" t="n">
        <x:v>35</x:v>
      </x:c>
      <x:c r="L196" t="n">
        <x:v>8</x:v>
      </x:c>
      <x:c r="M196" t="n">
        <x:v>82.1</x:v>
      </x:c>
      <x:c r="N196" t="n">
        <x:v>77.6</x:v>
      </x:c>
      <x:c r="O196" t="n">
        <x:v>81.8</x:v>
      </x:c>
      <x:c r="P196" t="n">
        <x:v>5</x:v>
      </x:c>
      <x:c r="Q196" t="str">
        <x:v>No incident</x:v>
      </x:c>
      <x:c r="R196" t="str">
        <x:v>N/A</x:v>
      </x:c>
      <x:c r="S196" t="str">
        <x:v>Inspection</x:v>
      </x:c>
      <x:c r="T196" t="n">
        <x:v>0.5</x:v>
      </x:c>
      <x:c r="U196" t="n">
        <x:v>11</x:v>
      </x:c>
    </x:row>
    <x:row r="197">
      <x:c r="A197" s="12" t="n">
        <x:v>46092</x:v>
      </x:c>
      <x:c r="B197" t="str">
        <x:v>A</x:v>
      </x:c>
      <x:c r="C197" t="str">
        <x:v>Desiccated Coconut</x:v>
      </x:c>
      <x:c r="D197" t="str">
        <x:v>Dryer 1</x:v>
      </x:c>
      <x:c r="E197" t="str">
        <x:v>Sup 2</x:v>
      </x:c>
      <x:c r="F197" t="n">
        <x:v>450</x:v>
      </x:c>
      <x:c r="G197" t="n">
        <x:v>40</x:v>
      </x:c>
      <x:c r="H197" t="n">
        <x:v>38</x:v>
      </x:c>
      <x:c r="I197" t="n">
        <x:v>1217</x:v>
      </x:c>
      <x:c r="J197" t="n">
        <x:v>1029</x:v>
      </x:c>
      <x:c r="K197" t="n">
        <x:v>22</x:v>
      </x:c>
      <x:c r="L197" t="n">
        <x:v>12</x:v>
      </x:c>
      <x:c r="M197" t="n">
        <x:v>96.9</x:v>
      </x:c>
      <x:c r="N197" t="n">
        <x:v>84.1</x:v>
      </x:c>
      <x:c r="O197" t="n">
        <x:v>88</x:v>
      </x:c>
      <x:c r="P197" t="n">
        <x:v>3</x:v>
      </x:c>
      <x:c r="Q197" t="str">
        <x:v>No incident</x:v>
      </x:c>
      <x:c r="R197" t="str">
        <x:v>N/A</x:v>
      </x:c>
      <x:c r="S197" t="str">
        <x:v>Corrective</x:v>
      </x:c>
      <x:c r="T197" t="n">
        <x:v>1.53</x:v>
      </x:c>
      <x:c r="U197" t="n">
        <x:v>8.9</x:v>
      </x:c>
    </x:row>
    <x:row r="198">
      <x:c r="A198" s="12" t="n">
        <x:v>46092</x:v>
      </x:c>
      <x:c r="B198" t="str">
        <x:v>B</x:v>
      </x:c>
      <x:c r="C198" t="str">
        <x:v>Desiccated Coconut</x:v>
      </x:c>
      <x:c r="D198" t="str">
        <x:v>Dryer 2</x:v>
      </x:c>
      <x:c r="E198" t="str">
        <x:v>Sup 3</x:v>
      </x:c>
      <x:c r="F198" t="n">
        <x:v>450</x:v>
      </x:c>
      <x:c r="G198" t="n">
        <x:v>0</x:v>
      </x:c>
      <x:c r="H198" t="n">
        <x:v>53</x:v>
      </x:c>
      <x:c r="I198" t="n">
        <x:v>1135</x:v>
      </x:c>
      <x:c r="J198" t="n">
        <x:v>909</x:v>
      </x:c>
      <x:c r="K198" t="n">
        <x:v>19</x:v>
      </x:c>
      <x:c r="L198" t="n">
        <x:v>12</x:v>
      </x:c>
      <x:c r="M198" t="n">
        <x:v>97.1</x:v>
      </x:c>
      <x:c r="N198" t="n">
        <x:v>79.3</x:v>
      </x:c>
      <x:c r="O198" t="n">
        <x:v>83</x:v>
      </x:c>
      <x:c r="P198" t="n">
        <x:v>1</x:v>
      </x:c>
      <x:c r="Q198" t="str">
        <x:v>No incident</x:v>
      </x:c>
      <x:c r="R198" t="str">
        <x:v>N/A</x:v>
      </x:c>
      <x:c r="S198" t="str">
        <x:v>Corrective</x:v>
      </x:c>
      <x:c r="T198" t="n">
        <x:v>2.01</x:v>
      </x:c>
      <x:c r="U198" t="n">
        <x:v>8</x:v>
      </x:c>
    </x:row>
    <x:row r="199">
      <x:c r="A199" s="12" t="n">
        <x:v>46092</x:v>
      </x:c>
      <x:c r="B199" t="str">
        <x:v>C</x:v>
      </x:c>
      <x:c r="C199" t="str">
        <x:v>Desiccated Coconut</x:v>
      </x:c>
      <x:c r="D199" t="str">
        <x:v>Dryer 1</x:v>
      </x:c>
      <x:c r="E199" t="str">
        <x:v>Sup 3</x:v>
      </x:c>
      <x:c r="F199" t="n">
        <x:v>420</x:v>
      </x:c>
      <x:c r="G199" t="n">
        <x:v>40</x:v>
      </x:c>
      <x:c r="H199" t="n">
        <x:v>27</x:v>
      </x:c>
      <x:c r="I199" t="n">
        <x:v>1181</x:v>
      </x:c>
      <x:c r="J199" t="n">
        <x:v>969</x:v>
      </x:c>
      <x:c r="K199" t="n">
        <x:v>33</x:v>
      </x:c>
      <x:c r="L199" t="n">
        <x:v>22</x:v>
      </x:c>
      <x:c r="M199" t="n">
        <x:v>93.5</x:v>
      </x:c>
      <x:c r="N199" t="n">
        <x:v>68.4</x:v>
      </x:c>
      <x:c r="O199" t="n">
        <x:v>69.6</x:v>
      </x:c>
      <x:c r="P199" t="n">
        <x:v>2</x:v>
      </x:c>
      <x:c r="Q199" t="str">
        <x:v>No incident</x:v>
      </x:c>
      <x:c r="R199" t="str">
        <x:v>N/A</x:v>
      </x:c>
      <x:c r="S199" t="str">
        <x:v>Preventive</x:v>
      </x:c>
      <x:c r="T199" t="n">
        <x:v>0.5</x:v>
      </x:c>
      <x:c r="U199" t="n">
        <x:v>8.9</x:v>
      </x:c>
    </x:row>
    <x:row r="200">
      <x:c r="A200" s="12" t="n">
        <x:v>46093</x:v>
      </x:c>
      <x:c r="B200" t="str">
        <x:v>A</x:v>
      </x:c>
      <x:c r="C200" t="str">
        <x:v>Desiccated Coconut</x:v>
      </x:c>
      <x:c r="D200" t="str">
        <x:v>Dryer 4</x:v>
      </x:c>
      <x:c r="E200" t="str">
        <x:v>Sup 2</x:v>
      </x:c>
      <x:c r="F200" t="n">
        <x:v>480</x:v>
      </x:c>
      <x:c r="G200" t="n">
        <x:v>0</x:v>
      </x:c>
      <x:c r="H200" t="n">
        <x:v>50</x:v>
      </x:c>
      <x:c r="I200" t="n">
        <x:v>1167</x:v>
      </x:c>
      <x:c r="J200" t="n">
        <x:v>999</x:v>
      </x:c>
      <x:c r="K200" t="n">
        <x:v>33</x:v>
      </x:c>
      <x:c r="L200" t="n">
        <x:v>7</x:v>
      </x:c>
      <x:c r="M200" t="n">
        <x:v>89.2</x:v>
      </x:c>
      <x:c r="N200" t="n">
        <x:v>87.7</x:v>
      </x:c>
      <x:c r="O200" t="n">
        <x:v>82.4</x:v>
      </x:c>
      <x:c r="P200" t="n">
        <x:v>0</x:v>
      </x:c>
      <x:c r="Q200" t="str">
        <x:v>No incident</x:v>
      </x:c>
      <x:c r="R200" t="str">
        <x:v>N/A</x:v>
      </x:c>
      <x:c r="S200" t="str">
        <x:v>Corrective</x:v>
      </x:c>
      <x:c r="T200" t="n">
        <x:v>1.26</x:v>
      </x:c>
      <x:c r="U200" t="n">
        <x:v>7.9</x:v>
      </x:c>
    </x:row>
    <x:row r="201">
      <x:c r="A201" s="12" t="n">
        <x:v>46093</x:v>
      </x:c>
      <x:c r="B201" t="str">
        <x:v>B</x:v>
      </x:c>
      <x:c r="C201" t="str">
        <x:v>Desiccated Coconut</x:v>
      </x:c>
      <x:c r="D201" t="str">
        <x:v>Dryer 3</x:v>
      </x:c>
      <x:c r="E201" t="str">
        <x:v>Sup 3</x:v>
      </x:c>
      <x:c r="F201" t="n">
        <x:v>450</x:v>
      </x:c>
      <x:c r="G201" t="n">
        <x:v>0</x:v>
      </x:c>
      <x:c r="H201" t="n">
        <x:v>40</x:v>
      </x:c>
      <x:c r="I201" t="n">
        <x:v>1283</x:v>
      </x:c>
      <x:c r="J201" t="n">
        <x:v>1210</x:v>
      </x:c>
      <x:c r="K201" t="n">
        <x:v>56</x:v>
      </x:c>
      <x:c r="L201" t="n">
        <x:v>35</x:v>
      </x:c>
      <x:c r="M201" t="n">
        <x:v>96.5</x:v>
      </x:c>
      <x:c r="N201" t="n">
        <x:v>71.4</x:v>
      </x:c>
      <x:c r="O201" t="n">
        <x:v>82.8</x:v>
      </x:c>
      <x:c r="P201" t="n">
        <x:v>1</x:v>
      </x:c>
      <x:c r="Q201" t="str">
        <x:v>Recordable</x:v>
      </x:c>
      <x:c r="R201" t="str">
        <x:v>In progress</x:v>
      </x:c>
      <x:c r="S201" t="str">
        <x:v>Inspection</x:v>
      </x:c>
      <x:c r="T201" t="n">
        <x:v>0.5</x:v>
      </x:c>
      <x:c r="U201" t="n">
        <x:v>10.8</x:v>
      </x:c>
    </x:row>
    <x:row r="202">
      <x:c r="A202" s="12" t="n">
        <x:v>46093</x:v>
      </x:c>
      <x:c r="B202" t="str">
        <x:v>C</x:v>
      </x:c>
      <x:c r="C202" t="str">
        <x:v>Desiccated Coconut</x:v>
      </x:c>
      <x:c r="D202" t="str">
        <x:v>Dryer 3</x:v>
      </x:c>
      <x:c r="E202" t="str">
        <x:v>Sup 3</x:v>
      </x:c>
      <x:c r="F202" t="n">
        <x:v>420</x:v>
      </x:c>
      <x:c r="G202" t="n">
        <x:v>0</x:v>
      </x:c>
      <x:c r="H202" t="n">
        <x:v>64</x:v>
      </x:c>
      <x:c r="I202" t="n">
        <x:v>1170</x:v>
      </x:c>
      <x:c r="J202" t="n">
        <x:v>887</x:v>
      </x:c>
      <x:c r="K202" t="n">
        <x:v>33</x:v>
      </x:c>
      <x:c r="L202" t="n">
        <x:v>6</x:v>
      </x:c>
      <x:c r="M202" t="n">
        <x:v>90.1</x:v>
      </x:c>
      <x:c r="N202" t="n">
        <x:v>65.8</x:v>
      </x:c>
      <x:c r="O202" t="n">
        <x:v>65.6</x:v>
      </x:c>
      <x:c r="P202" t="n">
        <x:v>5</x:v>
      </x:c>
      <x:c r="Q202" t="str">
        <x:v>No incident</x:v>
      </x:c>
      <x:c r="R202" t="str">
        <x:v>N/A</x:v>
      </x:c>
      <x:c r="S202" t="str">
        <x:v>Inspection</x:v>
      </x:c>
      <x:c r="T202" t="n">
        <x:v>0.96</x:v>
      </x:c>
      <x:c r="U202" t="n">
        <x:v>7.5</x:v>
      </x:c>
    </x:row>
    <x:row r="203">
      <x:c r="A203" s="12" t="n">
        <x:v>46094</x:v>
      </x:c>
      <x:c r="B203" t="str">
        <x:v>A</x:v>
      </x:c>
      <x:c r="C203" t="str">
        <x:v>Dried Mango</x:v>
      </x:c>
      <x:c r="D203" t="str">
        <x:v>Dryer 4</x:v>
      </x:c>
      <x:c r="E203" t="str">
        <x:v>Sup 1</x:v>
      </x:c>
      <x:c r="F203" t="n">
        <x:v>420</x:v>
      </x:c>
      <x:c r="G203" t="n">
        <x:v>20</x:v>
      </x:c>
      <x:c r="H203" t="n">
        <x:v>45</x:v>
      </x:c>
      <x:c r="I203" t="n">
        <x:v>1708</x:v>
      </x:c>
      <x:c r="J203" t="n">
        <x:v>1499</x:v>
      </x:c>
      <x:c r="K203" t="n">
        <x:v>42</x:v>
      </x:c>
      <x:c r="L203" t="n">
        <x:v>16</x:v>
      </x:c>
      <x:c r="M203" t="n">
        <x:v>98.9</x:v>
      </x:c>
      <x:c r="N203" t="n">
        <x:v>90.1</x:v>
      </x:c>
      <x:c r="O203" t="n">
        <x:v>75.9</x:v>
      </x:c>
      <x:c r="P203" t="n">
        <x:v>3</x:v>
      </x:c>
      <x:c r="Q203" t="str">
        <x:v>No incident</x:v>
      </x:c>
      <x:c r="R203" t="str">
        <x:v>N/A</x:v>
      </x:c>
      <x:c r="S203" t="str">
        <x:v>Corrective</x:v>
      </x:c>
      <x:c r="T203" t="n">
        <x:v>1.15</x:v>
      </x:c>
      <x:c r="U203" t="n">
        <x:v>13.6</x:v>
      </x:c>
    </x:row>
    <x:row r="204">
      <x:c r="A204" s="12" t="n">
        <x:v>46094</x:v>
      </x:c>
      <x:c r="B204" t="str">
        <x:v>B</x:v>
      </x:c>
      <x:c r="C204" t="str">
        <x:v>Dried Pineapple</x:v>
      </x:c>
      <x:c r="D204" t="str">
        <x:v>Dryer 1</x:v>
      </x:c>
      <x:c r="E204" t="str">
        <x:v>Sup 3</x:v>
      </x:c>
      <x:c r="F204" t="n">
        <x:v>420</x:v>
      </x:c>
      <x:c r="G204" t="n">
        <x:v>30</x:v>
      </x:c>
      <x:c r="H204" t="n">
        <x:v>23</x:v>
      </x:c>
      <x:c r="I204" t="n">
        <x:v>1812</x:v>
      </x:c>
      <x:c r="J204" t="n">
        <x:v>1673</x:v>
      </x:c>
      <x:c r="K204" t="n">
        <x:v>62</x:v>
      </x:c>
      <x:c r="L204" t="n">
        <x:v>28</x:v>
      </x:c>
      <x:c r="M204" t="n">
        <x:v>90.7</x:v>
      </x:c>
      <x:c r="N204" t="n">
        <x:v>78.9</x:v>
      </x:c>
      <x:c r="O204" t="n">
        <x:v>75.6</x:v>
      </x:c>
      <x:c r="P204" t="n">
        <x:v>3</x:v>
      </x:c>
      <x:c r="Q204" t="str">
        <x:v>No incident</x:v>
      </x:c>
      <x:c r="R204" t="str">
        <x:v>N/A</x:v>
      </x:c>
      <x:c r="S204" t="str">
        <x:v>Inspection</x:v>
      </x:c>
      <x:c r="T204" t="n">
        <x:v>0.55</x:v>
      </x:c>
      <x:c r="U204" t="n">
        <x:v>12.7</x:v>
      </x:c>
    </x:row>
    <x:row r="205">
      <x:c r="A205" s="12" t="n">
        <x:v>46094</x:v>
      </x:c>
      <x:c r="B205" t="str">
        <x:v>C</x:v>
      </x:c>
      <x:c r="C205" t="str">
        <x:v>Dried Pineapple</x:v>
      </x:c>
      <x:c r="D205" t="str">
        <x:v>Dryer 1</x:v>
      </x:c>
      <x:c r="E205" t="str">
        <x:v>Sup 3</x:v>
      </x:c>
      <x:c r="F205" t="n">
        <x:v>420</x:v>
      </x:c>
      <x:c r="G205" t="n">
        <x:v>30</x:v>
      </x:c>
      <x:c r="H205" t="n">
        <x:v>51</x:v>
      </x:c>
      <x:c r="I205" t="n">
        <x:v>1670</x:v>
      </x:c>
      <x:c r="J205" t="n">
        <x:v>1311</x:v>
      </x:c>
      <x:c r="K205" t="n">
        <x:v>47</x:v>
      </x:c>
      <x:c r="L205" t="n">
        <x:v>15</x:v>
      </x:c>
      <x:c r="M205" t="n">
        <x:v>86.2</x:v>
      </x:c>
      <x:c r="N205" t="n">
        <x:v>73.3</x:v>
      </x:c>
      <x:c r="O205" t="n">
        <x:v>83.7</x:v>
      </x:c>
      <x:c r="P205" t="n">
        <x:v>5</x:v>
      </x:c>
      <x:c r="Q205" t="str">
        <x:v>No incident</x:v>
      </x:c>
      <x:c r="R205" t="str">
        <x:v>N/A</x:v>
      </x:c>
      <x:c r="S205" t="str">
        <x:v>Corrective</x:v>
      </x:c>
      <x:c r="T205" t="n">
        <x:v>1.28</x:v>
      </x:c>
      <x:c r="U205" t="n">
        <x:v>10.7</x:v>
      </x:c>
    </x:row>
    <x:row r="206">
      <x:c r="A206" s="12" t="n">
        <x:v>46095</x:v>
      </x:c>
      <x:c r="B206" t="str">
        <x:v>A</x:v>
      </x:c>
      <x:c r="C206" t="str">
        <x:v>Dried Mango</x:v>
      </x:c>
      <x:c r="D206" t="str">
        <x:v>Dryer 1</x:v>
      </x:c>
      <x:c r="E206" t="str">
        <x:v>Sup 3</x:v>
      </x:c>
      <x:c r="F206" t="n">
        <x:v>450</x:v>
      </x:c>
      <x:c r="G206" t="n">
        <x:v>20</x:v>
      </x:c>
      <x:c r="H206" t="n">
        <x:v>33</x:v>
      </x:c>
      <x:c r="I206" t="n">
        <x:v>1699</x:v>
      </x:c>
      <x:c r="J206" t="n">
        <x:v>1495</x:v>
      </x:c>
      <x:c r="K206" t="n">
        <x:v>58</x:v>
      </x:c>
      <x:c r="L206" t="n">
        <x:v>31</x:v>
      </x:c>
      <x:c r="M206" t="n">
        <x:v>98.8</x:v>
      </x:c>
      <x:c r="N206" t="n">
        <x:v>77.2</x:v>
      </x:c>
      <x:c r="O206" t="n">
        <x:v>63.4</x:v>
      </x:c>
      <x:c r="P206" t="n">
        <x:v>4</x:v>
      </x:c>
      <x:c r="Q206" t="str">
        <x:v>No incident</x:v>
      </x:c>
      <x:c r="R206" t="str">
        <x:v>N/A</x:v>
      </x:c>
      <x:c r="S206" t="str">
        <x:v>Corrective</x:v>
      </x:c>
      <x:c r="T206" t="n">
        <x:v>1.68</x:v>
      </x:c>
      <x:c r="U206" t="n">
        <x:v>12.2</x:v>
      </x:c>
    </x:row>
    <x:row r="207">
      <x:c r="A207" s="12" t="n">
        <x:v>46095</x:v>
      </x:c>
      <x:c r="B207" t="str">
        <x:v>B</x:v>
      </x:c>
      <x:c r="C207" t="str">
        <x:v>Dried Mango</x:v>
      </x:c>
      <x:c r="D207" t="str">
        <x:v>Dryer 4</x:v>
      </x:c>
      <x:c r="E207" t="str">
        <x:v>Sup 3</x:v>
      </x:c>
      <x:c r="F207" t="n">
        <x:v>420</x:v>
      </x:c>
      <x:c r="G207" t="n">
        <x:v>0</x:v>
      </x:c>
      <x:c r="H207" t="n">
        <x:v>69</x:v>
      </x:c>
      <x:c r="I207" t="n">
        <x:v>1570</x:v>
      </x:c>
      <x:c r="J207" t="n">
        <x:v>1159</x:v>
      </x:c>
      <x:c r="K207" t="n">
        <x:v>48</x:v>
      </x:c>
      <x:c r="L207" t="n">
        <x:v>10</x:v>
      </x:c>
      <x:c r="M207" t="n">
        <x:v>100</x:v>
      </x:c>
      <x:c r="N207" t="n">
        <x:v>87</x:v>
      </x:c>
      <x:c r="O207" t="n">
        <x:v>87.4</x:v>
      </x:c>
      <x:c r="P207" t="n">
        <x:v>3</x:v>
      </x:c>
      <x:c r="Q207" t="str">
        <x:v>No incident</x:v>
      </x:c>
      <x:c r="R207" t="str">
        <x:v>N/A</x:v>
      </x:c>
      <x:c r="S207" t="str">
        <x:v>Preventive</x:v>
      </x:c>
      <x:c r="T207" t="n">
        <x:v>0.98</x:v>
      </x:c>
      <x:c r="U207" t="n">
        <x:v>8.8</x:v>
      </x:c>
    </x:row>
    <x:row r="208">
      <x:c r="A208" s="12" t="n">
        <x:v>46095</x:v>
      </x:c>
      <x:c r="B208" t="str">
        <x:v>C</x:v>
      </x:c>
      <x:c r="C208" t="str">
        <x:v>Dried Pineapple</x:v>
      </x:c>
      <x:c r="D208" t="str">
        <x:v>Dryer 4</x:v>
      </x:c>
      <x:c r="E208" t="str">
        <x:v>Sup 3</x:v>
      </x:c>
      <x:c r="F208" t="n">
        <x:v>450</x:v>
      </x:c>
      <x:c r="G208" t="n">
        <x:v>0</x:v>
      </x:c>
      <x:c r="H208" t="n">
        <x:v>38</x:v>
      </x:c>
      <x:c r="I208" t="n">
        <x:v>1740</x:v>
      </x:c>
      <x:c r="J208" t="n">
        <x:v>1500</x:v>
      </x:c>
      <x:c r="K208" t="n">
        <x:v>53</x:v>
      </x:c>
      <x:c r="L208" t="n">
        <x:v>32</x:v>
      </x:c>
      <x:c r="M208" t="n">
        <x:v>90.4</x:v>
      </x:c>
      <x:c r="N208" t="n">
        <x:v>71.1</x:v>
      </x:c>
      <x:c r="O208" t="n">
        <x:v>79.8</x:v>
      </x:c>
      <x:c r="P208" t="n">
        <x:v>2</x:v>
      </x:c>
      <x:c r="Q208" t="str">
        <x:v>No incident</x:v>
      </x:c>
      <x:c r="R208" t="str">
        <x:v>N/A</x:v>
      </x:c>
      <x:c r="S208" t="str">
        <x:v>Inspection</x:v>
      </x:c>
      <x:c r="T208" t="n">
        <x:v>1.06</x:v>
      </x:c>
      <x:c r="U208" t="n">
        <x:v>12.2</x:v>
      </x:c>
    </x:row>
    <x:row r="209">
      <x:c r="A209" s="12" t="n">
        <x:v>46096</x:v>
      </x:c>
      <x:c r="B209" t="str">
        <x:v>A</x:v>
      </x:c>
      <x:c r="C209" t="str">
        <x:v>Dried Pineapple</x:v>
      </x:c>
      <x:c r="D209" t="str">
        <x:v>Dryer 2</x:v>
      </x:c>
      <x:c r="E209" t="str">
        <x:v>Sup 2</x:v>
      </x:c>
      <x:c r="F209" t="n">
        <x:v>420</x:v>
      </x:c>
      <x:c r="G209" t="n">
        <x:v>40</x:v>
      </x:c>
      <x:c r="H209" t="n">
        <x:v>38</x:v>
      </x:c>
      <x:c r="I209" t="n">
        <x:v>1798</x:v>
      </x:c>
      <x:c r="J209" t="n">
        <x:v>1667</x:v>
      </x:c>
      <x:c r="K209" t="n">
        <x:v>53</x:v>
      </x:c>
      <x:c r="L209" t="n">
        <x:v>31</x:v>
      </x:c>
      <x:c r="M209" t="n">
        <x:v>95</x:v>
      </x:c>
      <x:c r="N209" t="n">
        <x:v>67</x:v>
      </x:c>
      <x:c r="O209" t="n">
        <x:v>75</x:v>
      </x:c>
      <x:c r="P209" t="n">
        <x:v>3</x:v>
      </x:c>
      <x:c r="Q209" t="str">
        <x:v>No incident</x:v>
      </x:c>
      <x:c r="R209" t="str">
        <x:v>N/A</x:v>
      </x:c>
      <x:c r="S209" t="str">
        <x:v>Preventive</x:v>
      </x:c>
      <x:c r="T209" t="n">
        <x:v>0.5</x:v>
      </x:c>
      <x:c r="U209" t="n">
        <x:v>13.8</x:v>
      </x:c>
    </x:row>
    <x:row r="210">
      <x:c r="A210" s="12" t="n">
        <x:v>46096</x:v>
      </x:c>
      <x:c r="B210" t="str">
        <x:v>B</x:v>
      </x:c>
      <x:c r="C210" t="str">
        <x:v>Dried Mango</x:v>
      </x:c>
      <x:c r="D210" t="str">
        <x:v>Dryer 1</x:v>
      </x:c>
      <x:c r="E210" t="str">
        <x:v>Sup 3</x:v>
      </x:c>
      <x:c r="F210" t="n">
        <x:v>420</x:v>
      </x:c>
      <x:c r="G210" t="n">
        <x:v>20</x:v>
      </x:c>
      <x:c r="H210" t="n">
        <x:v>62</x:v>
      </x:c>
      <x:c r="I210" t="n">
        <x:v>1679</x:v>
      </x:c>
      <x:c r="J210" t="n">
        <x:v>1364</x:v>
      </x:c>
      <x:c r="K210" t="n">
        <x:v>55</x:v>
      </x:c>
      <x:c r="L210" t="n">
        <x:v>34</x:v>
      </x:c>
      <x:c r="M210" t="n">
        <x:v>92</x:v>
      </x:c>
      <x:c r="N210" t="n">
        <x:v>74.7</x:v>
      </x:c>
      <x:c r="O210" t="n">
        <x:v>67.6</x:v>
      </x:c>
      <x:c r="P210" t="n">
        <x:v>2</x:v>
      </x:c>
      <x:c r="Q210" t="str">
        <x:v>No incident</x:v>
      </x:c>
      <x:c r="R210" t="str">
        <x:v>N/A</x:v>
      </x:c>
      <x:c r="S210" t="str">
        <x:v>Inspection</x:v>
      </x:c>
      <x:c r="T210" t="n">
        <x:v>0.5</x:v>
      </x:c>
      <x:c r="U210" t="n">
        <x:v>11.2</x:v>
      </x:c>
    </x:row>
    <x:row r="211">
      <x:c r="A211" s="12" t="n">
        <x:v>46096</x:v>
      </x:c>
      <x:c r="B211" t="str">
        <x:v>C</x:v>
      </x:c>
      <x:c r="C211" t="str">
        <x:v>Dried Pineapple</x:v>
      </x:c>
      <x:c r="D211" t="str">
        <x:v>Dryer 1</x:v>
      </x:c>
      <x:c r="E211" t="str">
        <x:v>Sup 3</x:v>
      </x:c>
      <x:c r="F211" t="n">
        <x:v>420</x:v>
      </x:c>
      <x:c r="G211" t="n">
        <x:v>0</x:v>
      </x:c>
      <x:c r="H211" t="n">
        <x:v>45</x:v>
      </x:c>
      <x:c r="I211" t="n">
        <x:v>1696</x:v>
      </x:c>
      <x:c r="J211" t="n">
        <x:v>1420</x:v>
      </x:c>
      <x:c r="K211" t="n">
        <x:v>34</x:v>
      </x:c>
      <x:c r="L211" t="n">
        <x:v>21</x:v>
      </x:c>
      <x:c r="M211" t="n">
        <x:v>82.8</x:v>
      </x:c>
      <x:c r="N211" t="n">
        <x:v>75.2</x:v>
      </x:c>
      <x:c r="O211" t="n">
        <x:v>66</x:v>
      </x:c>
      <x:c r="P211" t="n">
        <x:v>4</x:v>
      </x:c>
      <x:c r="Q211" t="str">
        <x:v>Near miss</x:v>
      </x:c>
      <x:c r="R211" t="str">
        <x:v>Closed</x:v>
      </x:c>
      <x:c r="S211" t="str">
        <x:v>Corrective</x:v>
      </x:c>
      <x:c r="T211" t="n">
        <x:v>1.11</x:v>
      </x:c>
      <x:c r="U211" t="n">
        <x:v>11.4</x:v>
      </x:c>
    </x:row>
    <x:row r="212">
      <x:c r="A212" s="12" t="n">
        <x:v>46097</x:v>
      </x:c>
      <x:c r="B212" t="str">
        <x:v>A</x:v>
      </x:c>
      <x:c r="C212" t="str">
        <x:v>Dried Mango</x:v>
      </x:c>
      <x:c r="D212" t="str">
        <x:v>Dryer 4</x:v>
      </x:c>
      <x:c r="E212" t="str">
        <x:v>Sup 1</x:v>
      </x:c>
      <x:c r="F212" t="n">
        <x:v>420</x:v>
      </x:c>
      <x:c r="G212" t="n">
        <x:v>30</x:v>
      </x:c>
      <x:c r="H212" t="n">
        <x:v>46</x:v>
      </x:c>
      <x:c r="I212" t="n">
        <x:v>1703</x:v>
      </x:c>
      <x:c r="J212" t="n">
        <x:v>1434</x:v>
      </x:c>
      <x:c r="K212" t="n">
        <x:v>53</x:v>
      </x:c>
      <x:c r="L212" t="n">
        <x:v>10</x:v>
      </x:c>
      <x:c r="M212" t="n">
        <x:v>91.4</x:v>
      </x:c>
      <x:c r="N212" t="n">
        <x:v>83.9</x:v>
      </x:c>
      <x:c r="O212" t="n">
        <x:v>66.1</x:v>
      </x:c>
      <x:c r="P212" t="n">
        <x:v>2</x:v>
      </x:c>
      <x:c r="Q212" t="str">
        <x:v>First aid</x:v>
      </x:c>
      <x:c r="R212" t="str">
        <x:v>In progress</x:v>
      </x:c>
      <x:c r="S212" t="str">
        <x:v>Inspection</x:v>
      </x:c>
      <x:c r="T212" t="n">
        <x:v>0.5</x:v>
      </x:c>
      <x:c r="U212" t="n">
        <x:v>12.5</x:v>
      </x:c>
    </x:row>
    <x:row r="213">
      <x:c r="A213" s="12" t="n">
        <x:v>46097</x:v>
      </x:c>
      <x:c r="B213" t="str">
        <x:v>B</x:v>
      </x:c>
      <x:c r="C213" t="str">
        <x:v>Dried Pineapple</x:v>
      </x:c>
      <x:c r="D213" t="str">
        <x:v>Dryer 1</x:v>
      </x:c>
      <x:c r="E213" t="str">
        <x:v>Sup 2</x:v>
      </x:c>
      <x:c r="F213" t="n">
        <x:v>480</x:v>
      </x:c>
      <x:c r="G213" t="n">
        <x:v>20</x:v>
      </x:c>
      <x:c r="H213" t="n">
        <x:v>61</x:v>
      </x:c>
      <x:c r="I213" t="n">
        <x:v>1788</x:v>
      </x:c>
      <x:c r="J213" t="n">
        <x:v>1572</x:v>
      </x:c>
      <x:c r="K213" t="n">
        <x:v>42</x:v>
      </x:c>
      <x:c r="L213" t="n">
        <x:v>29</x:v>
      </x:c>
      <x:c r="M213" t="n">
        <x:v>100</x:v>
      </x:c>
      <x:c r="N213" t="n">
        <x:v>65.5</x:v>
      </x:c>
      <x:c r="O213" t="n">
        <x:v>82.1</x:v>
      </x:c>
      <x:c r="P213" t="n">
        <x:v>3</x:v>
      </x:c>
      <x:c r="Q213" t="str">
        <x:v>No incident</x:v>
      </x:c>
      <x:c r="R213" t="str">
        <x:v>N/A</x:v>
      </x:c>
      <x:c r="S213" t="str">
        <x:v>Preventive</x:v>
      </x:c>
      <x:c r="T213" t="n">
        <x:v>0.5</x:v>
      </x:c>
      <x:c r="U213" t="n">
        <x:v>11.8</x:v>
      </x:c>
    </x:row>
    <x:row r="214">
      <x:c r="A214" s="12" t="n">
        <x:v>46097</x:v>
      </x:c>
      <x:c r="B214" t="str">
        <x:v>C</x:v>
      </x:c>
      <x:c r="C214" t="str">
        <x:v>Dried Mango</x:v>
      </x:c>
      <x:c r="D214" t="str">
        <x:v>Dryer 2</x:v>
      </x:c>
      <x:c r="E214" t="str">
        <x:v>Sup 3</x:v>
      </x:c>
      <x:c r="F214" t="n">
        <x:v>480</x:v>
      </x:c>
      <x:c r="G214" t="n">
        <x:v>20</x:v>
      </x:c>
      <x:c r="H214" t="n">
        <x:v>35</x:v>
      </x:c>
      <x:c r="I214" t="n">
        <x:v>1567</x:v>
      </x:c>
      <x:c r="J214" t="n">
        <x:v>1300</x:v>
      </x:c>
      <x:c r="K214" t="n">
        <x:v>36</x:v>
      </x:c>
      <x:c r="L214" t="n">
        <x:v>19</x:v>
      </x:c>
      <x:c r="M214" t="n">
        <x:v>88.6</x:v>
      </x:c>
      <x:c r="N214" t="n">
        <x:v>75.8</x:v>
      </x:c>
      <x:c r="O214" t="n">
        <x:v>81.3</x:v>
      </x:c>
      <x:c r="P214" t="n">
        <x:v>4</x:v>
      </x:c>
      <x:c r="Q214" t="str">
        <x:v>No incident</x:v>
      </x:c>
      <x:c r="R214" t="str">
        <x:v>N/A</x:v>
      </x:c>
      <x:c r="S214" t="str">
        <x:v>Preventive</x:v>
      </x:c>
      <x:c r="T214" t="n">
        <x:v>0.8</x:v>
      </x:c>
      <x:c r="U214" t="n">
        <x:v>10</x:v>
      </x:c>
    </x:row>
    <x:row r="215">
      <x:c r="A215" s="12" t="n">
        <x:v>46098</x:v>
      </x:c>
      <x:c r="B215" t="str">
        <x:v>A</x:v>
      </x:c>
      <x:c r="C215" t="str">
        <x:v>Desiccated Coconut</x:v>
      </x:c>
      <x:c r="D215" t="str">
        <x:v>Dryer 3</x:v>
      </x:c>
      <x:c r="E215" t="str">
        <x:v>Sup 1</x:v>
      </x:c>
      <x:c r="F215" t="n">
        <x:v>420</x:v>
      </x:c>
      <x:c r="G215" t="n">
        <x:v>40</x:v>
      </x:c>
      <x:c r="H215" t="n">
        <x:v>53</x:v>
      </x:c>
      <x:c r="I215" t="n">
        <x:v>1158</x:v>
      </x:c>
      <x:c r="J215" t="n">
        <x:v>898</x:v>
      </x:c>
      <x:c r="K215" t="n">
        <x:v>38</x:v>
      </x:c>
      <x:c r="L215" t="n">
        <x:v>25</x:v>
      </x:c>
      <x:c r="M215" t="n">
        <x:v>87.9</x:v>
      </x:c>
      <x:c r="N215" t="n">
        <x:v>85.4</x:v>
      </x:c>
      <x:c r="O215" t="n">
        <x:v>71.3</x:v>
      </x:c>
      <x:c r="P215" t="n">
        <x:v>1</x:v>
      </x:c>
      <x:c r="Q215" t="str">
        <x:v>No incident</x:v>
      </x:c>
      <x:c r="R215" t="str">
        <x:v>N/A</x:v>
      </x:c>
      <x:c r="S215" t="str">
        <x:v>Preventive</x:v>
      </x:c>
      <x:c r="T215" t="n">
        <x:v>0.61</x:v>
      </x:c>
      <x:c r="U215" t="n">
        <x:v>8.1</x:v>
      </x:c>
    </x:row>
    <x:row r="216">
      <x:c r="A216" s="12" t="n">
        <x:v>46098</x:v>
      </x:c>
      <x:c r="B216" t="str">
        <x:v>B</x:v>
      </x:c>
      <x:c r="C216" t="str">
        <x:v>Desiccated Coconut</x:v>
      </x:c>
      <x:c r="D216" t="str">
        <x:v>Dryer 2</x:v>
      </x:c>
      <x:c r="E216" t="str">
        <x:v>Sup 2</x:v>
      </x:c>
      <x:c r="F216" t="n">
        <x:v>450</x:v>
      </x:c>
      <x:c r="G216" t="n">
        <x:v>20</x:v>
      </x:c>
      <x:c r="H216" t="n">
        <x:v>52</x:v>
      </x:c>
      <x:c r="I216" t="n">
        <x:v>1291</x:v>
      </x:c>
      <x:c r="J216" t="n">
        <x:v>1074</x:v>
      </x:c>
      <x:c r="K216" t="n">
        <x:v>27</x:v>
      </x:c>
      <x:c r="L216" t="n">
        <x:v>18</x:v>
      </x:c>
      <x:c r="M216" t="n">
        <x:v>92</x:v>
      </x:c>
      <x:c r="N216" t="n">
        <x:v>79.6</x:v>
      </x:c>
      <x:c r="O216" t="n">
        <x:v>58</x:v>
      </x:c>
      <x:c r="P216" t="n">
        <x:v>3</x:v>
      </x:c>
      <x:c r="Q216" t="str">
        <x:v>Near miss</x:v>
      </x:c>
      <x:c r="R216" t="str">
        <x:v>In progress</x:v>
      </x:c>
      <x:c r="S216" t="str">
        <x:v>Preventive</x:v>
      </x:c>
      <x:c r="T216" t="n">
        <x:v>0.5</x:v>
      </x:c>
      <x:c r="U216" t="n">
        <x:v>8.8</x:v>
      </x:c>
    </x:row>
    <x:row r="217">
      <x:c r="A217" s="12" t="n">
        <x:v>46098</x:v>
      </x:c>
      <x:c r="B217" t="str">
        <x:v>C</x:v>
      </x:c>
      <x:c r="C217" t="str">
        <x:v>Dried Mango</x:v>
      </x:c>
      <x:c r="D217" t="str">
        <x:v>Dryer 4</x:v>
      </x:c>
      <x:c r="E217" t="str">
        <x:v>Sup 3</x:v>
      </x:c>
      <x:c r="F217" t="n">
        <x:v>480</x:v>
      </x:c>
      <x:c r="G217" t="n">
        <x:v>0</x:v>
      </x:c>
      <x:c r="H217" t="n">
        <x:v>8</x:v>
      </x:c>
      <x:c r="I217" t="n">
        <x:v>1763</x:v>
      </x:c>
      <x:c r="J217" t="n">
        <x:v>1550</x:v>
      </x:c>
      <x:c r="K217" t="n">
        <x:v>55</x:v>
      </x:c>
      <x:c r="L217" t="n">
        <x:v>21</x:v>
      </x:c>
      <x:c r="M217" t="n">
        <x:v>82.1</x:v>
      </x:c>
      <x:c r="N217" t="n">
        <x:v>77.1</x:v>
      </x:c>
      <x:c r="O217" t="n">
        <x:v>94.7</x:v>
      </x:c>
      <x:c r="P217" t="n">
        <x:v>4</x:v>
      </x:c>
      <x:c r="Q217" t="str">
        <x:v>Near miss</x:v>
      </x:c>
      <x:c r="R217" t="str">
        <x:v>Closed</x:v>
      </x:c>
      <x:c r="S217" t="str">
        <x:v>Preventive</x:v>
      </x:c>
      <x:c r="T217" t="n">
        <x:v>1.22</x:v>
      </x:c>
      <x:c r="U217" t="n">
        <x:v>12.8</x:v>
      </x:c>
    </x:row>
    <x:row r="218">
      <x:c r="A218" s="12" t="n">
        <x:v>46099</x:v>
      </x:c>
      <x:c r="B218" t="str">
        <x:v>A</x:v>
      </x:c>
      <x:c r="C218" t="str">
        <x:v>Dried Pineapple</x:v>
      </x:c>
      <x:c r="D218" t="str">
        <x:v>Dryer 2</x:v>
      </x:c>
      <x:c r="E218" t="str">
        <x:v>Sup 2</x:v>
      </x:c>
      <x:c r="F218" t="n">
        <x:v>450</x:v>
      </x:c>
      <x:c r="G218" t="n">
        <x:v>30</x:v>
      </x:c>
      <x:c r="H218" t="n">
        <x:v>47</x:v>
      </x:c>
      <x:c r="I218" t="n">
        <x:v>1796</x:v>
      </x:c>
      <x:c r="J218" t="n">
        <x:v>1425</x:v>
      </x:c>
      <x:c r="K218" t="n">
        <x:v>37</x:v>
      </x:c>
      <x:c r="L218" t="n">
        <x:v>18</x:v>
      </x:c>
      <x:c r="M218" t="n">
        <x:v>92.2</x:v>
      </x:c>
      <x:c r="N218" t="n">
        <x:v>75.6</x:v>
      </x:c>
      <x:c r="O218" t="n">
        <x:v>72.4</x:v>
      </x:c>
      <x:c r="P218" t="n">
        <x:v>6</x:v>
      </x:c>
      <x:c r="Q218" t="str">
        <x:v>No incident</x:v>
      </x:c>
      <x:c r="R218" t="str">
        <x:v>N/A</x:v>
      </x:c>
      <x:c r="S218" t="str">
        <x:v>Preventive</x:v>
      </x:c>
      <x:c r="T218" t="n">
        <x:v>0.85</x:v>
      </x:c>
      <x:c r="U218" t="n">
        <x:v>13</x:v>
      </x:c>
    </x:row>
    <x:row r="219">
      <x:c r="A219" s="12" t="n">
        <x:v>46099</x:v>
      </x:c>
      <x:c r="B219" t="str">
        <x:v>B</x:v>
      </x:c>
      <x:c r="C219" t="str">
        <x:v>Dried Mango</x:v>
      </x:c>
      <x:c r="D219" t="str">
        <x:v>Dryer 4</x:v>
      </x:c>
      <x:c r="E219" t="str">
        <x:v>Sup 1</x:v>
      </x:c>
      <x:c r="F219" t="n">
        <x:v>450</x:v>
      </x:c>
      <x:c r="G219" t="n">
        <x:v>40</x:v>
      </x:c>
      <x:c r="H219" t="n">
        <x:v>42</x:v>
      </x:c>
      <x:c r="I219" t="n">
        <x:v>1666</x:v>
      </x:c>
      <x:c r="J219" t="n">
        <x:v>1490</x:v>
      </x:c>
      <x:c r="K219" t="n">
        <x:v>60</x:v>
      </x:c>
      <x:c r="L219" t="n">
        <x:v>30</x:v>
      </x:c>
      <x:c r="M219" t="n">
        <x:v>86.5</x:v>
      </x:c>
      <x:c r="N219" t="n">
        <x:v>83.1</x:v>
      </x:c>
      <x:c r="O219" t="n">
        <x:v>74.8</x:v>
      </x:c>
      <x:c r="P219" t="n">
        <x:v>2</x:v>
      </x:c>
      <x:c r="Q219" t="str">
        <x:v>No incident</x:v>
      </x:c>
      <x:c r="R219" t="str">
        <x:v>N/A</x:v>
      </x:c>
      <x:c r="S219" t="str">
        <x:v>Inspection</x:v>
      </x:c>
      <x:c r="T219" t="n">
        <x:v>0.5</x:v>
      </x:c>
      <x:c r="U219" t="n">
        <x:v>11.4</x:v>
      </x:c>
    </x:row>
    <x:row r="220">
      <x:c r="A220" s="12" t="n">
        <x:v>46099</x:v>
      </x:c>
      <x:c r="B220" t="str">
        <x:v>C</x:v>
      </x:c>
      <x:c r="C220" t="str">
        <x:v>Desiccated Coconut</x:v>
      </x:c>
      <x:c r="D220" t="str">
        <x:v>Dryer 4</x:v>
      </x:c>
      <x:c r="E220" t="str">
        <x:v>Sup 2</x:v>
      </x:c>
      <x:c r="F220" t="n">
        <x:v>450</x:v>
      </x:c>
      <x:c r="G220" t="n">
        <x:v>30</x:v>
      </x:c>
      <x:c r="H220" t="n">
        <x:v>48</x:v>
      </x:c>
      <x:c r="I220" t="n">
        <x:v>1187</x:v>
      </x:c>
      <x:c r="J220" t="n">
        <x:v>929</x:v>
      </x:c>
      <x:c r="K220" t="n">
        <x:v>18</x:v>
      </x:c>
      <x:c r="L220" t="n">
        <x:v>8</x:v>
      </x:c>
      <x:c r="M220" t="n">
        <x:v>76.3</x:v>
      </x:c>
      <x:c r="N220" t="n">
        <x:v>67.7</x:v>
      </x:c>
      <x:c r="O220" t="n">
        <x:v>76.3</x:v>
      </x:c>
      <x:c r="P220" t="n">
        <x:v>1</x:v>
      </x:c>
      <x:c r="Q220" t="str">
        <x:v>Near miss</x:v>
      </x:c>
      <x:c r="R220" t="str">
        <x:v>In progress</x:v>
      </x:c>
      <x:c r="S220" t="str">
        <x:v>Corrective</x:v>
      </x:c>
      <x:c r="T220" t="n">
        <x:v>0.88</x:v>
      </x:c>
      <x:c r="U220" t="n">
        <x:v>8.2</x:v>
      </x:c>
    </x:row>
    <x:row r="221">
      <x:c r="A221" s="12" t="n">
        <x:v>46100</x:v>
      </x:c>
      <x:c r="B221" t="str">
        <x:v>A</x:v>
      </x:c>
      <x:c r="C221" t="str">
        <x:v>Dried Mango</x:v>
      </x:c>
      <x:c r="D221" t="str">
        <x:v>Dryer 3</x:v>
      </x:c>
      <x:c r="E221" t="str">
        <x:v>Sup 1</x:v>
      </x:c>
      <x:c r="F221" t="n">
        <x:v>450</x:v>
      </x:c>
      <x:c r="G221" t="n">
        <x:v>30</x:v>
      </x:c>
      <x:c r="H221" t="n">
        <x:v>73</x:v>
      </x:c>
      <x:c r="I221" t="n">
        <x:v>1666</x:v>
      </x:c>
      <x:c r="J221" t="n">
        <x:v>1335</x:v>
      </x:c>
      <x:c r="K221" t="n">
        <x:v>67</x:v>
      </x:c>
      <x:c r="L221" t="n">
        <x:v>25</x:v>
      </x:c>
      <x:c r="M221" t="n">
        <x:v>94.8</x:v>
      </x:c>
      <x:c r="N221" t="n">
        <x:v>81.3</x:v>
      </x:c>
      <x:c r="O221" t="n">
        <x:v>55</x:v>
      </x:c>
      <x:c r="P221" t="n">
        <x:v>2</x:v>
      </x:c>
      <x:c r="Q221" t="str">
        <x:v>No incident</x:v>
      </x:c>
      <x:c r="R221" t="str">
        <x:v>N/A</x:v>
      </x:c>
      <x:c r="S221" t="str">
        <x:v>Corrective</x:v>
      </x:c>
      <x:c r="T221" t="n">
        <x:v>1.37</x:v>
      </x:c>
      <x:c r="U221" t="n">
        <x:v>11</x:v>
      </x:c>
    </x:row>
    <x:row r="222">
      <x:c r="A222" s="12" t="n">
        <x:v>46100</x:v>
      </x:c>
      <x:c r="B222" t="str">
        <x:v>B</x:v>
      </x:c>
      <x:c r="C222" t="str">
        <x:v>Desiccated Coconut</x:v>
      </x:c>
      <x:c r="D222" t="str">
        <x:v>Dryer 2</x:v>
      </x:c>
      <x:c r="E222" t="str">
        <x:v>Sup 1</x:v>
      </x:c>
      <x:c r="F222" t="n">
        <x:v>450</x:v>
      </x:c>
      <x:c r="G222" t="n">
        <x:v>30</x:v>
      </x:c>
      <x:c r="H222" t="n">
        <x:v>42</x:v>
      </x:c>
      <x:c r="I222" t="n">
        <x:v>1113</x:v>
      </x:c>
      <x:c r="J222" t="n">
        <x:v>989</x:v>
      </x:c>
      <x:c r="K222" t="n">
        <x:v>16</x:v>
      </x:c>
      <x:c r="L222" t="n">
        <x:v>7</x:v>
      </x:c>
      <x:c r="M222" t="n">
        <x:v>83.6</x:v>
      </x:c>
      <x:c r="N222" t="n">
        <x:v>84.4</x:v>
      </x:c>
      <x:c r="O222" t="n">
        <x:v>75.8</x:v>
      </x:c>
      <x:c r="P222" t="n">
        <x:v>5</x:v>
      </x:c>
      <x:c r="Q222" t="str">
        <x:v>No incident</x:v>
      </x:c>
      <x:c r="R222" t="str">
        <x:v>N/A</x:v>
      </x:c>
      <x:c r="S222" t="str">
        <x:v>Preventive</x:v>
      </x:c>
      <x:c r="T222" t="n">
        <x:v>0.5</x:v>
      </x:c>
      <x:c r="U222" t="n">
        <x:v>8.3</x:v>
      </x:c>
    </x:row>
    <x:row r="223">
      <x:c r="A223" s="12" t="n">
        <x:v>46100</x:v>
      </x:c>
      <x:c r="B223" t="str">
        <x:v>C</x:v>
      </x:c>
      <x:c r="C223" t="str">
        <x:v>Dried Pineapple</x:v>
      </x:c>
      <x:c r="D223" t="str">
        <x:v>Dryer 1</x:v>
      </x:c>
      <x:c r="E223" t="str">
        <x:v>Sup 2</x:v>
      </x:c>
      <x:c r="F223" t="n">
        <x:v>420</x:v>
      </x:c>
      <x:c r="G223" t="n">
        <x:v>0</x:v>
      </x:c>
      <x:c r="H223" t="n">
        <x:v>41</x:v>
      </x:c>
      <x:c r="I223" t="n">
        <x:v>1695</x:v>
      </x:c>
      <x:c r="J223" t="n">
        <x:v>1442</x:v>
      </x:c>
      <x:c r="K223" t="n">
        <x:v>41</x:v>
      </x:c>
      <x:c r="L223" t="n">
        <x:v>13</x:v>
      </x:c>
      <x:c r="M223" t="n">
        <x:v>82.2</x:v>
      </x:c>
      <x:c r="N223" t="n">
        <x:v>80</x:v>
      </x:c>
      <x:c r="O223" t="n">
        <x:v>83.7</x:v>
      </x:c>
      <x:c r="P223" t="n">
        <x:v>3</x:v>
      </x:c>
      <x:c r="Q223" t="str">
        <x:v>No incident</x:v>
      </x:c>
      <x:c r="R223" t="str">
        <x:v>N/A</x:v>
      </x:c>
      <x:c r="S223" t="str">
        <x:v>Preventive</x:v>
      </x:c>
      <x:c r="T223" t="n">
        <x:v>0.93</x:v>
      </x:c>
      <x:c r="U223" t="n">
        <x:v>10.9</x:v>
      </x:c>
    </x:row>
    <x:row r="224">
      <x:c r="A224" s="12" t="n">
        <x:v>46101</x:v>
      </x:c>
      <x:c r="B224" t="str">
        <x:v>A</x:v>
      </x:c>
      <x:c r="C224" t="str">
        <x:v>Dried Pineapple</x:v>
      </x:c>
      <x:c r="D224" t="str">
        <x:v>Dryer 1</x:v>
      </x:c>
      <x:c r="E224" t="str">
        <x:v>Sup 2</x:v>
      </x:c>
      <x:c r="F224" t="n">
        <x:v>420</x:v>
      </x:c>
      <x:c r="G224" t="n">
        <x:v>20</x:v>
      </x:c>
      <x:c r="H224" t="n">
        <x:v>57</x:v>
      </x:c>
      <x:c r="I224" t="n">
        <x:v>1853</x:v>
      </x:c>
      <x:c r="J224" t="n">
        <x:v>1590</x:v>
      </x:c>
      <x:c r="K224" t="n">
        <x:v>65</x:v>
      </x:c>
      <x:c r="L224" t="n">
        <x:v>28</x:v>
      </x:c>
      <x:c r="M224" t="n">
        <x:v>90.7</x:v>
      </x:c>
      <x:c r="N224" t="n">
        <x:v>68</x:v>
      </x:c>
      <x:c r="O224" t="n">
        <x:v>81.7</x:v>
      </x:c>
      <x:c r="P224" t="n">
        <x:v>1</x:v>
      </x:c>
      <x:c r="Q224" t="str">
        <x:v>Near miss</x:v>
      </x:c>
      <x:c r="R224" t="str">
        <x:v>Closed</x:v>
      </x:c>
      <x:c r="S224" t="str">
        <x:v>Corrective</x:v>
      </x:c>
      <x:c r="T224" t="n">
        <x:v>1.72</x:v>
      </x:c>
      <x:c r="U224" t="n">
        <x:v>13.6</x:v>
      </x:c>
    </x:row>
    <x:row r="225">
      <x:c r="A225" s="12" t="n">
        <x:v>46101</x:v>
      </x:c>
      <x:c r="B225" t="str">
        <x:v>B</x:v>
      </x:c>
      <x:c r="C225" t="str">
        <x:v>Dried Pineapple</x:v>
      </x:c>
      <x:c r="D225" t="str">
        <x:v>Dryer 3</x:v>
      </x:c>
      <x:c r="E225" t="str">
        <x:v>Sup 2</x:v>
      </x:c>
      <x:c r="F225" t="n">
        <x:v>480</x:v>
      </x:c>
      <x:c r="G225" t="n">
        <x:v>20</x:v>
      </x:c>
      <x:c r="H225" t="n">
        <x:v>57</x:v>
      </x:c>
      <x:c r="I225" t="n">
        <x:v>1673</x:v>
      </x:c>
      <x:c r="J225" t="n">
        <x:v>1507</x:v>
      </x:c>
      <x:c r="K225" t="n">
        <x:v>54</x:v>
      </x:c>
      <x:c r="L225" t="n">
        <x:v>37</x:v>
      </x:c>
      <x:c r="M225" t="n">
        <x:v>94.4</x:v>
      </x:c>
      <x:c r="N225" t="n">
        <x:v>68.2</x:v>
      </x:c>
      <x:c r="O225" t="n">
        <x:v>80.7</x:v>
      </x:c>
      <x:c r="P225" t="n">
        <x:v>1</x:v>
      </x:c>
      <x:c r="Q225" t="str">
        <x:v>No incident</x:v>
      </x:c>
      <x:c r="R225" t="str">
        <x:v>N/A</x:v>
      </x:c>
      <x:c r="S225" t="str">
        <x:v>Preventive</x:v>
      </x:c>
      <x:c r="T225" t="n">
        <x:v>0.85</x:v>
      </x:c>
      <x:c r="U225" t="n">
        <x:v>13.1</x:v>
      </x:c>
    </x:row>
    <x:row r="226">
      <x:c r="A226" s="12" t="n">
        <x:v>46101</x:v>
      </x:c>
      <x:c r="B226" t="str">
        <x:v>C</x:v>
      </x:c>
      <x:c r="C226" t="str">
        <x:v>Desiccated Coconut</x:v>
      </x:c>
      <x:c r="D226" t="str">
        <x:v>Dryer 4</x:v>
      </x:c>
      <x:c r="E226" t="str">
        <x:v>Sup 1</x:v>
      </x:c>
      <x:c r="F226" t="n">
        <x:v>480</x:v>
      </x:c>
      <x:c r="G226" t="n">
        <x:v>30</x:v>
      </x:c>
      <x:c r="H226" t="n">
        <x:v>26</x:v>
      </x:c>
      <x:c r="I226" t="n">
        <x:v>1278</x:v>
      </x:c>
      <x:c r="J226" t="n">
        <x:v>1143</x:v>
      </x:c>
      <x:c r="K226" t="n">
        <x:v>38</x:v>
      </x:c>
      <x:c r="L226" t="n">
        <x:v>19</x:v>
      </x:c>
      <x:c r="M226" t="n">
        <x:v>84.8</x:v>
      </x:c>
      <x:c r="N226" t="n">
        <x:v>81.4</x:v>
      </x:c>
      <x:c r="O226" t="n">
        <x:v>77.8</x:v>
      </x:c>
      <x:c r="P226" t="n">
        <x:v>7</x:v>
      </x:c>
      <x:c r="Q226" t="str">
        <x:v>Near miss</x:v>
      </x:c>
      <x:c r="R226" t="str">
        <x:v>Open</x:v>
      </x:c>
      <x:c r="S226" t="str">
        <x:v>Corrective</x:v>
      </x:c>
      <x:c r="T226" t="n">
        <x:v>1.15</x:v>
      </x:c>
      <x:c r="U226" t="n">
        <x:v>8.9</x:v>
      </x:c>
    </x:row>
    <x:row r="227">
      <x:c r="A227" s="12" t="n">
        <x:v>46102</x:v>
      </x:c>
      <x:c r="B227" t="str">
        <x:v>A</x:v>
      </x:c>
      <x:c r="C227" t="str">
        <x:v>Dried Pineapple</x:v>
      </x:c>
      <x:c r="D227" t="str">
        <x:v>Dryer 3</x:v>
      </x:c>
      <x:c r="E227" t="str">
        <x:v>Sup 1</x:v>
      </x:c>
      <x:c r="F227" t="n">
        <x:v>420</x:v>
      </x:c>
      <x:c r="G227" t="n">
        <x:v>0</x:v>
      </x:c>
      <x:c r="H227" t="n">
        <x:v>64</x:v>
      </x:c>
      <x:c r="I227" t="n">
        <x:v>1639</x:v>
      </x:c>
      <x:c r="J227" t="n">
        <x:v>1414</x:v>
      </x:c>
      <x:c r="K227" t="n">
        <x:v>72</x:v>
      </x:c>
      <x:c r="L227" t="n">
        <x:v>28</x:v>
      </x:c>
      <x:c r="M227" t="n">
        <x:v>92.1</x:v>
      </x:c>
      <x:c r="N227" t="n">
        <x:v>89.5</x:v>
      </x:c>
      <x:c r="O227" t="n">
        <x:v>76.7</x:v>
      </x:c>
      <x:c r="P227" t="n">
        <x:v>0</x:v>
      </x:c>
      <x:c r="Q227" t="str">
        <x:v>No incident</x:v>
      </x:c>
      <x:c r="R227" t="str">
        <x:v>N/A</x:v>
      </x:c>
      <x:c r="S227" t="str">
        <x:v>Corrective</x:v>
      </x:c>
      <x:c r="T227" t="n">
        <x:v>1.18</x:v>
      </x:c>
      <x:c r="U227" t="n">
        <x:v>10.6</x:v>
      </x:c>
    </x:row>
    <x:row r="228">
      <x:c r="A228" s="12" t="n">
        <x:v>46102</x:v>
      </x:c>
      <x:c r="B228" t="str">
        <x:v>B</x:v>
      </x:c>
      <x:c r="C228" t="str">
        <x:v>Desiccated Coconut</x:v>
      </x:c>
      <x:c r="D228" t="str">
        <x:v>Dryer 3</x:v>
      </x:c>
      <x:c r="E228" t="str">
        <x:v>Sup 2</x:v>
      </x:c>
      <x:c r="F228" t="n">
        <x:v>480</x:v>
      </x:c>
      <x:c r="G228" t="n">
        <x:v>40</x:v>
      </x:c>
      <x:c r="H228" t="n">
        <x:v>42</x:v>
      </x:c>
      <x:c r="I228" t="n">
        <x:v>1230</x:v>
      </x:c>
      <x:c r="J228" t="n">
        <x:v>1147</x:v>
      </x:c>
      <x:c r="K228" t="n">
        <x:v>46</x:v>
      </x:c>
      <x:c r="L228" t="n">
        <x:v>27</x:v>
      </x:c>
      <x:c r="M228" t="n">
        <x:v>91.5</x:v>
      </x:c>
      <x:c r="N228" t="n">
        <x:v>76</x:v>
      </x:c>
      <x:c r="O228" t="n">
        <x:v>76.3</x:v>
      </x:c>
      <x:c r="P228" t="n">
        <x:v>5</x:v>
      </x:c>
      <x:c r="Q228" t="str">
        <x:v>No incident</x:v>
      </x:c>
      <x:c r="R228" t="str">
        <x:v>N/A</x:v>
      </x:c>
      <x:c r="S228" t="str">
        <x:v>Corrective</x:v>
      </x:c>
      <x:c r="T228" t="n">
        <x:v>1.47</x:v>
      </x:c>
      <x:c r="U228" t="n">
        <x:v>10.2</x:v>
      </x:c>
    </x:row>
    <x:row r="229">
      <x:c r="A229" s="12" t="n">
        <x:v>46102</x:v>
      </x:c>
      <x:c r="B229" t="str">
        <x:v>C</x:v>
      </x:c>
      <x:c r="C229" t="str">
        <x:v>Dried Pineapple</x:v>
      </x:c>
      <x:c r="D229" t="str">
        <x:v>Dryer 4</x:v>
      </x:c>
      <x:c r="E229" t="str">
        <x:v>Sup 3</x:v>
      </x:c>
      <x:c r="F229" t="n">
        <x:v>450</x:v>
      </x:c>
      <x:c r="G229" t="n">
        <x:v>40</x:v>
      </x:c>
      <x:c r="H229" t="n">
        <x:v>67</x:v>
      </x:c>
      <x:c r="I229" t="n">
        <x:v>1853</x:v>
      </x:c>
      <x:c r="J229" t="n">
        <x:v>1410</x:v>
      </x:c>
      <x:c r="K229" t="n">
        <x:v>39</x:v>
      </x:c>
      <x:c r="L229" t="n">
        <x:v>11</x:v>
      </x:c>
      <x:c r="M229" t="n">
        <x:v>89.1</x:v>
      </x:c>
      <x:c r="N229" t="n">
        <x:v>68.6</x:v>
      </x:c>
      <x:c r="O229" t="n">
        <x:v>78</x:v>
      </x:c>
      <x:c r="P229" t="n">
        <x:v>2</x:v>
      </x:c>
      <x:c r="Q229" t="str">
        <x:v>No incident</x:v>
      </x:c>
      <x:c r="R229" t="str">
        <x:v>N/A</x:v>
      </x:c>
      <x:c r="S229" t="str">
        <x:v>Corrective</x:v>
      </x:c>
      <x:c r="T229" t="n">
        <x:v>1.86</x:v>
      </x:c>
      <x:c r="U229" t="n">
        <x:v>10.6</x:v>
      </x:c>
    </x:row>
    <x:row r="230">
      <x:c r="A230" s="12" t="n">
        <x:v>46103</x:v>
      </x:c>
      <x:c r="B230" t="str">
        <x:v>A</x:v>
      </x:c>
      <x:c r="C230" t="str">
        <x:v>Desiccated Coconut</x:v>
      </x:c>
      <x:c r="D230" t="str">
        <x:v>Dryer 3</x:v>
      </x:c>
      <x:c r="E230" t="str">
        <x:v>Sup 2</x:v>
      </x:c>
      <x:c r="F230" t="n">
        <x:v>420</x:v>
      </x:c>
      <x:c r="G230" t="n">
        <x:v>20</x:v>
      </x:c>
      <x:c r="H230" t="n">
        <x:v>56</x:v>
      </x:c>
      <x:c r="I230" t="n">
        <x:v>1294</x:v>
      </x:c>
      <x:c r="J230" t="n">
        <x:v>1147</x:v>
      </x:c>
      <x:c r="K230" t="n">
        <x:v>43</x:v>
      </x:c>
      <x:c r="L230" t="n">
        <x:v>16</x:v>
      </x:c>
      <x:c r="M230" t="n">
        <x:v>90.2</x:v>
      </x:c>
      <x:c r="N230" t="n">
        <x:v>55.9</x:v>
      </x:c>
      <x:c r="O230" t="n">
        <x:v>75.5</x:v>
      </x:c>
      <x:c r="P230" t="n">
        <x:v>2</x:v>
      </x:c>
      <x:c r="Q230" t="str">
        <x:v>No incident</x:v>
      </x:c>
      <x:c r="R230" t="str">
        <x:v>N/A</x:v>
      </x:c>
      <x:c r="S230" t="str">
        <x:v>Corrective</x:v>
      </x:c>
      <x:c r="T230" t="n">
        <x:v>1.3</x:v>
      </x:c>
      <x:c r="U230" t="n">
        <x:v>9.1</x:v>
      </x:c>
    </x:row>
    <x:row r="231">
      <x:c r="A231" s="12" t="n">
        <x:v>46103</x:v>
      </x:c>
      <x:c r="B231" t="str">
        <x:v>B</x:v>
      </x:c>
      <x:c r="C231" t="str">
        <x:v>Dried Mango</x:v>
      </x:c>
      <x:c r="D231" t="str">
        <x:v>Dryer 4</x:v>
      </x:c>
      <x:c r="E231" t="str">
        <x:v>Sup 3</x:v>
      </x:c>
      <x:c r="F231" t="n">
        <x:v>420</x:v>
      </x:c>
      <x:c r="G231" t="n">
        <x:v>0</x:v>
      </x:c>
      <x:c r="H231" t="n">
        <x:v>44</x:v>
      </x:c>
      <x:c r="I231" t="n">
        <x:v>1772</x:v>
      </x:c>
      <x:c r="J231" t="n">
        <x:v>1450</x:v>
      </x:c>
      <x:c r="K231" t="n">
        <x:v>49</x:v>
      </x:c>
      <x:c r="L231" t="n">
        <x:v>13</x:v>
      </x:c>
      <x:c r="M231" t="n">
        <x:v>93.8</x:v>
      </x:c>
      <x:c r="N231" t="n">
        <x:v>92.8</x:v>
      </x:c>
      <x:c r="O231" t="n">
        <x:v>74.9</x:v>
      </x:c>
      <x:c r="P231" t="n">
        <x:v>3</x:v>
      </x:c>
      <x:c r="Q231" t="str">
        <x:v>No incident</x:v>
      </x:c>
      <x:c r="R231" t="str">
        <x:v>N/A</x:v>
      </x:c>
      <x:c r="S231" t="str">
        <x:v>Preventive</x:v>
      </x:c>
      <x:c r="T231" t="n">
        <x:v>0.5</x:v>
      </x:c>
      <x:c r="U231" t="n">
        <x:v>11.5</x:v>
      </x:c>
    </x:row>
    <x:row r="232">
      <x:c r="A232" s="12" t="n">
        <x:v>46103</x:v>
      </x:c>
      <x:c r="B232" t="str">
        <x:v>C</x:v>
      </x:c>
      <x:c r="C232" t="str">
        <x:v>Dried Mango</x:v>
      </x:c>
      <x:c r="D232" t="str">
        <x:v>Dryer 2</x:v>
      </x:c>
      <x:c r="E232" t="str">
        <x:v>Sup 1</x:v>
      </x:c>
      <x:c r="F232" t="n">
        <x:v>420</x:v>
      </x:c>
      <x:c r="G232" t="n">
        <x:v>40</x:v>
      </x:c>
      <x:c r="H232" t="n">
        <x:v>44</x:v>
      </x:c>
      <x:c r="I232" t="n">
        <x:v>1557</x:v>
      </x:c>
      <x:c r="J232" t="n">
        <x:v>1298</x:v>
      </x:c>
      <x:c r="K232" t="n">
        <x:v>48</x:v>
      </x:c>
      <x:c r="L232" t="n">
        <x:v>28</x:v>
      </x:c>
      <x:c r="M232" t="n">
        <x:v>86.5</x:v>
      </x:c>
      <x:c r="N232" t="n">
        <x:v>76.1</x:v>
      </x:c>
      <x:c r="O232" t="n">
        <x:v>78.2</x:v>
      </x:c>
      <x:c r="P232" t="n">
        <x:v>0</x:v>
      </x:c>
      <x:c r="Q232" t="str">
        <x:v>No incident</x:v>
      </x:c>
      <x:c r="R232" t="str">
        <x:v>N/A</x:v>
      </x:c>
      <x:c r="S232" t="str">
        <x:v>Inspection</x:v>
      </x:c>
      <x:c r="T232" t="n">
        <x:v>1.15</x:v>
      </x:c>
      <x:c r="U232" t="n">
        <x:v>11.3</x:v>
      </x:c>
    </x:row>
    <x:row r="233">
      <x:c r="A233" s="12" t="n">
        <x:v>46104</x:v>
      </x:c>
      <x:c r="B233" t="str">
        <x:v>A</x:v>
      </x:c>
      <x:c r="C233" t="str">
        <x:v>Desiccated Coconut</x:v>
      </x:c>
      <x:c r="D233" t="str">
        <x:v>Dryer 3</x:v>
      </x:c>
      <x:c r="E233" t="str">
        <x:v>Sup 2</x:v>
      </x:c>
      <x:c r="F233" t="n">
        <x:v>450</x:v>
      </x:c>
      <x:c r="G233" t="n">
        <x:v>40</x:v>
      </x:c>
      <x:c r="H233" t="n">
        <x:v>52</x:v>
      </x:c>
      <x:c r="I233" t="n">
        <x:v>1282</x:v>
      </x:c>
      <x:c r="J233" t="n">
        <x:v>1158</x:v>
      </x:c>
      <x:c r="K233" t="n">
        <x:v>51</x:v>
      </x:c>
      <x:c r="L233" t="n">
        <x:v>21</x:v>
      </x:c>
      <x:c r="M233" t="n">
        <x:v>93.4</x:v>
      </x:c>
      <x:c r="N233" t="n">
        <x:v>67.5</x:v>
      </x:c>
      <x:c r="O233" t="n">
        <x:v>57.7</x:v>
      </x:c>
      <x:c r="P233" t="n">
        <x:v>4</x:v>
      </x:c>
      <x:c r="Q233" t="str">
        <x:v>Near miss</x:v>
      </x:c>
      <x:c r="R233" t="str">
        <x:v>In progress</x:v>
      </x:c>
      <x:c r="S233" t="str">
        <x:v>Preventive</x:v>
      </x:c>
      <x:c r="T233" t="n">
        <x:v>1.23</x:v>
      </x:c>
      <x:c r="U233" t="n">
        <x:v>8.7</x:v>
      </x:c>
    </x:row>
    <x:row r="234">
      <x:c r="A234" s="12" t="n">
        <x:v>46104</x:v>
      </x:c>
      <x:c r="B234" t="str">
        <x:v>B</x:v>
      </x:c>
      <x:c r="C234" t="str">
        <x:v>Dried Pineapple</x:v>
      </x:c>
      <x:c r="D234" t="str">
        <x:v>Dryer 2</x:v>
      </x:c>
      <x:c r="E234" t="str">
        <x:v>Sup 2</x:v>
      </x:c>
      <x:c r="F234" t="n">
        <x:v>480</x:v>
      </x:c>
      <x:c r="G234" t="n">
        <x:v>0</x:v>
      </x:c>
      <x:c r="H234" t="n">
        <x:v>65</x:v>
      </x:c>
      <x:c r="I234" t="n">
        <x:v>1755</x:v>
      </x:c>
      <x:c r="J234" t="n">
        <x:v>1367</x:v>
      </x:c>
      <x:c r="K234" t="n">
        <x:v>57</x:v>
      </x:c>
      <x:c r="L234" t="n">
        <x:v>28</x:v>
      </x:c>
      <x:c r="M234" t="n">
        <x:v>96.2</x:v>
      </x:c>
      <x:c r="N234" t="n">
        <x:v>77.1</x:v>
      </x:c>
      <x:c r="O234" t="n">
        <x:v>76.9</x:v>
      </x:c>
      <x:c r="P234" t="n">
        <x:v>2</x:v>
      </x:c>
      <x:c r="Q234" t="str">
        <x:v>Near miss</x:v>
      </x:c>
      <x:c r="R234" t="str">
        <x:v>In progress</x:v>
      </x:c>
      <x:c r="S234" t="str">
        <x:v>Corrective</x:v>
      </x:c>
      <x:c r="T234" t="n">
        <x:v>1.24</x:v>
      </x:c>
      <x:c r="U234" t="n">
        <x:v>11.4</x:v>
      </x:c>
    </x:row>
    <x:row r="235">
      <x:c r="A235" s="12" t="n">
        <x:v>46104</x:v>
      </x:c>
      <x:c r="B235" t="str">
        <x:v>C</x:v>
      </x:c>
      <x:c r="C235" t="str">
        <x:v>Dried Pineapple</x:v>
      </x:c>
      <x:c r="D235" t="str">
        <x:v>Dryer 3</x:v>
      </x:c>
      <x:c r="E235" t="str">
        <x:v>Sup 2</x:v>
      </x:c>
      <x:c r="F235" t="n">
        <x:v>450</x:v>
      </x:c>
      <x:c r="G235" t="n">
        <x:v>40</x:v>
      </x:c>
      <x:c r="H235" t="n">
        <x:v>75</x:v>
      </x:c>
      <x:c r="I235" t="n">
        <x:v>1782</x:v>
      </x:c>
      <x:c r="J235" t="n">
        <x:v>1307</x:v>
      </x:c>
      <x:c r="K235" t="n">
        <x:v>65</x:v>
      </x:c>
      <x:c r="L235" t="n">
        <x:v>34</x:v>
      </x:c>
      <x:c r="M235" t="n">
        <x:v>79.4</x:v>
      </x:c>
      <x:c r="N235" t="n">
        <x:v>75.7</x:v>
      </x:c>
      <x:c r="O235" t="n">
        <x:v>78.9</x:v>
      </x:c>
      <x:c r="P235" t="n">
        <x:v>3</x:v>
      </x:c>
      <x:c r="Q235" t="str">
        <x:v>Near miss</x:v>
      </x:c>
      <x:c r="R235" t="str">
        <x:v>In progress</x:v>
      </x:c>
      <x:c r="S235" t="str">
        <x:v>Inspection</x:v>
      </x:c>
      <x:c r="T235" t="n">
        <x:v>0.5</x:v>
      </x:c>
      <x:c r="U235" t="n">
        <x:v>10.3</x:v>
      </x:c>
    </x:row>
    <x:row r="236">
      <x:c r="A236" s="12" t="n">
        <x:v>46105</x:v>
      </x:c>
      <x:c r="B236" t="str">
        <x:v>A</x:v>
      </x:c>
      <x:c r="C236" t="str">
        <x:v>Desiccated Coconut</x:v>
      </x:c>
      <x:c r="D236" t="str">
        <x:v>Dryer 1</x:v>
      </x:c>
      <x:c r="E236" t="str">
        <x:v>Sup 1</x:v>
      </x:c>
      <x:c r="F236" t="n">
        <x:v>480</x:v>
      </x:c>
      <x:c r="G236" t="n">
        <x:v>0</x:v>
      </x:c>
      <x:c r="H236" t="n">
        <x:v>6</x:v>
      </x:c>
      <x:c r="I236" t="n">
        <x:v>1249</x:v>
      </x:c>
      <x:c r="J236" t="n">
        <x:v>1154</x:v>
      </x:c>
      <x:c r="K236" t="n">
        <x:v>36</x:v>
      </x:c>
      <x:c r="L236" t="n">
        <x:v>11</x:v>
      </x:c>
      <x:c r="M236" t="n">
        <x:v>99.8</x:v>
      </x:c>
      <x:c r="N236" t="n">
        <x:v>80.9</x:v>
      </x:c>
      <x:c r="O236" t="n">
        <x:v>76.4</x:v>
      </x:c>
      <x:c r="P236" t="n">
        <x:v>5</x:v>
      </x:c>
      <x:c r="Q236" t="str">
        <x:v>No incident</x:v>
      </x:c>
      <x:c r="R236" t="str">
        <x:v>N/A</x:v>
      </x:c>
      <x:c r="S236" t="str">
        <x:v>Inspection</x:v>
      </x:c>
      <x:c r="T236" t="n">
        <x:v>0.96</x:v>
      </x:c>
      <x:c r="U236" t="n">
        <x:v>10</x:v>
      </x:c>
    </x:row>
    <x:row r="237">
      <x:c r="A237" s="12" t="n">
        <x:v>46105</x:v>
      </x:c>
      <x:c r="B237" t="str">
        <x:v>B</x:v>
      </x:c>
      <x:c r="C237" t="str">
        <x:v>Desiccated Coconut</x:v>
      </x:c>
      <x:c r="D237" t="str">
        <x:v>Dryer 4</x:v>
      </x:c>
      <x:c r="E237" t="str">
        <x:v>Sup 3</x:v>
      </x:c>
      <x:c r="F237" t="n">
        <x:v>420</x:v>
      </x:c>
      <x:c r="G237" t="n">
        <x:v>0</x:v>
      </x:c>
      <x:c r="H237" t="n">
        <x:v>66</x:v>
      </x:c>
      <x:c r="I237" t="n">
        <x:v>1267</x:v>
      </x:c>
      <x:c r="J237" t="n">
        <x:v>1094</x:v>
      </x:c>
      <x:c r="K237" t="n">
        <x:v>38</x:v>
      </x:c>
      <x:c r="L237" t="n">
        <x:v>17</x:v>
      </x:c>
      <x:c r="M237" t="n">
        <x:v>85.6</x:v>
      </x:c>
      <x:c r="N237" t="n">
        <x:v>86.5</x:v>
      </x:c>
      <x:c r="O237" t="n">
        <x:v>91.4</x:v>
      </x:c>
      <x:c r="P237" t="n">
        <x:v>4</x:v>
      </x:c>
      <x:c r="Q237" t="str">
        <x:v>No incident</x:v>
      </x:c>
      <x:c r="R237" t="str">
        <x:v>N/A</x:v>
      </x:c>
      <x:c r="S237" t="str">
        <x:v>Corrective</x:v>
      </x:c>
      <x:c r="T237" t="n">
        <x:v>0.71</x:v>
      </x:c>
      <x:c r="U237" t="n">
        <x:v>8.4</x:v>
      </x:c>
    </x:row>
    <x:row r="238">
      <x:c r="A238" s="12" t="n">
        <x:v>46105</x:v>
      </x:c>
      <x:c r="B238" t="str">
        <x:v>C</x:v>
      </x:c>
      <x:c r="C238" t="str">
        <x:v>Desiccated Coconut</x:v>
      </x:c>
      <x:c r="D238" t="str">
        <x:v>Dryer 3</x:v>
      </x:c>
      <x:c r="E238" t="str">
        <x:v>Sup 3</x:v>
      </x:c>
      <x:c r="F238" t="n">
        <x:v>450</x:v>
      </x:c>
      <x:c r="G238" t="n">
        <x:v>0</x:v>
      </x:c>
      <x:c r="H238" t="n">
        <x:v>47</x:v>
      </x:c>
      <x:c r="I238" t="n">
        <x:v>1142</x:v>
      </x:c>
      <x:c r="J238" t="n">
        <x:v>1001</x:v>
      </x:c>
      <x:c r="K238" t="n">
        <x:v>35</x:v>
      </x:c>
      <x:c r="L238" t="n">
        <x:v>22</x:v>
      </x:c>
      <x:c r="M238" t="n">
        <x:v>81.1</x:v>
      </x:c>
      <x:c r="N238" t="n">
        <x:v>69.7</x:v>
      </x:c>
      <x:c r="O238" t="n">
        <x:v>61.1</x:v>
      </x:c>
      <x:c r="P238" t="n">
        <x:v>4</x:v>
      </x:c>
      <x:c r="Q238" t="str">
        <x:v>Near miss</x:v>
      </x:c>
      <x:c r="R238" t="str">
        <x:v>Closed</x:v>
      </x:c>
      <x:c r="S238" t="str">
        <x:v>Corrective</x:v>
      </x:c>
      <x:c r="T238" t="n">
        <x:v>1.37</x:v>
      </x:c>
      <x:c r="U238" t="n">
        <x:v>8.1</x:v>
      </x:c>
    </x:row>
    <x:row r="239">
      <x:c r="A239" s="12" t="n">
        <x:v>46106</x:v>
      </x:c>
      <x:c r="B239" t="str">
        <x:v>A</x:v>
      </x:c>
      <x:c r="C239" t="str">
        <x:v>Dried Pineapple</x:v>
      </x:c>
      <x:c r="D239" t="str">
        <x:v>Dryer 2</x:v>
      </x:c>
      <x:c r="E239" t="str">
        <x:v>Sup 2</x:v>
      </x:c>
      <x:c r="F239" t="n">
        <x:v>480</x:v>
      </x:c>
      <x:c r="G239" t="n">
        <x:v>30</x:v>
      </x:c>
      <x:c r="H239" t="n">
        <x:v>10</x:v>
      </x:c>
      <x:c r="I239" t="n">
        <x:v>1765</x:v>
      </x:c>
      <x:c r="J239" t="n">
        <x:v>1580</x:v>
      </x:c>
      <x:c r="K239" t="n">
        <x:v>45</x:v>
      </x:c>
      <x:c r="L239" t="n">
        <x:v>16</x:v>
      </x:c>
      <x:c r="M239" t="n">
        <x:v>88.5</x:v>
      </x:c>
      <x:c r="N239" t="n">
        <x:v>74.8</x:v>
      </x:c>
      <x:c r="O239" t="n">
        <x:v>68.7</x:v>
      </x:c>
      <x:c r="P239" t="n">
        <x:v>4</x:v>
      </x:c>
      <x:c r="Q239" t="str">
        <x:v>No incident</x:v>
      </x:c>
      <x:c r="R239" t="str">
        <x:v>N/A</x:v>
      </x:c>
      <x:c r="S239" t="str">
        <x:v>Inspection</x:v>
      </x:c>
      <x:c r="T239" t="n">
        <x:v>0.61</x:v>
      </x:c>
      <x:c r="U239" t="n">
        <x:v>13.2</x:v>
      </x:c>
    </x:row>
    <x:row r="240">
      <x:c r="A240" s="12" t="n">
        <x:v>46106</x:v>
      </x:c>
      <x:c r="B240" t="str">
        <x:v>B</x:v>
      </x:c>
      <x:c r="C240" t="str">
        <x:v>Dried Pineapple</x:v>
      </x:c>
      <x:c r="D240" t="str">
        <x:v>Dryer 4</x:v>
      </x:c>
      <x:c r="E240" t="str">
        <x:v>Sup 2</x:v>
      </x:c>
      <x:c r="F240" t="n">
        <x:v>420</x:v>
      </x:c>
      <x:c r="G240" t="n">
        <x:v>20</x:v>
      </x:c>
      <x:c r="H240" t="n">
        <x:v>32</x:v>
      </x:c>
      <x:c r="I240" t="n">
        <x:v>1730</x:v>
      </x:c>
      <x:c r="J240" t="n">
        <x:v>1568</x:v>
      </x:c>
      <x:c r="K240" t="n">
        <x:v>37</x:v>
      </x:c>
      <x:c r="L240" t="n">
        <x:v>24</x:v>
      </x:c>
      <x:c r="M240" t="n">
        <x:v>91.2</x:v>
      </x:c>
      <x:c r="N240" t="n">
        <x:v>63.9</x:v>
      </x:c>
      <x:c r="O240" t="n">
        <x:v>87.6</x:v>
      </x:c>
      <x:c r="P240" t="n">
        <x:v>4</x:v>
      </x:c>
      <x:c r="Q240" t="str">
        <x:v>No incident</x:v>
      </x:c>
      <x:c r="R240" t="str">
        <x:v>N/A</x:v>
      </x:c>
      <x:c r="S240" t="str">
        <x:v>Preventive</x:v>
      </x:c>
      <x:c r="T240" t="n">
        <x:v>0.99</x:v>
      </x:c>
      <x:c r="U240" t="n">
        <x:v>12.9</x:v>
      </x:c>
    </x:row>
    <x:row r="241">
      <x:c r="A241" s="12" t="n">
        <x:v>46106</x:v>
      </x:c>
      <x:c r="B241" t="str">
        <x:v>C</x:v>
      </x:c>
      <x:c r="C241" t="str">
        <x:v>Dried Pineapple</x:v>
      </x:c>
      <x:c r="D241" t="str">
        <x:v>Dryer 2</x:v>
      </x:c>
      <x:c r="E241" t="str">
        <x:v>Sup 2</x:v>
      </x:c>
      <x:c r="F241" t="n">
        <x:v>480</x:v>
      </x:c>
      <x:c r="G241" t="n">
        <x:v>0</x:v>
      </x:c>
      <x:c r="H241" t="n">
        <x:v>33</x:v>
      </x:c>
      <x:c r="I241" t="n">
        <x:v>1651</x:v>
      </x:c>
      <x:c r="J241" t="n">
        <x:v>1472</x:v>
      </x:c>
      <x:c r="K241" t="n">
        <x:v>51</x:v>
      </x:c>
      <x:c r="L241" t="n">
        <x:v>13</x:v>
      </x:c>
      <x:c r="M241" t="n">
        <x:v>95.4</x:v>
      </x:c>
      <x:c r="N241" t="n">
        <x:v>81.7</x:v>
      </x:c>
      <x:c r="O241" t="n">
        <x:v>86.3</x:v>
      </x:c>
      <x:c r="P241" t="n">
        <x:v>3</x:v>
      </x:c>
      <x:c r="Q241" t="str">
        <x:v>No incident</x:v>
      </x:c>
      <x:c r="R241" t="str">
        <x:v>N/A</x:v>
      </x:c>
      <x:c r="S241" t="str">
        <x:v>Corrective</x:v>
      </x:c>
      <x:c r="T241" t="n">
        <x:v>0.98</x:v>
      </x:c>
      <x:c r="U241" t="n">
        <x:v>11.8</x:v>
      </x:c>
    </x:row>
    <x:row r="242">
      <x:c r="A242" s="12" t="n">
        <x:v>46107</x:v>
      </x:c>
      <x:c r="B242" t="str">
        <x:v>A</x:v>
      </x:c>
      <x:c r="C242" t="str">
        <x:v>Dried Pineapple</x:v>
      </x:c>
      <x:c r="D242" t="str">
        <x:v>Dryer 4</x:v>
      </x:c>
      <x:c r="E242" t="str">
        <x:v>Sup 2</x:v>
      </x:c>
      <x:c r="F242" t="n">
        <x:v>450</x:v>
      </x:c>
      <x:c r="G242" t="n">
        <x:v>20</x:v>
      </x:c>
      <x:c r="H242" t="n">
        <x:v>32</x:v>
      </x:c>
      <x:c r="I242" t="n">
        <x:v>1748</x:v>
      </x:c>
      <x:c r="J242" t="n">
        <x:v>1600</x:v>
      </x:c>
      <x:c r="K242" t="n">
        <x:v>53</x:v>
      </x:c>
      <x:c r="L242" t="n">
        <x:v>21</x:v>
      </x:c>
      <x:c r="M242" t="n">
        <x:v>88.7</x:v>
      </x:c>
      <x:c r="N242" t="n">
        <x:v>80.6</x:v>
      </x:c>
      <x:c r="O242" t="n">
        <x:v>76.4</x:v>
      </x:c>
      <x:c r="P242" t="n">
        <x:v>4</x:v>
      </x:c>
      <x:c r="Q242" t="str">
        <x:v>No incident</x:v>
      </x:c>
      <x:c r="R242" t="str">
        <x:v>N/A</x:v>
      </x:c>
      <x:c r="S242" t="str">
        <x:v>Inspection</x:v>
      </x:c>
      <x:c r="T242" t="n">
        <x:v>0.55</x:v>
      </x:c>
      <x:c r="U242" t="n">
        <x:v>13.4</x:v>
      </x:c>
    </x:row>
    <x:row r="243">
      <x:c r="A243" s="12" t="n">
        <x:v>46107</x:v>
      </x:c>
      <x:c r="B243" t="str">
        <x:v>B</x:v>
      </x:c>
      <x:c r="C243" t="str">
        <x:v>Desiccated Coconut</x:v>
      </x:c>
      <x:c r="D243" t="str">
        <x:v>Dryer 3</x:v>
      </x:c>
      <x:c r="E243" t="str">
        <x:v>Sup 3</x:v>
      </x:c>
      <x:c r="F243" t="n">
        <x:v>420</x:v>
      </x:c>
      <x:c r="G243" t="n">
        <x:v>40</x:v>
      </x:c>
      <x:c r="H243" t="n">
        <x:v>57</x:v>
      </x:c>
      <x:c r="I243" t="n">
        <x:v>1246</x:v>
      </x:c>
      <x:c r="J243" t="n">
        <x:v>943</x:v>
      </x:c>
      <x:c r="K243" t="n">
        <x:v>28</x:v>
      </x:c>
      <x:c r="L243" t="n">
        <x:v>6</x:v>
      </x:c>
      <x:c r="M243" t="n">
        <x:v>93.9</x:v>
      </x:c>
      <x:c r="N243" t="n">
        <x:v>78.6</x:v>
      </x:c>
      <x:c r="O243" t="n">
        <x:v>65.8</x:v>
      </x:c>
      <x:c r="P243" t="n">
        <x:v>3</x:v>
      </x:c>
      <x:c r="Q243" t="str">
        <x:v>Near miss</x:v>
      </x:c>
      <x:c r="R243" t="str">
        <x:v>In progress</x:v>
      </x:c>
      <x:c r="S243" t="str">
        <x:v>Preventive</x:v>
      </x:c>
      <x:c r="T243" t="n">
        <x:v>1.43</x:v>
      </x:c>
      <x:c r="U243" t="n">
        <x:v>8.4</x:v>
      </x:c>
    </x:row>
    <x:row r="244">
      <x:c r="A244" s="12" t="n">
        <x:v>46107</x:v>
      </x:c>
      <x:c r="B244" t="str">
        <x:v>C</x:v>
      </x:c>
      <x:c r="C244" t="str">
        <x:v>Dried Mango</x:v>
      </x:c>
      <x:c r="D244" t="str">
        <x:v>Dryer 4</x:v>
      </x:c>
      <x:c r="E244" t="str">
        <x:v>Sup 3</x:v>
      </x:c>
      <x:c r="F244" t="n">
        <x:v>450</x:v>
      </x:c>
      <x:c r="G244" t="n">
        <x:v>40</x:v>
      </x:c>
      <x:c r="H244" t="n">
        <x:v>58</x:v>
      </x:c>
      <x:c r="I244" t="n">
        <x:v>1720</x:v>
      </x:c>
      <x:c r="J244" t="n">
        <x:v>1406</x:v>
      </x:c>
      <x:c r="K244" t="n">
        <x:v>54</x:v>
      </x:c>
      <x:c r="L244" t="n">
        <x:v>28</x:v>
      </x:c>
      <x:c r="M244" t="n">
        <x:v>81.2</x:v>
      </x:c>
      <x:c r="N244" t="n">
        <x:v>70.9</x:v>
      </x:c>
      <x:c r="O244" t="n">
        <x:v>77.1</x:v>
      </x:c>
      <x:c r="P244" t="n">
        <x:v>0</x:v>
      </x:c>
      <x:c r="Q244" t="str">
        <x:v>No incident</x:v>
      </x:c>
      <x:c r="R244" t="str">
        <x:v>N/A</x:v>
      </x:c>
      <x:c r="S244" t="str">
        <x:v>Preventive</x:v>
      </x:c>
      <x:c r="T244" t="n">
        <x:v>0.5</x:v>
      </x:c>
      <x:c r="U244" t="n">
        <x:v>11.9</x:v>
      </x:c>
    </x:row>
    <x:row r="245">
      <x:c r="A245" s="12" t="n">
        <x:v>46108</x:v>
      </x:c>
      <x:c r="B245" t="str">
        <x:v>A</x:v>
      </x:c>
      <x:c r="C245" t="str">
        <x:v>Desiccated Coconut</x:v>
      </x:c>
      <x:c r="D245" t="str">
        <x:v>Dryer 1</x:v>
      </x:c>
      <x:c r="E245" t="str">
        <x:v>Sup 2</x:v>
      </x:c>
      <x:c r="F245" t="n">
        <x:v>450</x:v>
      </x:c>
      <x:c r="G245" t="n">
        <x:v>0</x:v>
      </x:c>
      <x:c r="H245" t="n">
        <x:v>53</x:v>
      </x:c>
      <x:c r="I245" t="n">
        <x:v>1157</x:v>
      </x:c>
      <x:c r="J245" t="n">
        <x:v>975</x:v>
      </x:c>
      <x:c r="K245" t="n">
        <x:v>25</x:v>
      </x:c>
      <x:c r="L245" t="n">
        <x:v>10</x:v>
      </x:c>
      <x:c r="M245" t="n">
        <x:v>87.7</x:v>
      </x:c>
      <x:c r="N245" t="n">
        <x:v>72</x:v>
      </x:c>
      <x:c r="O245" t="n">
        <x:v>73.6</x:v>
      </x:c>
      <x:c r="P245" t="n">
        <x:v>0</x:v>
      </x:c>
      <x:c r="Q245" t="str">
        <x:v>No incident</x:v>
      </x:c>
      <x:c r="R245" t="str">
        <x:v>N/A</x:v>
      </x:c>
      <x:c r="S245" t="str">
        <x:v>Inspection</x:v>
      </x:c>
      <x:c r="T245" t="n">
        <x:v>0.67</x:v>
      </x:c>
      <x:c r="U245" t="n">
        <x:v>7.9</x:v>
      </x:c>
    </x:row>
    <x:row r="246">
      <x:c r="A246" s="12" t="n">
        <x:v>46108</x:v>
      </x:c>
      <x:c r="B246" t="str">
        <x:v>B</x:v>
      </x:c>
      <x:c r="C246" t="str">
        <x:v>Desiccated Coconut</x:v>
      </x:c>
      <x:c r="D246" t="str">
        <x:v>Dryer 1</x:v>
      </x:c>
      <x:c r="E246" t="str">
        <x:v>Sup 3</x:v>
      </x:c>
      <x:c r="F246" t="n">
        <x:v>450</x:v>
      </x:c>
      <x:c r="G246" t="n">
        <x:v>40</x:v>
      </x:c>
      <x:c r="H246" t="n">
        <x:v>38</x:v>
      </x:c>
      <x:c r="I246" t="n">
        <x:v>1272</x:v>
      </x:c>
      <x:c r="J246" t="n">
        <x:v>1060</x:v>
      </x:c>
      <x:c r="K246" t="n">
        <x:v>20</x:v>
      </x:c>
      <x:c r="L246" t="n">
        <x:v>12</x:v>
      </x:c>
      <x:c r="M246" t="n">
        <x:v>80.3</x:v>
      </x:c>
      <x:c r="N246" t="n">
        <x:v>77.4</x:v>
      </x:c>
      <x:c r="O246" t="n">
        <x:v>69.8</x:v>
      </x:c>
      <x:c r="P246" t="n">
        <x:v>0</x:v>
      </x:c>
      <x:c r="Q246" t="str">
        <x:v>No incident</x:v>
      </x:c>
      <x:c r="R246" t="str">
        <x:v>N/A</x:v>
      </x:c>
      <x:c r="S246" t="str">
        <x:v>Preventive</x:v>
      </x:c>
      <x:c r="T246" t="n">
        <x:v>0.83</x:v>
      </x:c>
      <x:c r="U246" t="n">
        <x:v>8</x:v>
      </x:c>
    </x:row>
    <x:row r="247">
      <x:c r="A247" s="12" t="n">
        <x:v>46108</x:v>
      </x:c>
      <x:c r="B247" t="str">
        <x:v>C</x:v>
      </x:c>
      <x:c r="C247" t="str">
        <x:v>Desiccated Coconut</x:v>
      </x:c>
      <x:c r="D247" t="str">
        <x:v>Dryer 4</x:v>
      </x:c>
      <x:c r="E247" t="str">
        <x:v>Sup 1</x:v>
      </x:c>
      <x:c r="F247" t="n">
        <x:v>480</x:v>
      </x:c>
      <x:c r="G247" t="n">
        <x:v>20</x:v>
      </x:c>
      <x:c r="H247" t="n">
        <x:v>36</x:v>
      </x:c>
      <x:c r="I247" t="n">
        <x:v>1107</x:v>
      </x:c>
      <x:c r="J247" t="n">
        <x:v>904</x:v>
      </x:c>
      <x:c r="K247" t="n">
        <x:v>21</x:v>
      </x:c>
      <x:c r="L247" t="n">
        <x:v>12</x:v>
      </x:c>
      <x:c r="M247" t="n">
        <x:v>88.2</x:v>
      </x:c>
      <x:c r="N247" t="n">
        <x:v>66</x:v>
      </x:c>
      <x:c r="O247" t="n">
        <x:v>76.3</x:v>
      </x:c>
      <x:c r="P247" t="n">
        <x:v>4</x:v>
      </x:c>
      <x:c r="Q247" t="str">
        <x:v>No incident</x:v>
      </x:c>
      <x:c r="R247" t="str">
        <x:v>N/A</x:v>
      </x:c>
      <x:c r="S247" t="str">
        <x:v>Corrective</x:v>
      </x:c>
      <x:c r="T247" t="n">
        <x:v>1.7</x:v>
      </x:c>
      <x:c r="U247" t="n">
        <x:v>8</x:v>
      </x:c>
    </x:row>
    <x:row r="248">
      <x:c r="A248" s="12" t="n">
        <x:v>46109</x:v>
      </x:c>
      <x:c r="B248" t="str">
        <x:v>A</x:v>
      </x:c>
      <x:c r="C248" t="str">
        <x:v>Dried Pineapple</x:v>
      </x:c>
      <x:c r="D248" t="str">
        <x:v>Dryer 4</x:v>
      </x:c>
      <x:c r="E248" t="str">
        <x:v>Sup 1</x:v>
      </x:c>
      <x:c r="F248" t="n">
        <x:v>450</x:v>
      </x:c>
      <x:c r="G248" t="n">
        <x:v>0</x:v>
      </x:c>
      <x:c r="H248" t="n">
        <x:v>28</x:v>
      </x:c>
      <x:c r="I248" t="n">
        <x:v>1799</x:v>
      </x:c>
      <x:c r="J248" t="n">
        <x:v>1552</x:v>
      </x:c>
      <x:c r="K248" t="n">
        <x:v>48</x:v>
      </x:c>
      <x:c r="L248" t="n">
        <x:v>11</x:v>
      </x:c>
      <x:c r="M248" t="n">
        <x:v>92.1</x:v>
      </x:c>
      <x:c r="N248" t="n">
        <x:v>86.3</x:v>
      </x:c>
      <x:c r="O248" t="n">
        <x:v>88</x:v>
      </x:c>
      <x:c r="P248" t="n">
        <x:v>4</x:v>
      </x:c>
      <x:c r="Q248" t="str">
        <x:v>No incident</x:v>
      </x:c>
      <x:c r="R248" t="str">
        <x:v>N/A</x:v>
      </x:c>
      <x:c r="S248" t="str">
        <x:v>Preventive</x:v>
      </x:c>
      <x:c r="T248" t="n">
        <x:v>1.13</x:v>
      </x:c>
      <x:c r="U248" t="n">
        <x:v>12.2</x:v>
      </x:c>
    </x:row>
    <x:row r="249">
      <x:c r="A249" s="12" t="n">
        <x:v>46109</x:v>
      </x:c>
      <x:c r="B249" t="str">
        <x:v>B</x:v>
      </x:c>
      <x:c r="C249" t="str">
        <x:v>Dried Pineapple</x:v>
      </x:c>
      <x:c r="D249" t="str">
        <x:v>Dryer 4</x:v>
      </x:c>
      <x:c r="E249" t="str">
        <x:v>Sup 2</x:v>
      </x:c>
      <x:c r="F249" t="n">
        <x:v>480</x:v>
      </x:c>
      <x:c r="G249" t="n">
        <x:v>30</x:v>
      </x:c>
      <x:c r="H249" t="n">
        <x:v>48</x:v>
      </x:c>
      <x:c r="I249" t="n">
        <x:v>1622</x:v>
      </x:c>
      <x:c r="J249" t="n">
        <x:v>1446</x:v>
      </x:c>
      <x:c r="K249" t="n">
        <x:v>33</x:v>
      </x:c>
      <x:c r="L249" t="n">
        <x:v>18</x:v>
      </x:c>
      <x:c r="M249" t="n">
        <x:v>91.7</x:v>
      </x:c>
      <x:c r="N249" t="n">
        <x:v>74.6</x:v>
      </x:c>
      <x:c r="O249" t="n">
        <x:v>89.1</x:v>
      </x:c>
      <x:c r="P249" t="n">
        <x:v>3</x:v>
      </x:c>
      <x:c r="Q249" t="str">
        <x:v>No incident</x:v>
      </x:c>
      <x:c r="R249" t="str">
        <x:v>N/A</x:v>
      </x:c>
      <x:c r="S249" t="str">
        <x:v>Corrective</x:v>
      </x:c>
      <x:c r="T249" t="n">
        <x:v>1.55</x:v>
      </x:c>
      <x:c r="U249" t="n">
        <x:v>12.2</x:v>
      </x:c>
    </x:row>
    <x:row r="250">
      <x:c r="A250" s="12" t="n">
        <x:v>46109</x:v>
      </x:c>
      <x:c r="B250" t="str">
        <x:v>C</x:v>
      </x:c>
      <x:c r="C250" t="str">
        <x:v>Dried Pineapple</x:v>
      </x:c>
      <x:c r="D250" t="str">
        <x:v>Dryer 1</x:v>
      </x:c>
      <x:c r="E250" t="str">
        <x:v>Sup 3</x:v>
      </x:c>
      <x:c r="F250" t="n">
        <x:v>480</x:v>
      </x:c>
      <x:c r="G250" t="n">
        <x:v>30</x:v>
      </x:c>
      <x:c r="H250" t="n">
        <x:v>8</x:v>
      </x:c>
      <x:c r="I250" t="n">
        <x:v>1748</x:v>
      </x:c>
      <x:c r="J250" t="n">
        <x:v>1773</x:v>
      </x:c>
      <x:c r="K250" t="n">
        <x:v>71</x:v>
      </x:c>
      <x:c r="L250" t="n">
        <x:v>39</x:v>
      </x:c>
      <x:c r="M250" t="n">
        <x:v>85.5</x:v>
      </x:c>
      <x:c r="N250" t="n">
        <x:v>75.2</x:v>
      </x:c>
      <x:c r="O250" t="n">
        <x:v>73.7</x:v>
      </x:c>
      <x:c r="P250" t="n">
        <x:v>4</x:v>
      </x:c>
      <x:c r="Q250" t="str">
        <x:v>No incident</x:v>
      </x:c>
      <x:c r="R250" t="str">
        <x:v>N/A</x:v>
      </x:c>
      <x:c r="S250" t="str">
        <x:v>Corrective</x:v>
      </x:c>
      <x:c r="T250" t="n">
        <x:v>1.01</x:v>
      </x:c>
      <x:c r="U250" t="n">
        <x:v>15.7</x:v>
      </x:c>
    </x:row>
    <x:row r="251">
      <x:c r="A251" s="12" t="n">
        <x:v>46110</x:v>
      </x:c>
      <x:c r="B251" t="str">
        <x:v>A</x:v>
      </x:c>
      <x:c r="C251" t="str">
        <x:v>Dried Pineapple</x:v>
      </x:c>
      <x:c r="D251" t="str">
        <x:v>Dryer 4</x:v>
      </x:c>
      <x:c r="E251" t="str">
        <x:v>Sup 1</x:v>
      </x:c>
      <x:c r="F251" t="n">
        <x:v>480</x:v>
      </x:c>
      <x:c r="G251" t="n">
        <x:v>0</x:v>
      </x:c>
      <x:c r="H251" t="n">
        <x:v>53</x:v>
      </x:c>
      <x:c r="I251" t="n">
        <x:v>1654</x:v>
      </x:c>
      <x:c r="J251" t="n">
        <x:v>1343</x:v>
      </x:c>
      <x:c r="K251" t="n">
        <x:v>35</x:v>
      </x:c>
      <x:c r="L251" t="n">
        <x:v>23</x:v>
      </x:c>
      <x:c r="M251" t="n">
        <x:v>93.8</x:v>
      </x:c>
      <x:c r="N251" t="n">
        <x:v>76.2</x:v>
      </x:c>
      <x:c r="O251" t="n">
        <x:v>83.3</x:v>
      </x:c>
      <x:c r="P251" t="n">
        <x:v>2</x:v>
      </x:c>
      <x:c r="Q251" t="str">
        <x:v>No incident</x:v>
      </x:c>
      <x:c r="R251" t="str">
        <x:v>N/A</x:v>
      </x:c>
      <x:c r="S251" t="str">
        <x:v>Corrective</x:v>
      </x:c>
      <x:c r="T251" t="n">
        <x:v>1.7</x:v>
      </x:c>
      <x:c r="U251" t="n">
        <x:v>11.4</x:v>
      </x:c>
    </x:row>
    <x:row r="252">
      <x:c r="A252" s="12" t="n">
        <x:v>46110</x:v>
      </x:c>
      <x:c r="B252" t="str">
        <x:v>B</x:v>
      </x:c>
      <x:c r="C252" t="str">
        <x:v>Dried Mango</x:v>
      </x:c>
      <x:c r="D252" t="str">
        <x:v>Dryer 2</x:v>
      </x:c>
      <x:c r="E252" t="str">
        <x:v>Sup 2</x:v>
      </x:c>
      <x:c r="F252" t="n">
        <x:v>450</x:v>
      </x:c>
      <x:c r="G252" t="n">
        <x:v>20</x:v>
      </x:c>
      <x:c r="H252" t="n">
        <x:v>40</x:v>
      </x:c>
      <x:c r="I252" t="n">
        <x:v>1768</x:v>
      </x:c>
      <x:c r="J252" t="n">
        <x:v>1451</x:v>
      </x:c>
      <x:c r="K252" t="n">
        <x:v>55</x:v>
      </x:c>
      <x:c r="L252" t="n">
        <x:v>17</x:v>
      </x:c>
      <x:c r="M252" t="n">
        <x:v>98.5</x:v>
      </x:c>
      <x:c r="N252" t="n">
        <x:v>85.7</x:v>
      </x:c>
      <x:c r="O252" t="n">
        <x:v>84.8</x:v>
      </x:c>
      <x:c r="P252" t="n">
        <x:v>7</x:v>
      </x:c>
      <x:c r="Q252" t="str">
        <x:v>No incident</x:v>
      </x:c>
      <x:c r="R252" t="str">
        <x:v>N/A</x:v>
      </x:c>
      <x:c r="S252" t="str">
        <x:v>Inspection</x:v>
      </x:c>
      <x:c r="T252" t="n">
        <x:v>0.5</x:v>
      </x:c>
      <x:c r="U252" t="n">
        <x:v>11.3</x:v>
      </x:c>
    </x:row>
    <x:row r="253">
      <x:c r="A253" s="12" t="n">
        <x:v>46110</x:v>
      </x:c>
      <x:c r="B253" t="str">
        <x:v>C</x:v>
      </x:c>
      <x:c r="C253" t="str">
        <x:v>Dried Pineapple</x:v>
      </x:c>
      <x:c r="D253" t="str">
        <x:v>Dryer 1</x:v>
      </x:c>
      <x:c r="E253" t="str">
        <x:v>Sup 2</x:v>
      </x:c>
      <x:c r="F253" t="n">
        <x:v>420</x:v>
      </x:c>
      <x:c r="G253" t="n">
        <x:v>20</x:v>
      </x:c>
      <x:c r="H253" t="n">
        <x:v>56</x:v>
      </x:c>
      <x:c r="I253" t="n">
        <x:v>1619</x:v>
      </x:c>
      <x:c r="J253" t="n">
        <x:v>1250</x:v>
      </x:c>
      <x:c r="K253" t="n">
        <x:v>27</x:v>
      </x:c>
      <x:c r="L253" t="n">
        <x:v>6</x:v>
      </x:c>
      <x:c r="M253" t="n">
        <x:v>89.6</x:v>
      </x:c>
      <x:c r="N253" t="n">
        <x:v>72.5</x:v>
      </x:c>
      <x:c r="O253" t="n">
        <x:v>75.7</x:v>
      </x:c>
      <x:c r="P253" t="n">
        <x:v>5</x:v>
      </x:c>
      <x:c r="Q253" t="str">
        <x:v>No incident</x:v>
      </x:c>
      <x:c r="R253" t="str">
        <x:v>N/A</x:v>
      </x:c>
      <x:c r="S253" t="str">
        <x:v>Preventive</x:v>
      </x:c>
      <x:c r="T253" t="n">
        <x:v>1.35</x:v>
      </x:c>
      <x:c r="U253" t="n">
        <x:v>10.2</x:v>
      </x:c>
    </x:row>
    <x:row r="254">
      <x:c r="A254" s="12" t="n">
        <x:v>46111</x:v>
      </x:c>
      <x:c r="B254" t="str">
        <x:v>A</x:v>
      </x:c>
      <x:c r="C254" t="str">
        <x:v>Dried Mango</x:v>
      </x:c>
      <x:c r="D254" t="str">
        <x:v>Dryer 3</x:v>
      </x:c>
      <x:c r="E254" t="str">
        <x:v>Sup 3</x:v>
      </x:c>
      <x:c r="F254" t="n">
        <x:v>450</x:v>
      </x:c>
      <x:c r="G254" t="n">
        <x:v>20</x:v>
      </x:c>
      <x:c r="H254" t="n">
        <x:v>37</x:v>
      </x:c>
      <x:c r="I254" t="n">
        <x:v>1630</x:v>
      </x:c>
      <x:c r="J254" t="n">
        <x:v>1491</x:v>
      </x:c>
      <x:c r="K254" t="n">
        <x:v>61</x:v>
      </x:c>
      <x:c r="L254" t="n">
        <x:v>33</x:v>
      </x:c>
      <x:c r="M254" t="n">
        <x:v>93.6</x:v>
      </x:c>
      <x:c r="N254" t="n">
        <x:v>92.8</x:v>
      </x:c>
      <x:c r="O254" t="n">
        <x:v>70.4</x:v>
      </x:c>
      <x:c r="P254" t="n">
        <x:v>4</x:v>
      </x:c>
      <x:c r="Q254" t="str">
        <x:v>No incident</x:v>
      </x:c>
      <x:c r="R254" t="str">
        <x:v>N/A</x:v>
      </x:c>
      <x:c r="S254" t="str">
        <x:v>Inspection</x:v>
      </x:c>
      <x:c r="T254" t="n">
        <x:v>0.89</x:v>
      </x:c>
      <x:c r="U254" t="n">
        <x:v>12</x:v>
      </x:c>
    </x:row>
    <x:row r="255">
      <x:c r="A255" s="12" t="n">
        <x:v>46111</x:v>
      </x:c>
      <x:c r="B255" t="str">
        <x:v>B</x:v>
      </x:c>
      <x:c r="C255" t="str">
        <x:v>Desiccated Coconut</x:v>
      </x:c>
      <x:c r="D255" t="str">
        <x:v>Dryer 2</x:v>
      </x:c>
      <x:c r="E255" t="str">
        <x:v>Sup 2</x:v>
      </x:c>
      <x:c r="F255" t="n">
        <x:v>420</x:v>
      </x:c>
      <x:c r="G255" t="n">
        <x:v>0</x:v>
      </x:c>
      <x:c r="H255" t="n">
        <x:v>43</x:v>
      </x:c>
      <x:c r="I255" t="n">
        <x:v>1240</x:v>
      </x:c>
      <x:c r="J255" t="n">
        <x:v>1143</x:v>
      </x:c>
      <x:c r="K255" t="n">
        <x:v>24</x:v>
      </x:c>
      <x:c r="L255" t="n">
        <x:v>5</x:v>
      </x:c>
      <x:c r="M255" t="n">
        <x:v>85</x:v>
      </x:c>
      <x:c r="N255" t="n">
        <x:v>85.4</x:v>
      </x:c>
      <x:c r="O255" t="n">
        <x:v>88.9</x:v>
      </x:c>
      <x:c r="P255" t="n">
        <x:v>2</x:v>
      </x:c>
      <x:c r="Q255" t="str">
        <x:v>No incident</x:v>
      </x:c>
      <x:c r="R255" t="str">
        <x:v>N/A</x:v>
      </x:c>
      <x:c r="S255" t="str">
        <x:v>Inspection</x:v>
      </x:c>
      <x:c r="T255" t="n">
        <x:v>0.61</x:v>
      </x:c>
      <x:c r="U255" t="n">
        <x:v>9.2</x:v>
      </x:c>
    </x:row>
    <x:row r="256">
      <x:c r="A256" s="12" t="n">
        <x:v>46111</x:v>
      </x:c>
      <x:c r="B256" t="str">
        <x:v>C</x:v>
      </x:c>
      <x:c r="C256" t="str">
        <x:v>Dried Mango</x:v>
      </x:c>
      <x:c r="D256" t="str">
        <x:v>Dryer 3</x:v>
      </x:c>
      <x:c r="E256" t="str">
        <x:v>Sup 1</x:v>
      </x:c>
      <x:c r="F256" t="n">
        <x:v>420</x:v>
      </x:c>
      <x:c r="G256" t="n">
        <x:v>30</x:v>
      </x:c>
      <x:c r="H256" t="n">
        <x:v>79</x:v>
      </x:c>
      <x:c r="I256" t="n">
        <x:v>1634</x:v>
      </x:c>
      <x:c r="J256" t="n">
        <x:v>1154</x:v>
      </x:c>
      <x:c r="K256" t="n">
        <x:v>56</x:v>
      </x:c>
      <x:c r="L256" t="n">
        <x:v>30</x:v>
      </x:c>
      <x:c r="M256" t="n">
        <x:v>89.9</x:v>
      </x:c>
      <x:c r="N256" t="n">
        <x:v>69.6</x:v>
      </x:c>
      <x:c r="O256" t="n">
        <x:v>64</x:v>
      </x:c>
      <x:c r="P256" t="n">
        <x:v>3</x:v>
      </x:c>
      <x:c r="Q256" t="str">
        <x:v>No incident</x:v>
      </x:c>
      <x:c r="R256" t="str">
        <x:v>N/A</x:v>
      </x:c>
      <x:c r="S256" t="str">
        <x:v>Corrective</x:v>
      </x:c>
      <x:c r="T256" t="n">
        <x:v>1.4</x:v>
      </x:c>
      <x:c r="U256" t="n">
        <x:v>10.2</x:v>
      </x:c>
    </x:row>
    <x:row r="257">
      <x:c r="A257" s="12" t="n">
        <x:v>46112</x:v>
      </x:c>
      <x:c r="B257" t="str">
        <x:v>A</x:v>
      </x:c>
      <x:c r="C257" t="str">
        <x:v>Dried Mango</x:v>
      </x:c>
      <x:c r="D257" t="str">
        <x:v>Dryer 1</x:v>
      </x:c>
      <x:c r="E257" t="str">
        <x:v>Sup 2</x:v>
      </x:c>
      <x:c r="F257" t="n">
        <x:v>450</x:v>
      </x:c>
      <x:c r="G257" t="n">
        <x:v>30</x:v>
      </x:c>
      <x:c r="H257" t="n">
        <x:v>29</x:v>
      </x:c>
      <x:c r="I257" t="n">
        <x:v>1584</x:v>
      </x:c>
      <x:c r="J257" t="n">
        <x:v>1510</x:v>
      </x:c>
      <x:c r="K257" t="n">
        <x:v>54</x:v>
      </x:c>
      <x:c r="L257" t="n">
        <x:v>12</x:v>
      </x:c>
      <x:c r="M257" t="n">
        <x:v>87</x:v>
      </x:c>
      <x:c r="N257" t="n">
        <x:v>71.1</x:v>
      </x:c>
      <x:c r="O257" t="n">
        <x:v>71.4</x:v>
      </x:c>
      <x:c r="P257" t="n">
        <x:v>2</x:v>
      </x:c>
      <x:c r="Q257" t="str">
        <x:v>No incident</x:v>
      </x:c>
      <x:c r="R257" t="str">
        <x:v>N/A</x:v>
      </x:c>
      <x:c r="S257" t="str">
        <x:v>Corrective</x:v>
      </x:c>
      <x:c r="T257" t="n">
        <x:v>1.59</x:v>
      </x:c>
      <x:c r="U257" t="n">
        <x:v>12.5</x:v>
      </x:c>
    </x:row>
    <x:row r="258">
      <x:c r="A258" s="12" t="n">
        <x:v>46112</x:v>
      </x:c>
      <x:c r="B258" t="str">
        <x:v>B</x:v>
      </x:c>
      <x:c r="C258" t="str">
        <x:v>Dried Mango</x:v>
      </x:c>
      <x:c r="D258" t="str">
        <x:v>Dryer 4</x:v>
      </x:c>
      <x:c r="E258" t="str">
        <x:v>Sup 2</x:v>
      </x:c>
      <x:c r="F258" t="n">
        <x:v>420</x:v>
      </x:c>
      <x:c r="G258" t="n">
        <x:v>30</x:v>
      </x:c>
      <x:c r="H258" t="n">
        <x:v>24</x:v>
      </x:c>
      <x:c r="I258" t="n">
        <x:v>1541</x:v>
      </x:c>
      <x:c r="J258" t="n">
        <x:v>1316</x:v>
      </x:c>
      <x:c r="K258" t="n">
        <x:v>40</x:v>
      </x:c>
      <x:c r="L258" t="n">
        <x:v>13</x:v>
      </x:c>
      <x:c r="M258" t="n">
        <x:v>93.7</x:v>
      </x:c>
      <x:c r="N258" t="n">
        <x:v>70.6</x:v>
      </x:c>
      <x:c r="O258" t="n">
        <x:v>89.6</x:v>
      </x:c>
      <x:c r="P258" t="n">
        <x:v>2</x:v>
      </x:c>
      <x:c r="Q258" t="str">
        <x:v>No incident</x:v>
      </x:c>
      <x:c r="R258" t="str">
        <x:v>N/A</x:v>
      </x:c>
      <x:c r="S258" t="str">
        <x:v>Preventive</x:v>
      </x:c>
      <x:c r="T258" t="n">
        <x:v>0.5</x:v>
      </x:c>
      <x:c r="U258" t="n">
        <x:v>11.4</x:v>
      </x:c>
    </x:row>
    <x:row r="259">
      <x:c r="A259" s="12" t="n">
        <x:v>46112</x:v>
      </x:c>
      <x:c r="B259" t="str">
        <x:v>C</x:v>
      </x:c>
      <x:c r="C259" t="str">
        <x:v>Dried Pineapple</x:v>
      </x:c>
      <x:c r="D259" t="str">
        <x:v>Dryer 1</x:v>
      </x:c>
      <x:c r="E259" t="str">
        <x:v>Sup 1</x:v>
      </x:c>
      <x:c r="F259" t="n">
        <x:v>450</x:v>
      </x:c>
      <x:c r="G259" t="n">
        <x:v>40</x:v>
      </x:c>
      <x:c r="H259" t="n">
        <x:v>59</x:v>
      </x:c>
      <x:c r="I259" t="n">
        <x:v>1709</x:v>
      </x:c>
      <x:c r="J259" t="n">
        <x:v>1466</x:v>
      </x:c>
      <x:c r="K259" t="n">
        <x:v>49</x:v>
      </x:c>
      <x:c r="L259" t="n">
        <x:v>22</x:v>
      </x:c>
      <x:c r="M259" t="n">
        <x:v>82.6</x:v>
      </x:c>
      <x:c r="N259" t="n">
        <x:v>70.2</x:v>
      </x:c>
      <x:c r="O259" t="n">
        <x:v>78.1</x:v>
      </x:c>
      <x:c r="P259" t="n">
        <x:v>5</x:v>
      </x:c>
      <x:c r="Q259" t="str">
        <x:v>Near miss</x:v>
      </x:c>
      <x:c r="R259" t="str">
        <x:v>In progress</x:v>
      </x:c>
      <x:c r="S259" t="str">
        <x:v>Preventive</x:v>
      </x:c>
      <x:c r="T259" t="n">
        <x:v>1.18</x:v>
      </x:c>
      <x:c r="U259" t="n">
        <x:v>12</x:v>
      </x:c>
    </x:row>
    <x:row r="260">
      <x:c r="A260" s="12" t="n">
        <x:v>46113</x:v>
      </x:c>
      <x:c r="B260" t="str">
        <x:v>A</x:v>
      </x:c>
      <x:c r="C260" t="str">
        <x:v>Dried Mango</x:v>
      </x:c>
      <x:c r="D260" t="str">
        <x:v>Dryer 2</x:v>
      </x:c>
      <x:c r="E260" t="str">
        <x:v>Sup 3</x:v>
      </x:c>
      <x:c r="F260" t="n">
        <x:v>420</x:v>
      </x:c>
      <x:c r="G260" t="n">
        <x:v>30</x:v>
      </x:c>
      <x:c r="H260" t="n">
        <x:v>22</x:v>
      </x:c>
      <x:c r="I260" t="n">
        <x:v>1728</x:v>
      </x:c>
      <x:c r="J260" t="n">
        <x:v>1515</x:v>
      </x:c>
      <x:c r="K260" t="n">
        <x:v>68</x:v>
      </x:c>
      <x:c r="L260" t="n">
        <x:v>46</x:v>
      </x:c>
      <x:c r="M260" t="n">
        <x:v>88.9</x:v>
      </x:c>
      <x:c r="N260" t="n">
        <x:v>69.4</x:v>
      </x:c>
      <x:c r="O260" t="n">
        <x:v>75</x:v>
      </x:c>
      <x:c r="P260" t="n">
        <x:v>4</x:v>
      </x:c>
      <x:c r="Q260" t="str">
        <x:v>No incident</x:v>
      </x:c>
      <x:c r="R260" t="str">
        <x:v>N/A</x:v>
      </x:c>
      <x:c r="S260" t="str">
        <x:v>Preventive</x:v>
      </x:c>
      <x:c r="T260" t="n">
        <x:v>0.85</x:v>
      </x:c>
      <x:c r="U260" t="n">
        <x:v>13.6</x:v>
      </x:c>
    </x:row>
    <x:row r="261">
      <x:c r="A261" s="12" t="n">
        <x:v>46113</x:v>
      </x:c>
      <x:c r="B261" t="str">
        <x:v>B</x:v>
      </x:c>
      <x:c r="C261" t="str">
        <x:v>Dried Mango</x:v>
      </x:c>
      <x:c r="D261" t="str">
        <x:v>Dryer 3</x:v>
      </x:c>
      <x:c r="E261" t="str">
        <x:v>Sup 1</x:v>
      </x:c>
      <x:c r="F261" t="n">
        <x:v>420</x:v>
      </x:c>
      <x:c r="G261" t="n">
        <x:v>40</x:v>
      </x:c>
      <x:c r="H261" t="n">
        <x:v>50</x:v>
      </x:c>
      <x:c r="I261" t="n">
        <x:v>1727</x:v>
      </x:c>
      <x:c r="J261" t="n">
        <x:v>1526</x:v>
      </x:c>
      <x:c r="K261" t="n">
        <x:v>64</x:v>
      </x:c>
      <x:c r="L261" t="n">
        <x:v>25</x:v>
      </x:c>
      <x:c r="M261" t="n">
        <x:v>90</x:v>
      </x:c>
      <x:c r="N261" t="n">
        <x:v>71.9</x:v>
      </x:c>
      <x:c r="O261" t="n">
        <x:v>80.5</x:v>
      </x:c>
      <x:c r="P261" t="n">
        <x:v>4</x:v>
      </x:c>
      <x:c r="Q261" t="str">
        <x:v>No incident</x:v>
      </x:c>
      <x:c r="R261" t="str">
        <x:v>N/A</x:v>
      </x:c>
      <x:c r="S261" t="str">
        <x:v>Corrective</x:v>
      </x:c>
      <x:c r="T261" t="n">
        <x:v>1.95</x:v>
      </x:c>
      <x:c r="U261" t="n">
        <x:v>11.5</x:v>
      </x:c>
    </x:row>
    <x:row r="262">
      <x:c r="A262" s="12" t="n">
        <x:v>46113</x:v>
      </x:c>
      <x:c r="B262" t="str">
        <x:v>C</x:v>
      </x:c>
      <x:c r="C262" t="str">
        <x:v>Dried Pineapple</x:v>
      </x:c>
      <x:c r="D262" t="str">
        <x:v>Dryer 3</x:v>
      </x:c>
      <x:c r="E262" t="str">
        <x:v>Sup 3</x:v>
      </x:c>
      <x:c r="F262" t="n">
        <x:v>450</x:v>
      </x:c>
      <x:c r="G262" t="n">
        <x:v>30</x:v>
      </x:c>
      <x:c r="H262" t="n">
        <x:v>81</x:v>
      </x:c>
      <x:c r="I262" t="n">
        <x:v>1714</x:v>
      </x:c>
      <x:c r="J262" t="n">
        <x:v>1413</x:v>
      </x:c>
      <x:c r="K262" t="n">
        <x:v>62</x:v>
      </x:c>
      <x:c r="L262" t="n">
        <x:v>27</x:v>
      </x:c>
      <x:c r="M262" t="n">
        <x:v>90.6</x:v>
      </x:c>
      <x:c r="N262" t="n">
        <x:v>63.6</x:v>
      </x:c>
      <x:c r="O262" t="n">
        <x:v>71.6</x:v>
      </x:c>
      <x:c r="P262" t="n">
        <x:v>1</x:v>
      </x:c>
      <x:c r="Q262" t="str">
        <x:v>No incident</x:v>
      </x:c>
      <x:c r="R262" t="str">
        <x:v>N/A</x:v>
      </x:c>
      <x:c r="S262" t="str">
        <x:v>Inspection</x:v>
      </x:c>
      <x:c r="T262" t="n">
        <x:v>1.13</x:v>
      </x:c>
      <x:c r="U262" t="n">
        <x:v>11</x:v>
      </x:c>
    </x:row>
    <x:row r="263">
      <x:c r="A263" s="12" t="n">
        <x:v>46114</x:v>
      </x:c>
      <x:c r="B263" t="str">
        <x:v>A</x:v>
      </x:c>
      <x:c r="C263" t="str">
        <x:v>Dried Pineapple</x:v>
      </x:c>
      <x:c r="D263" t="str">
        <x:v>Dryer 4</x:v>
      </x:c>
      <x:c r="E263" t="str">
        <x:v>Sup 1</x:v>
      </x:c>
      <x:c r="F263" t="n">
        <x:v>450</x:v>
      </x:c>
      <x:c r="G263" t="n">
        <x:v>20</x:v>
      </x:c>
      <x:c r="H263" t="n">
        <x:v>34</x:v>
      </x:c>
      <x:c r="I263" t="n">
        <x:v>1887</x:v>
      </x:c>
      <x:c r="J263" t="n">
        <x:v>1672</x:v>
      </x:c>
      <x:c r="K263" t="n">
        <x:v>56</x:v>
      </x:c>
      <x:c r="L263" t="n">
        <x:v>11</x:v>
      </x:c>
      <x:c r="M263" t="n">
        <x:v>89.6</x:v>
      </x:c>
      <x:c r="N263" t="n">
        <x:v>80.3</x:v>
      </x:c>
      <x:c r="O263" t="n">
        <x:v>84.7</x:v>
      </x:c>
      <x:c r="P263" t="n">
        <x:v>6</x:v>
      </x:c>
      <x:c r="Q263" t="str">
        <x:v>No incident</x:v>
      </x:c>
      <x:c r="R263" t="str">
        <x:v>N/A</x:v>
      </x:c>
      <x:c r="S263" t="str">
        <x:v>Preventive</x:v>
      </x:c>
      <x:c r="T263" t="n">
        <x:v>0.75</x:v>
      </x:c>
      <x:c r="U263" t="n">
        <x:v>13.5</x:v>
      </x:c>
    </x:row>
    <x:row r="264">
      <x:c r="A264" s="12" t="n">
        <x:v>46114</x:v>
      </x:c>
      <x:c r="B264" t="str">
        <x:v>B</x:v>
      </x:c>
      <x:c r="C264" t="str">
        <x:v>Dried Pineapple</x:v>
      </x:c>
      <x:c r="D264" t="str">
        <x:v>Dryer 1</x:v>
      </x:c>
      <x:c r="E264" t="str">
        <x:v>Sup 3</x:v>
      </x:c>
      <x:c r="F264" t="n">
        <x:v>420</x:v>
      </x:c>
      <x:c r="G264" t="n">
        <x:v>40</x:v>
      </x:c>
      <x:c r="H264" t="n">
        <x:v>17</x:v>
      </x:c>
      <x:c r="I264" t="n">
        <x:v>1816</x:v>
      </x:c>
      <x:c r="J264" t="n">
        <x:v>1674</x:v>
      </x:c>
      <x:c r="K264" t="n">
        <x:v>39</x:v>
      </x:c>
      <x:c r="L264" t="n">
        <x:v>11</x:v>
      </x:c>
      <x:c r="M264" t="n">
        <x:v>95.3</x:v>
      </x:c>
      <x:c r="N264" t="n">
        <x:v>73.9</x:v>
      </x:c>
      <x:c r="O264" t="n">
        <x:v>79.4</x:v>
      </x:c>
      <x:c r="P264" t="n">
        <x:v>4</x:v>
      </x:c>
      <x:c r="Q264" t="str">
        <x:v>No incident</x:v>
      </x:c>
      <x:c r="R264" t="str">
        <x:v>N/A</x:v>
      </x:c>
      <x:c r="S264" t="str">
        <x:v>Corrective</x:v>
      </x:c>
      <x:c r="T264" t="n">
        <x:v>0.93</x:v>
      </x:c>
      <x:c r="U264" t="n">
        <x:v>14.4</x:v>
      </x:c>
    </x:row>
    <x:row r="265">
      <x:c r="A265" s="12" t="n">
        <x:v>46114</x:v>
      </x:c>
      <x:c r="B265" t="str">
        <x:v>C</x:v>
      </x:c>
      <x:c r="C265" t="str">
        <x:v>Desiccated Coconut</x:v>
      </x:c>
      <x:c r="D265" t="str">
        <x:v>Dryer 4</x:v>
      </x:c>
      <x:c r="E265" t="str">
        <x:v>Sup 2</x:v>
      </x:c>
      <x:c r="F265" t="n">
        <x:v>450</x:v>
      </x:c>
      <x:c r="G265" t="n">
        <x:v>30</x:v>
      </x:c>
      <x:c r="H265" t="n">
        <x:v>42</x:v>
      </x:c>
      <x:c r="I265" t="n">
        <x:v>1199</x:v>
      </x:c>
      <x:c r="J265" t="n">
        <x:v>1097</x:v>
      </x:c>
      <x:c r="K265" t="n">
        <x:v>33</x:v>
      </x:c>
      <x:c r="L265" t="n">
        <x:v>13</x:v>
      </x:c>
      <x:c r="M265" t="n">
        <x:v>88.1</x:v>
      </x:c>
      <x:c r="N265" t="n">
        <x:v>84.9</x:v>
      </x:c>
      <x:c r="O265" t="n">
        <x:v>73.7</x:v>
      </x:c>
      <x:c r="P265" t="n">
        <x:v>2</x:v>
      </x:c>
      <x:c r="Q265" t="str">
        <x:v>First aid</x:v>
      </x:c>
      <x:c r="R265" t="str">
        <x:v>Closed</x:v>
      </x:c>
      <x:c r="S265" t="str">
        <x:v>Inspection</x:v>
      </x:c>
      <x:c r="T265" t="n">
        <x:v>1.21</x:v>
      </x:c>
      <x:c r="U265" t="n">
        <x:v>8.4</x:v>
      </x:c>
    </x:row>
    <x:row r="266">
      <x:c r="A266" s="12" t="n">
        <x:v>46115</x:v>
      </x:c>
      <x:c r="B266" t="str">
        <x:v>A</x:v>
      </x:c>
      <x:c r="C266" t="str">
        <x:v>Desiccated Coconut</x:v>
      </x:c>
      <x:c r="D266" t="str">
        <x:v>Dryer 1</x:v>
      </x:c>
      <x:c r="E266" t="str">
        <x:v>Sup 1</x:v>
      </x:c>
      <x:c r="F266" t="n">
        <x:v>480</x:v>
      </x:c>
      <x:c r="G266" t="n">
        <x:v>40</x:v>
      </x:c>
      <x:c r="H266" t="n">
        <x:v>18</x:v>
      </x:c>
      <x:c r="I266" t="n">
        <x:v>1107</x:v>
      </x:c>
      <x:c r="J266" t="n">
        <x:v>1032</x:v>
      </x:c>
      <x:c r="K266" t="n">
        <x:v>19</x:v>
      </x:c>
      <x:c r="L266" t="n">
        <x:v>5</x:v>
      </x:c>
      <x:c r="M266" t="n">
        <x:v>91.2</x:v>
      </x:c>
      <x:c r="N266" t="n">
        <x:v>74.1</x:v>
      </x:c>
      <x:c r="O266" t="n">
        <x:v>84.9</x:v>
      </x:c>
      <x:c r="P266" t="n">
        <x:v>2</x:v>
      </x:c>
      <x:c r="Q266" t="str">
        <x:v>No incident</x:v>
      </x:c>
      <x:c r="R266" t="str">
        <x:v>N/A</x:v>
      </x:c>
      <x:c r="S266" t="str">
        <x:v>Inspection</x:v>
      </x:c>
      <x:c r="T266" t="n">
        <x:v>0.98</x:v>
      </x:c>
      <x:c r="U266" t="n">
        <x:v>8.6</x:v>
      </x:c>
    </x:row>
    <x:row r="267">
      <x:c r="A267" s="12" t="n">
        <x:v>46115</x:v>
      </x:c>
      <x:c r="B267" t="str">
        <x:v>B</x:v>
      </x:c>
      <x:c r="C267" t="str">
        <x:v>Desiccated Coconut</x:v>
      </x:c>
      <x:c r="D267" t="str">
        <x:v>Dryer 1</x:v>
      </x:c>
      <x:c r="E267" t="str">
        <x:v>Sup 3</x:v>
      </x:c>
      <x:c r="F267" t="n">
        <x:v>420</x:v>
      </x:c>
      <x:c r="G267" t="n">
        <x:v>20</x:v>
      </x:c>
      <x:c r="H267" t="n">
        <x:v>35</x:v>
      </x:c>
      <x:c r="I267" t="n">
        <x:v>1184</x:v>
      </x:c>
      <x:c r="J267" t="n">
        <x:v>955</x:v>
      </x:c>
      <x:c r="K267" t="n">
        <x:v>32</x:v>
      </x:c>
      <x:c r="L267" t="n">
        <x:v>16</x:v>
      </x:c>
      <x:c r="M267" t="n">
        <x:v>90.5</x:v>
      </x:c>
      <x:c r="N267" t="n">
        <x:v>68</x:v>
      </x:c>
      <x:c r="O267" t="n">
        <x:v>68</x:v>
      </x:c>
      <x:c r="P267" t="n">
        <x:v>3</x:v>
      </x:c>
      <x:c r="Q267" t="str">
        <x:v>No incident</x:v>
      </x:c>
      <x:c r="R267" t="str">
        <x:v>N/A</x:v>
      </x:c>
      <x:c r="S267" t="str">
        <x:v>Preventive</x:v>
      </x:c>
      <x:c r="T267" t="n">
        <x:v>0.52</x:v>
      </x:c>
      <x:c r="U267" t="n">
        <x:v>7.6</x:v>
      </x:c>
    </x:row>
    <x:row r="268">
      <x:c r="A268" s="12" t="n">
        <x:v>46115</x:v>
      </x:c>
      <x:c r="B268" t="str">
        <x:v>C</x:v>
      </x:c>
      <x:c r="C268" t="str">
        <x:v>Dried Pineapple</x:v>
      </x:c>
      <x:c r="D268" t="str">
        <x:v>Dryer 4</x:v>
      </x:c>
      <x:c r="E268" t="str">
        <x:v>Sup 3</x:v>
      </x:c>
      <x:c r="F268" t="n">
        <x:v>480</x:v>
      </x:c>
      <x:c r="G268" t="n">
        <x:v>30</x:v>
      </x:c>
      <x:c r="H268" t="n">
        <x:v>73</x:v>
      </x:c>
      <x:c r="I268" t="n">
        <x:v>1701</x:v>
      </x:c>
      <x:c r="J268" t="n">
        <x:v>1425</x:v>
      </x:c>
      <x:c r="K268" t="n">
        <x:v>56</x:v>
      </x:c>
      <x:c r="L268" t="n">
        <x:v>25</x:v>
      </x:c>
      <x:c r="M268" t="n">
        <x:v>89.4</x:v>
      </x:c>
      <x:c r="N268" t="n">
        <x:v>83.8</x:v>
      </x:c>
      <x:c r="O268" t="n">
        <x:v>82.8</x:v>
      </x:c>
      <x:c r="P268" t="n">
        <x:v>1</x:v>
      </x:c>
      <x:c r="Q268" t="str">
        <x:v>No incident</x:v>
      </x:c>
      <x:c r="R268" t="str">
        <x:v>N/A</x:v>
      </x:c>
      <x:c r="S268" t="str">
        <x:v>Inspection</x:v>
      </x:c>
      <x:c r="T268" t="n">
        <x:v>0.72</x:v>
      </x:c>
      <x:c r="U268" t="n">
        <x:v>12.3</x:v>
      </x:c>
    </x:row>
    <x:row r="269">
      <x:c r="A269" s="12" t="n">
        <x:v>46116</x:v>
      </x:c>
      <x:c r="B269" t="str">
        <x:v>A</x:v>
      </x:c>
      <x:c r="C269" t="str">
        <x:v>Dried Pineapple</x:v>
      </x:c>
      <x:c r="D269" t="str">
        <x:v>Dryer 3</x:v>
      </x:c>
      <x:c r="E269" t="str">
        <x:v>Sup 1</x:v>
      </x:c>
      <x:c r="F269" t="n">
        <x:v>450</x:v>
      </x:c>
      <x:c r="G269" t="n">
        <x:v>40</x:v>
      </x:c>
      <x:c r="H269" t="n">
        <x:v>35</x:v>
      </x:c>
      <x:c r="I269" t="n">
        <x:v>1718</x:v>
      </x:c>
      <x:c r="J269" t="n">
        <x:v>1626</x:v>
      </x:c>
      <x:c r="K269" t="n">
        <x:v>64</x:v>
      </x:c>
      <x:c r="L269" t="n">
        <x:v>32</x:v>
      </x:c>
      <x:c r="M269" t="n">
        <x:v>86.6</x:v>
      </x:c>
      <x:c r="N269" t="n">
        <x:v>77.8</x:v>
      </x:c>
      <x:c r="O269" t="n">
        <x:v>80.7</x:v>
      </x:c>
      <x:c r="P269" t="n">
        <x:v>2</x:v>
      </x:c>
      <x:c r="Q269" t="str">
        <x:v>No incident</x:v>
      </x:c>
      <x:c r="R269" t="str">
        <x:v>N/A</x:v>
      </x:c>
      <x:c r="S269" t="str">
        <x:v>Inspection</x:v>
      </x:c>
      <x:c r="T269" t="n">
        <x:v>0.84</x:v>
      </x:c>
      <x:c r="U269" t="n">
        <x:v>14.7</x:v>
      </x:c>
    </x:row>
    <x:row r="270">
      <x:c r="A270" s="12" t="n">
        <x:v>46116</x:v>
      </x:c>
      <x:c r="B270" t="str">
        <x:v>B</x:v>
      </x:c>
      <x:c r="C270" t="str">
        <x:v>Dried Pineapple</x:v>
      </x:c>
      <x:c r="D270" t="str">
        <x:v>Dryer 4</x:v>
      </x:c>
      <x:c r="E270" t="str">
        <x:v>Sup 1</x:v>
      </x:c>
      <x:c r="F270" t="n">
        <x:v>420</x:v>
      </x:c>
      <x:c r="G270" t="n">
        <x:v>40</x:v>
      </x:c>
      <x:c r="H270" t="n">
        <x:v>27</x:v>
      </x:c>
      <x:c r="I270" t="n">
        <x:v>1699</x:v>
      </x:c>
      <x:c r="J270" t="n">
        <x:v>1418</x:v>
      </x:c>
      <x:c r="K270" t="n">
        <x:v>52</x:v>
      </x:c>
      <x:c r="L270" t="n">
        <x:v>25</x:v>
      </x:c>
      <x:c r="M270" t="n">
        <x:v>91.1</x:v>
      </x:c>
      <x:c r="N270" t="n">
        <x:v>83.2</x:v>
      </x:c>
      <x:c r="O270" t="n">
        <x:v>80</x:v>
      </x:c>
      <x:c r="P270" t="n">
        <x:v>3</x:v>
      </x:c>
      <x:c r="Q270" t="str">
        <x:v>No incident</x:v>
      </x:c>
      <x:c r="R270" t="str">
        <x:v>N/A</x:v>
      </x:c>
      <x:c r="S270" t="str">
        <x:v>Corrective</x:v>
      </x:c>
      <x:c r="T270" t="n">
        <x:v>1.36</x:v>
      </x:c>
      <x:c r="U270" t="n">
        <x:v>11.5</x:v>
      </x:c>
    </x:row>
    <x:row r="271">
      <x:c r="A271" s="12" t="n">
        <x:v>46116</x:v>
      </x:c>
      <x:c r="B271" t="str">
        <x:v>C</x:v>
      </x:c>
      <x:c r="C271" t="str">
        <x:v>Desiccated Coconut</x:v>
      </x:c>
      <x:c r="D271" t="str">
        <x:v>Dryer 1</x:v>
      </x:c>
      <x:c r="E271" t="str">
        <x:v>Sup 3</x:v>
      </x:c>
      <x:c r="F271" t="n">
        <x:v>420</x:v>
      </x:c>
      <x:c r="G271" t="n">
        <x:v>0</x:v>
      </x:c>
      <x:c r="H271" t="n">
        <x:v>27</x:v>
      </x:c>
      <x:c r="I271" t="n">
        <x:v>1269</x:v>
      </x:c>
      <x:c r="J271" t="n">
        <x:v>1049</x:v>
      </x:c>
      <x:c r="K271" t="n">
        <x:v>23</x:v>
      </x:c>
      <x:c r="L271" t="n">
        <x:v>12</x:v>
      </x:c>
      <x:c r="M271" t="n">
        <x:v>88.8</x:v>
      </x:c>
      <x:c r="N271" t="n">
        <x:v>85.3</x:v>
      </x:c>
      <x:c r="O271" t="n">
        <x:v>62.4</x:v>
      </x:c>
      <x:c r="P271" t="n">
        <x:v>0</x:v>
      </x:c>
      <x:c r="Q271" t="str">
        <x:v>No incident</x:v>
      </x:c>
      <x:c r="R271" t="str">
        <x:v>N/A</x:v>
      </x:c>
      <x:c r="S271" t="str">
        <x:v>Corrective</x:v>
      </x:c>
      <x:c r="T271" t="n">
        <x:v>1.53</x:v>
      </x:c>
      <x:c r="U271" t="n">
        <x:v>8.9</x:v>
      </x:c>
    </x:row>
    <x:row r="272">
      <x:c r="A272" s="12" t="n">
        <x:v>46117</x:v>
      </x:c>
      <x:c r="B272" t="str">
        <x:v>A</x:v>
      </x:c>
      <x:c r="C272" t="str">
        <x:v>Dried Mango</x:v>
      </x:c>
      <x:c r="D272" t="str">
        <x:v>Dryer 1</x:v>
      </x:c>
      <x:c r="E272" t="str">
        <x:v>Sup 2</x:v>
      </x:c>
      <x:c r="F272" t="n">
        <x:v>420</x:v>
      </x:c>
      <x:c r="G272" t="n">
        <x:v>30</x:v>
      </x:c>
      <x:c r="H272" t="n">
        <x:v>40</x:v>
      </x:c>
      <x:c r="I272" t="n">
        <x:v>1764</x:v>
      </x:c>
      <x:c r="J272" t="n">
        <x:v>1552</x:v>
      </x:c>
      <x:c r="K272" t="n">
        <x:v>44</x:v>
      </x:c>
      <x:c r="L272" t="n">
        <x:v>14</x:v>
      </x:c>
      <x:c r="M272" t="n">
        <x:v>100</x:v>
      </x:c>
      <x:c r="N272" t="n">
        <x:v>74.9</x:v>
      </x:c>
      <x:c r="O272" t="n">
        <x:v>73.9</x:v>
      </x:c>
      <x:c r="P272" t="n">
        <x:v>3</x:v>
      </x:c>
      <x:c r="Q272" t="str">
        <x:v>First aid</x:v>
      </x:c>
      <x:c r="R272" t="str">
        <x:v>Open</x:v>
      </x:c>
      <x:c r="S272" t="str">
        <x:v>Preventive</x:v>
      </x:c>
      <x:c r="T272" t="n">
        <x:v>0.66</x:v>
      </x:c>
      <x:c r="U272" t="n">
        <x:v>13.9</x:v>
      </x:c>
    </x:row>
    <x:row r="273">
      <x:c r="A273" s="12" t="n">
        <x:v>46117</x:v>
      </x:c>
      <x:c r="B273" t="str">
        <x:v>B</x:v>
      </x:c>
      <x:c r="C273" t="str">
        <x:v>Dried Mango</x:v>
      </x:c>
      <x:c r="D273" t="str">
        <x:v>Dryer 3</x:v>
      </x:c>
      <x:c r="E273" t="str">
        <x:v>Sup 2</x:v>
      </x:c>
      <x:c r="F273" t="n">
        <x:v>420</x:v>
      </x:c>
      <x:c r="G273" t="n">
        <x:v>0</x:v>
      </x:c>
      <x:c r="H273" t="n">
        <x:v>40</x:v>
      </x:c>
      <x:c r="I273" t="n">
        <x:v>1652</x:v>
      </x:c>
      <x:c r="J273" t="n">
        <x:v>1332</x:v>
      </x:c>
      <x:c r="K273" t="n">
        <x:v>61</x:v>
      </x:c>
      <x:c r="L273" t="n">
        <x:v>22</x:v>
      </x:c>
      <x:c r="M273" t="n">
        <x:v>83.2</x:v>
      </x:c>
      <x:c r="N273" t="n">
        <x:v>67.1</x:v>
      </x:c>
      <x:c r="O273" t="n">
        <x:v>76.1</x:v>
      </x:c>
      <x:c r="P273" t="n">
        <x:v>6</x:v>
      </x:c>
      <x:c r="Q273" t="str">
        <x:v>No incident</x:v>
      </x:c>
      <x:c r="R273" t="str">
        <x:v>N/A</x:v>
      </x:c>
      <x:c r="S273" t="str">
        <x:v>Corrective</x:v>
      </x:c>
      <x:c r="T273" t="n">
        <x:v>1.11</x:v>
      </x:c>
      <x:c r="U273" t="n">
        <x:v>10.8</x:v>
      </x:c>
    </x:row>
    <x:row r="274">
      <x:c r="A274" s="12" t="n">
        <x:v>46117</x:v>
      </x:c>
      <x:c r="B274" t="str">
        <x:v>C</x:v>
      </x:c>
      <x:c r="C274" t="str">
        <x:v>Dried Mango</x:v>
      </x:c>
      <x:c r="D274" t="str">
        <x:v>Dryer 3</x:v>
      </x:c>
      <x:c r="E274" t="str">
        <x:v>Sup 2</x:v>
      </x:c>
      <x:c r="F274" t="n">
        <x:v>420</x:v>
      </x:c>
      <x:c r="G274" t="n">
        <x:v>40</x:v>
      </x:c>
      <x:c r="H274" t="n">
        <x:v>69</x:v>
      </x:c>
      <x:c r="I274" t="n">
        <x:v>1609</x:v>
      </x:c>
      <x:c r="J274" t="n">
        <x:v>1326</x:v>
      </x:c>
      <x:c r="K274" t="n">
        <x:v>58</x:v>
      </x:c>
      <x:c r="L274" t="n">
        <x:v>37</x:v>
      </x:c>
      <x:c r="M274" t="n">
        <x:v>94.6</x:v>
      </x:c>
      <x:c r="N274" t="n">
        <x:v>68.3</x:v>
      </x:c>
      <x:c r="O274" t="n">
        <x:v>78.3</x:v>
      </x:c>
      <x:c r="P274" t="n">
        <x:v>2</x:v>
      </x:c>
      <x:c r="Q274" t="str">
        <x:v>No incident</x:v>
      </x:c>
      <x:c r="R274" t="str">
        <x:v>N/A</x:v>
      </x:c>
      <x:c r="S274" t="str">
        <x:v>Corrective</x:v>
      </x:c>
      <x:c r="T274" t="n">
        <x:v>1.81</x:v>
      </x:c>
      <x:c r="U274" t="n">
        <x:v>10.1</x:v>
      </x:c>
    </x:row>
    <x:row r="275">
      <x:c r="A275" s="12" t="n">
        <x:v>46118</x:v>
      </x:c>
      <x:c r="B275" t="str">
        <x:v>A</x:v>
      </x:c>
      <x:c r="C275" t="str">
        <x:v>Dried Pineapple</x:v>
      </x:c>
      <x:c r="D275" t="str">
        <x:v>Dryer 2</x:v>
      </x:c>
      <x:c r="E275" t="str">
        <x:v>Sup 3</x:v>
      </x:c>
      <x:c r="F275" t="n">
        <x:v>450</x:v>
      </x:c>
      <x:c r="G275" t="n">
        <x:v>0</x:v>
      </x:c>
      <x:c r="H275" t="n">
        <x:v>58</x:v>
      </x:c>
      <x:c r="I275" t="n">
        <x:v>1772</x:v>
      </x:c>
      <x:c r="J275" t="n">
        <x:v>1372</x:v>
      </x:c>
      <x:c r="K275" t="n">
        <x:v>45</x:v>
      </x:c>
      <x:c r="L275" t="n">
        <x:v>30</x:v>
      </x:c>
      <x:c r="M275" t="n">
        <x:v>90.4</x:v>
      </x:c>
      <x:c r="N275" t="n">
        <x:v>95.6</x:v>
      </x:c>
      <x:c r="O275" t="n">
        <x:v>70.5</x:v>
      </x:c>
      <x:c r="P275" t="n">
        <x:v>3</x:v>
      </x:c>
      <x:c r="Q275" t="str">
        <x:v>No incident</x:v>
      </x:c>
      <x:c r="R275" t="str">
        <x:v>N/A</x:v>
      </x:c>
      <x:c r="S275" t="str">
        <x:v>Preventive</x:v>
      </x:c>
      <x:c r="T275" t="n">
        <x:v>0.56</x:v>
      </x:c>
      <x:c r="U275" t="n">
        <x:v>12.3</x:v>
      </x:c>
    </x:row>
    <x:row r="276">
      <x:c r="A276" s="12" t="n">
        <x:v>46118</x:v>
      </x:c>
      <x:c r="B276" t="str">
        <x:v>B</x:v>
      </x:c>
      <x:c r="C276" t="str">
        <x:v>Desiccated Coconut</x:v>
      </x:c>
      <x:c r="D276" t="str">
        <x:v>Dryer 1</x:v>
      </x:c>
      <x:c r="E276" t="str">
        <x:v>Sup 1</x:v>
      </x:c>
      <x:c r="F276" t="n">
        <x:v>420</x:v>
      </x:c>
      <x:c r="G276" t="n">
        <x:v>30</x:v>
      </x:c>
      <x:c r="H276" t="n">
        <x:v>37</x:v>
      </x:c>
      <x:c r="I276" t="n">
        <x:v>1227</x:v>
      </x:c>
      <x:c r="J276" t="n">
        <x:v>1143</x:v>
      </x:c>
      <x:c r="K276" t="n">
        <x:v>19</x:v>
      </x:c>
      <x:c r="L276" t="n">
        <x:v>9</x:v>
      </x:c>
      <x:c r="M276" t="n">
        <x:v>84.2</x:v>
      </x:c>
      <x:c r="N276" t="n">
        <x:v>77.1</x:v>
      </x:c>
      <x:c r="O276" t="n">
        <x:v>71.9</x:v>
      </x:c>
      <x:c r="P276" t="n">
        <x:v>0</x:v>
      </x:c>
      <x:c r="Q276" t="str">
        <x:v>No incident</x:v>
      </x:c>
      <x:c r="R276" t="str">
        <x:v>N/A</x:v>
      </x:c>
      <x:c r="S276" t="str">
        <x:v>Preventive</x:v>
      </x:c>
      <x:c r="T276" t="n">
        <x:v>0.94</x:v>
      </x:c>
      <x:c r="U276" t="n">
        <x:v>9.1</x:v>
      </x:c>
    </x:row>
    <x:row r="277">
      <x:c r="A277" s="12" t="n">
        <x:v>46118</x:v>
      </x:c>
      <x:c r="B277" t="str">
        <x:v>C</x:v>
      </x:c>
      <x:c r="C277" t="str">
        <x:v>Dried Pineapple</x:v>
      </x:c>
      <x:c r="D277" t="str">
        <x:v>Dryer 4</x:v>
      </x:c>
      <x:c r="E277" t="str">
        <x:v>Sup 3</x:v>
      </x:c>
      <x:c r="F277" t="n">
        <x:v>420</x:v>
      </x:c>
      <x:c r="G277" t="n">
        <x:v>20</x:v>
      </x:c>
      <x:c r="H277" t="n">
        <x:v>56</x:v>
      </x:c>
      <x:c r="I277" t="n">
        <x:v>1875</x:v>
      </x:c>
      <x:c r="J277" t="n">
        <x:v>1550</x:v>
      </x:c>
      <x:c r="K277" t="n">
        <x:v>43</x:v>
      </x:c>
      <x:c r="L277" t="n">
        <x:v>11</x:v>
      </x:c>
      <x:c r="M277" t="n">
        <x:v>82.2</x:v>
      </x:c>
      <x:c r="N277" t="n">
        <x:v>58.2</x:v>
      </x:c>
      <x:c r="O277" t="n">
        <x:v>71.5</x:v>
      </x:c>
      <x:c r="P277" t="n">
        <x:v>5</x:v>
      </x:c>
      <x:c r="Q277" t="str">
        <x:v>Near miss</x:v>
      </x:c>
      <x:c r="R277" t="str">
        <x:v>Open</x:v>
      </x:c>
      <x:c r="S277" t="str">
        <x:v>Preventive</x:v>
      </x:c>
      <x:c r="T277" t="n">
        <x:v>1.42</x:v>
      </x:c>
      <x:c r="U277" t="n">
        <x:v>13.2</x:v>
      </x:c>
    </x:row>
    <x:row r="278">
      <x:c r="A278" s="12" t="n">
        <x:v>46119</x:v>
      </x:c>
      <x:c r="B278" t="str">
        <x:v>A</x:v>
      </x:c>
      <x:c r="C278" t="str">
        <x:v>Dried Mango</x:v>
      </x:c>
      <x:c r="D278" t="str">
        <x:v>Dryer 1</x:v>
      </x:c>
      <x:c r="E278" t="str">
        <x:v>Sup 2</x:v>
      </x:c>
      <x:c r="F278" t="n">
        <x:v>420</x:v>
      </x:c>
      <x:c r="G278" t="n">
        <x:v>30</x:v>
      </x:c>
      <x:c r="H278" t="n">
        <x:v>38</x:v>
      </x:c>
      <x:c r="I278" t="n">
        <x:v>1553</x:v>
      </x:c>
      <x:c r="J278" t="n">
        <x:v>1436</x:v>
      </x:c>
      <x:c r="K278" t="n">
        <x:v>43</x:v>
      </x:c>
      <x:c r="L278" t="n">
        <x:v>14</x:v>
      </x:c>
      <x:c r="M278" t="n">
        <x:v>90.9</x:v>
      </x:c>
      <x:c r="N278" t="n">
        <x:v>67.8</x:v>
      </x:c>
      <x:c r="O278" t="n">
        <x:v>85.1</x:v>
      </x:c>
      <x:c r="P278" t="n">
        <x:v>5</x:v>
      </x:c>
      <x:c r="Q278" t="str">
        <x:v>No incident</x:v>
      </x:c>
      <x:c r="R278" t="str">
        <x:v>N/A</x:v>
      </x:c>
      <x:c r="S278" t="str">
        <x:v>Corrective</x:v>
      </x:c>
      <x:c r="T278" t="n">
        <x:v>1.44</x:v>
      </x:c>
      <x:c r="U278" t="n">
        <x:v>12.7</x:v>
      </x:c>
    </x:row>
    <x:row r="279">
      <x:c r="A279" s="12" t="n">
        <x:v>46119</x:v>
      </x:c>
      <x:c r="B279" t="str">
        <x:v>B</x:v>
      </x:c>
      <x:c r="C279" t="str">
        <x:v>Dried Mango</x:v>
      </x:c>
      <x:c r="D279" t="str">
        <x:v>Dryer 3</x:v>
      </x:c>
      <x:c r="E279" t="str">
        <x:v>Sup 3</x:v>
      </x:c>
      <x:c r="F279" t="n">
        <x:v>480</x:v>
      </x:c>
      <x:c r="G279" t="n">
        <x:v>0</x:v>
      </x:c>
      <x:c r="H279" t="n">
        <x:v>75</x:v>
      </x:c>
      <x:c r="I279" t="n">
        <x:v>1536</x:v>
      </x:c>
      <x:c r="J279" t="n">
        <x:v>1249</x:v>
      </x:c>
      <x:c r="K279" t="n">
        <x:v>51</x:v>
      </x:c>
      <x:c r="L279" t="n">
        <x:v>13</x:v>
      </x:c>
      <x:c r="M279" t="n">
        <x:v>97.4</x:v>
      </x:c>
      <x:c r="N279" t="n">
        <x:v>78.2</x:v>
      </x:c>
      <x:c r="O279" t="n">
        <x:v>81.4</x:v>
      </x:c>
      <x:c r="P279" t="n">
        <x:v>4</x:v>
      </x:c>
      <x:c r="Q279" t="str">
        <x:v>No incident</x:v>
      </x:c>
      <x:c r="R279" t="str">
        <x:v>N/A</x:v>
      </x:c>
      <x:c r="S279" t="str">
        <x:v>Preventive</x:v>
      </x:c>
      <x:c r="T279" t="n">
        <x:v>0.57</x:v>
      </x:c>
      <x:c r="U279" t="n">
        <x:v>11.1</x:v>
      </x:c>
    </x:row>
    <x:row r="280">
      <x:c r="A280" s="12" t="n">
        <x:v>46119</x:v>
      </x:c>
      <x:c r="B280" t="str">
        <x:v>C</x:v>
      </x:c>
      <x:c r="C280" t="str">
        <x:v>Dried Mango</x:v>
      </x:c>
      <x:c r="D280" t="str">
        <x:v>Dryer 3</x:v>
      </x:c>
      <x:c r="E280" t="str">
        <x:v>Sup 1</x:v>
      </x:c>
      <x:c r="F280" t="n">
        <x:v>450</x:v>
      </x:c>
      <x:c r="G280" t="n">
        <x:v>0</x:v>
      </x:c>
      <x:c r="H280" t="n">
        <x:v>54</x:v>
      </x:c>
      <x:c r="I280" t="n">
        <x:v>1613</x:v>
      </x:c>
      <x:c r="J280" t="n">
        <x:v>1259</x:v>
      </x:c>
      <x:c r="K280" t="n">
        <x:v>57</x:v>
      </x:c>
      <x:c r="L280" t="n">
        <x:v>12</x:v>
      </x:c>
      <x:c r="M280" t="n">
        <x:v>87.3</x:v>
      </x:c>
      <x:c r="N280" t="n">
        <x:v>81.4</x:v>
      </x:c>
      <x:c r="O280" t="n">
        <x:v>85</x:v>
      </x:c>
      <x:c r="P280" t="n">
        <x:v>4</x:v>
      </x:c>
      <x:c r="Q280" t="str">
        <x:v>No incident</x:v>
      </x:c>
      <x:c r="R280" t="str">
        <x:v>N/A</x:v>
      </x:c>
      <x:c r="S280" t="str">
        <x:v>Corrective</x:v>
      </x:c>
      <x:c r="T280" t="n">
        <x:v>1.44</x:v>
      </x:c>
      <x:c r="U280" t="n">
        <x:v>10.4</x:v>
      </x:c>
    </x:row>
    <x:row r="281">
      <x:c r="A281" s="12" t="n">
        <x:v>46120</x:v>
      </x:c>
      <x:c r="B281" t="str">
        <x:v>A</x:v>
      </x:c>
      <x:c r="C281" t="str">
        <x:v>Desiccated Coconut</x:v>
      </x:c>
      <x:c r="D281" t="str">
        <x:v>Dryer 2</x:v>
      </x:c>
      <x:c r="E281" t="str">
        <x:v>Sup 2</x:v>
      </x:c>
      <x:c r="F281" t="n">
        <x:v>420</x:v>
      </x:c>
      <x:c r="G281" t="n">
        <x:v>40</x:v>
      </x:c>
      <x:c r="H281" t="n">
        <x:v>29</x:v>
      </x:c>
      <x:c r="I281" t="n">
        <x:v>1282</x:v>
      </x:c>
      <x:c r="J281" t="n">
        <x:v>1080</x:v>
      </x:c>
      <x:c r="K281" t="n">
        <x:v>21</x:v>
      </x:c>
      <x:c r="L281" t="n">
        <x:v>4</x:v>
      </x:c>
      <x:c r="M281" t="n">
        <x:v>91.7</x:v>
      </x:c>
      <x:c r="N281" t="n">
        <x:v>73.2</x:v>
      </x:c>
      <x:c r="O281" t="n">
        <x:v>67.7</x:v>
      </x:c>
      <x:c r="P281" t="n">
        <x:v>6</x:v>
      </x:c>
      <x:c r="Q281" t="str">
        <x:v>No incident</x:v>
      </x:c>
      <x:c r="R281" t="str">
        <x:v>N/A</x:v>
      </x:c>
      <x:c r="S281" t="str">
        <x:v>Preventive</x:v>
      </x:c>
      <x:c r="T281" t="n">
        <x:v>0.5</x:v>
      </x:c>
      <x:c r="U281" t="n">
        <x:v>9.1</x:v>
      </x:c>
    </x:row>
    <x:row r="282">
      <x:c r="A282" s="12" t="n">
        <x:v>46120</x:v>
      </x:c>
      <x:c r="B282" t="str">
        <x:v>B</x:v>
      </x:c>
      <x:c r="C282" t="str">
        <x:v>Desiccated Coconut</x:v>
      </x:c>
      <x:c r="D282" t="str">
        <x:v>Dryer 3</x:v>
      </x:c>
      <x:c r="E282" t="str">
        <x:v>Sup 3</x:v>
      </x:c>
      <x:c r="F282" t="n">
        <x:v>450</x:v>
      </x:c>
      <x:c r="G282" t="n">
        <x:v>40</x:v>
      </x:c>
      <x:c r="H282" t="n">
        <x:v>62</x:v>
      </x:c>
      <x:c r="I282" t="n">
        <x:v>1261</x:v>
      </x:c>
      <x:c r="J282" t="n">
        <x:v>1082</x:v>
      </x:c>
      <x:c r="K282" t="n">
        <x:v>37</x:v>
      </x:c>
      <x:c r="L282" t="n">
        <x:v>16</x:v>
      </x:c>
      <x:c r="M282" t="n">
        <x:v>92.4</x:v>
      </x:c>
      <x:c r="N282" t="n">
        <x:v>78.7</x:v>
      </x:c>
      <x:c r="O282" t="n">
        <x:v>64.8</x:v>
      </x:c>
      <x:c r="P282" t="n">
        <x:v>2</x:v>
      </x:c>
      <x:c r="Q282" t="str">
        <x:v>No incident</x:v>
      </x:c>
      <x:c r="R282" t="str">
        <x:v>N/A</x:v>
      </x:c>
      <x:c r="S282" t="str">
        <x:v>Corrective</x:v>
      </x:c>
      <x:c r="T282" t="n">
        <x:v>1.18</x:v>
      </x:c>
      <x:c r="U282" t="n">
        <x:v>8.6</x:v>
      </x:c>
    </x:row>
    <x:row r="283">
      <x:c r="A283" s="12" t="n">
        <x:v>46120</x:v>
      </x:c>
      <x:c r="B283" t="str">
        <x:v>C</x:v>
      </x:c>
      <x:c r="C283" t="str">
        <x:v>Dried Mango</x:v>
      </x:c>
      <x:c r="D283" t="str">
        <x:v>Dryer 2</x:v>
      </x:c>
      <x:c r="E283" t="str">
        <x:v>Sup 1</x:v>
      </x:c>
      <x:c r="F283" t="n">
        <x:v>480</x:v>
      </x:c>
      <x:c r="G283" t="n">
        <x:v>30</x:v>
      </x:c>
      <x:c r="H283" t="n">
        <x:v>27</x:v>
      </x:c>
      <x:c r="I283" t="n">
        <x:v>1704</x:v>
      </x:c>
      <x:c r="J283" t="n">
        <x:v>1520</x:v>
      </x:c>
      <x:c r="K283" t="n">
        <x:v>53</x:v>
      </x:c>
      <x:c r="L283" t="n">
        <x:v>24</x:v>
      </x:c>
      <x:c r="M283" t="n">
        <x:v>91.5</x:v>
      </x:c>
      <x:c r="N283" t="n">
        <x:v>86.8</x:v>
      </x:c>
      <x:c r="O283" t="n">
        <x:v>73.2</x:v>
      </x:c>
      <x:c r="P283" t="n">
        <x:v>2</x:v>
      </x:c>
      <x:c r="Q283" t="str">
        <x:v>First aid</x:v>
      </x:c>
      <x:c r="R283" t="str">
        <x:v>In progress</x:v>
      </x:c>
      <x:c r="S283" t="str">
        <x:v>Corrective</x:v>
      </x:c>
      <x:c r="T283" t="n">
        <x:v>1.39</x:v>
      </x:c>
      <x:c r="U283" t="n">
        <x:v>13.4</x:v>
      </x:c>
    </x:row>
    <x:row r="284">
      <x:c r="A284" s="12" t="n">
        <x:v>46121</x:v>
      </x:c>
      <x:c r="B284" t="str">
        <x:v>A</x:v>
      </x:c>
      <x:c r="C284" t="str">
        <x:v>Dried Mango</x:v>
      </x:c>
      <x:c r="D284" t="str">
        <x:v>Dryer 3</x:v>
      </x:c>
      <x:c r="E284" t="str">
        <x:v>Sup 2</x:v>
      </x:c>
      <x:c r="F284" t="n">
        <x:v>420</x:v>
      </x:c>
      <x:c r="G284" t="n">
        <x:v>0</x:v>
      </x:c>
      <x:c r="H284" t="n">
        <x:v>81</x:v>
      </x:c>
      <x:c r="I284" t="n">
        <x:v>1523</x:v>
      </x:c>
      <x:c r="J284" t="n">
        <x:v>1250</x:v>
      </x:c>
      <x:c r="K284" t="n">
        <x:v>69</x:v>
      </x:c>
      <x:c r="L284" t="n">
        <x:v>30</x:v>
      </x:c>
      <x:c r="M284" t="n">
        <x:v>100</x:v>
      </x:c>
      <x:c r="N284" t="n">
        <x:v>91.2</x:v>
      </x:c>
      <x:c r="O284" t="n">
        <x:v>80.7</x:v>
      </x:c>
      <x:c r="P284" t="n">
        <x:v>0</x:v>
      </x:c>
      <x:c r="Q284" t="str">
        <x:v>No incident</x:v>
      </x:c>
      <x:c r="R284" t="str">
        <x:v>N/A</x:v>
      </x:c>
      <x:c r="S284" t="str">
        <x:v>Inspection</x:v>
      </x:c>
      <x:c r="T284" t="n">
        <x:v>0.75</x:v>
      </x:c>
      <x:c r="U284" t="n">
        <x:v>10.8</x:v>
      </x:c>
    </x:row>
    <x:row r="285">
      <x:c r="A285" s="12" t="n">
        <x:v>46121</x:v>
      </x:c>
      <x:c r="B285" t="str">
        <x:v>B</x:v>
      </x:c>
      <x:c r="C285" t="str">
        <x:v>Dried Mango</x:v>
      </x:c>
      <x:c r="D285" t="str">
        <x:v>Dryer 3</x:v>
      </x:c>
      <x:c r="E285" t="str">
        <x:v>Sup 3</x:v>
      </x:c>
      <x:c r="F285" t="n">
        <x:v>450</x:v>
      </x:c>
      <x:c r="G285" t="n">
        <x:v>30</x:v>
      </x:c>
      <x:c r="H285" t="n">
        <x:v>60</x:v>
      </x:c>
      <x:c r="I285" t="n">
        <x:v>1748</x:v>
      </x:c>
      <x:c r="J285" t="n">
        <x:v>1496</x:v>
      </x:c>
      <x:c r="K285" t="n">
        <x:v>63</x:v>
      </x:c>
      <x:c r="L285" t="n">
        <x:v>40</x:v>
      </x:c>
      <x:c r="M285" t="n">
        <x:v>87.9</x:v>
      </x:c>
      <x:c r="N285" t="n">
        <x:v>73.8</x:v>
      </x:c>
      <x:c r="O285" t="n">
        <x:v>84.3</x:v>
      </x:c>
      <x:c r="P285" t="n">
        <x:v>3</x:v>
      </x:c>
      <x:c r="Q285" t="str">
        <x:v>Near miss</x:v>
      </x:c>
      <x:c r="R285" t="str">
        <x:v>Closed</x:v>
      </x:c>
      <x:c r="S285" t="str">
        <x:v>Corrective</x:v>
      </x:c>
      <x:c r="T285" t="n">
        <x:v>1.57</x:v>
      </x:c>
      <x:c r="U285" t="n">
        <x:v>13.1</x:v>
      </x:c>
    </x:row>
    <x:row r="286">
      <x:c r="A286" s="12" t="n">
        <x:v>46121</x:v>
      </x:c>
      <x:c r="B286" t="str">
        <x:v>C</x:v>
      </x:c>
      <x:c r="C286" t="str">
        <x:v>Dried Pineapple</x:v>
      </x:c>
      <x:c r="D286" t="str">
        <x:v>Dryer 1</x:v>
      </x:c>
      <x:c r="E286" t="str">
        <x:v>Sup 1</x:v>
      </x:c>
      <x:c r="F286" t="n">
        <x:v>420</x:v>
      </x:c>
      <x:c r="G286" t="n">
        <x:v>30</x:v>
      </x:c>
      <x:c r="H286" t="n">
        <x:v>57</x:v>
      </x:c>
      <x:c r="I286" t="n">
        <x:v>1858</x:v>
      </x:c>
      <x:c r="J286" t="n">
        <x:v>1470</x:v>
      </x:c>
      <x:c r="K286" t="n">
        <x:v>52</x:v>
      </x:c>
      <x:c r="L286" t="n">
        <x:v>18</x:v>
      </x:c>
      <x:c r="M286" t="n">
        <x:v>87.6</x:v>
      </x:c>
      <x:c r="N286" t="n">
        <x:v>78.5</x:v>
      </x:c>
      <x:c r="O286" t="n">
        <x:v>78.6</x:v>
      </x:c>
      <x:c r="P286" t="n">
        <x:v>3</x:v>
      </x:c>
      <x:c r="Q286" t="str">
        <x:v>No incident</x:v>
      </x:c>
      <x:c r="R286" t="str">
        <x:v>N/A</x:v>
      </x:c>
      <x:c r="S286" t="str">
        <x:v>Inspection</x:v>
      </x:c>
      <x:c r="T286" t="n">
        <x:v>0.5</x:v>
      </x:c>
      <x:c r="U286" t="n">
        <x:v>12.5</x:v>
      </x:c>
    </x:row>
    <x:row r="287">
      <x:c r="A287" s="12" t="n">
        <x:v>46122</x:v>
      </x:c>
      <x:c r="B287" t="str">
        <x:v>A</x:v>
      </x:c>
      <x:c r="C287" t="str">
        <x:v>Desiccated Coconut</x:v>
      </x:c>
      <x:c r="D287" t="str">
        <x:v>Dryer 4</x:v>
      </x:c>
      <x:c r="E287" t="str">
        <x:v>Sup 3</x:v>
      </x:c>
      <x:c r="F287" t="n">
        <x:v>420</x:v>
      </x:c>
      <x:c r="G287" t="n">
        <x:v>30</x:v>
      </x:c>
      <x:c r="H287" t="n">
        <x:v>64</x:v>
      </x:c>
      <x:c r="I287" t="n">
        <x:v>1180</x:v>
      </x:c>
      <x:c r="J287" t="n">
        <x:v>988</x:v>
      </x:c>
      <x:c r="K287" t="n">
        <x:v>30</x:v>
      </x:c>
      <x:c r="L287" t="n">
        <x:v>8</x:v>
      </x:c>
      <x:c r="M287" t="n">
        <x:v>87.5</x:v>
      </x:c>
      <x:c r="N287" t="n">
        <x:v>82.8</x:v>
      </x:c>
      <x:c r="O287" t="n">
        <x:v>63.7</x:v>
      </x:c>
      <x:c r="P287" t="n">
        <x:v>1</x:v>
      </x:c>
      <x:c r="Q287" t="str">
        <x:v>No incident</x:v>
      </x:c>
      <x:c r="R287" t="str">
        <x:v>N/A</x:v>
      </x:c>
      <x:c r="S287" t="str">
        <x:v>Corrective</x:v>
      </x:c>
      <x:c r="T287" t="n">
        <x:v>1.94</x:v>
      </x:c>
      <x:c r="U287" t="n">
        <x:v>8.5</x:v>
      </x:c>
    </x:row>
    <x:row r="288">
      <x:c r="A288" s="12" t="n">
        <x:v>46122</x:v>
      </x:c>
      <x:c r="B288" t="str">
        <x:v>B</x:v>
      </x:c>
      <x:c r="C288" t="str">
        <x:v>Desiccated Coconut</x:v>
      </x:c>
      <x:c r="D288" t="str">
        <x:v>Dryer 2</x:v>
      </x:c>
      <x:c r="E288" t="str">
        <x:v>Sup 3</x:v>
      </x:c>
      <x:c r="F288" t="n">
        <x:v>450</x:v>
      </x:c>
      <x:c r="G288" t="n">
        <x:v>20</x:v>
      </x:c>
      <x:c r="H288" t="n">
        <x:v>39</x:v>
      </x:c>
      <x:c r="I288" t="n">
        <x:v>1184</x:v>
      </x:c>
      <x:c r="J288" t="n">
        <x:v>1027</x:v>
      </x:c>
      <x:c r="K288" t="n">
        <x:v>21</x:v>
      </x:c>
      <x:c r="L288" t="n">
        <x:v>4</x:v>
      </x:c>
      <x:c r="M288" t="n">
        <x:v>89.8</x:v>
      </x:c>
      <x:c r="N288" t="n">
        <x:v>74.7</x:v>
      </x:c>
      <x:c r="O288" t="n">
        <x:v>67.3</x:v>
      </x:c>
      <x:c r="P288" t="n">
        <x:v>4</x:v>
      </x:c>
      <x:c r="Q288" t="str">
        <x:v>No incident</x:v>
      </x:c>
      <x:c r="R288" t="str">
        <x:v>N/A</x:v>
      </x:c>
      <x:c r="S288" t="str">
        <x:v>Inspection</x:v>
      </x:c>
      <x:c r="T288" t="n">
        <x:v>0.5</x:v>
      </x:c>
      <x:c r="U288" t="n">
        <x:v>8.9</x:v>
      </x:c>
    </x:row>
    <x:row r="289">
      <x:c r="A289" s="12" t="n">
        <x:v>46122</x:v>
      </x:c>
      <x:c r="B289" t="str">
        <x:v>C</x:v>
      </x:c>
      <x:c r="C289" t="str">
        <x:v>Dried Mango</x:v>
      </x:c>
      <x:c r="D289" t="str">
        <x:v>Dryer 3</x:v>
      </x:c>
      <x:c r="E289" t="str">
        <x:v>Sup 2</x:v>
      </x:c>
      <x:c r="F289" t="n">
        <x:v>450</x:v>
      </x:c>
      <x:c r="G289" t="n">
        <x:v>30</x:v>
      </x:c>
      <x:c r="H289" t="n">
        <x:v>57</x:v>
      </x:c>
      <x:c r="I289" t="n">
        <x:v>1681</x:v>
      </x:c>
      <x:c r="J289" t="n">
        <x:v>1309</x:v>
      </x:c>
      <x:c r="K289" t="n">
        <x:v>60</x:v>
      </x:c>
      <x:c r="L289" t="n">
        <x:v>12</x:v>
      </x:c>
      <x:c r="M289" t="n">
        <x:v>89.3</x:v>
      </x:c>
      <x:c r="N289" t="n">
        <x:v>66.6</x:v>
      </x:c>
      <x:c r="O289" t="n">
        <x:v>69.7</x:v>
      </x:c>
      <x:c r="P289" t="n">
        <x:v>3</x:v>
      </x:c>
      <x:c r="Q289" t="str">
        <x:v>No incident</x:v>
      </x:c>
      <x:c r="R289" t="str">
        <x:v>N/A</x:v>
      </x:c>
      <x:c r="S289" t="str">
        <x:v>Preventive</x:v>
      </x:c>
      <x:c r="T289" t="n">
        <x:v>1.05</x:v>
      </x:c>
      <x:c r="U289" t="n">
        <x:v>10.8</x:v>
      </x:c>
    </x:row>
    <x:row r="290">
      <x:c r="A290" s="12" t="n">
        <x:v>46123</x:v>
      </x:c>
      <x:c r="B290" t="str">
        <x:v>A</x:v>
      </x:c>
      <x:c r="C290" t="str">
        <x:v>Dried Pineapple</x:v>
      </x:c>
      <x:c r="D290" t="str">
        <x:v>Dryer 1</x:v>
      </x:c>
      <x:c r="E290" t="str">
        <x:v>Sup 3</x:v>
      </x:c>
      <x:c r="F290" t="n">
        <x:v>450</x:v>
      </x:c>
      <x:c r="G290" t="n">
        <x:v>40</x:v>
      </x:c>
      <x:c r="H290" t="n">
        <x:v>22</x:v>
      </x:c>
      <x:c r="I290" t="n">
        <x:v>1877</x:v>
      </x:c>
      <x:c r="J290" t="n">
        <x:v>1670</x:v>
      </x:c>
      <x:c r="K290" t="n">
        <x:v>59</x:v>
      </x:c>
      <x:c r="L290" t="n">
        <x:v>40</x:v>
      </x:c>
      <x:c r="M290" t="n">
        <x:v>95.7</x:v>
      </x:c>
      <x:c r="N290" t="n">
        <x:v>85.6</x:v>
      </x:c>
      <x:c r="O290" t="n">
        <x:v>69.2</x:v>
      </x:c>
      <x:c r="P290" t="n">
        <x:v>1</x:v>
      </x:c>
      <x:c r="Q290" t="str">
        <x:v>No incident</x:v>
      </x:c>
      <x:c r="R290" t="str">
        <x:v>N/A</x:v>
      </x:c>
      <x:c r="S290" t="str">
        <x:v>Corrective</x:v>
      </x:c>
      <x:c r="T290" t="n">
        <x:v>1.73</x:v>
      </x:c>
      <x:c r="U290" t="n">
        <x:v>15</x:v>
      </x:c>
    </x:row>
    <x:row r="291">
      <x:c r="A291" s="12" t="n">
        <x:v>46123</x:v>
      </x:c>
      <x:c r="B291" t="str">
        <x:v>B</x:v>
      </x:c>
      <x:c r="C291" t="str">
        <x:v>Desiccated Coconut</x:v>
      </x:c>
      <x:c r="D291" t="str">
        <x:v>Dryer 3</x:v>
      </x:c>
      <x:c r="E291" t="str">
        <x:v>Sup 2</x:v>
      </x:c>
      <x:c r="F291" t="n">
        <x:v>420</x:v>
      </x:c>
      <x:c r="G291" t="n">
        <x:v>0</x:v>
      </x:c>
      <x:c r="H291" t="n">
        <x:v>63</x:v>
      </x:c>
      <x:c r="I291" t="n">
        <x:v>1171</x:v>
      </x:c>
      <x:c r="J291" t="n">
        <x:v>1014</x:v>
      </x:c>
      <x:c r="K291" t="n">
        <x:v>48</x:v>
      </x:c>
      <x:c r="L291" t="n">
        <x:v>30</x:v>
      </x:c>
      <x:c r="M291" t="n">
        <x:v>84.8</x:v>
      </x:c>
      <x:c r="N291" t="n">
        <x:v>77.8</x:v>
      </x:c>
      <x:c r="O291" t="n">
        <x:v>81.7</x:v>
      </x:c>
      <x:c r="P291" t="n">
        <x:v>2</x:v>
      </x:c>
      <x:c r="Q291" t="str">
        <x:v>Near miss</x:v>
      </x:c>
      <x:c r="R291" t="str">
        <x:v>Closed</x:v>
      </x:c>
      <x:c r="S291" t="str">
        <x:v>Preventive</x:v>
      </x:c>
      <x:c r="T291" t="n">
        <x:v>0.5</x:v>
      </x:c>
      <x:c r="U291" t="n">
        <x:v>8.9</x:v>
      </x:c>
    </x:row>
    <x:row r="292">
      <x:c r="A292" s="12" t="n">
        <x:v>46123</x:v>
      </x:c>
      <x:c r="B292" t="str">
        <x:v>C</x:v>
      </x:c>
      <x:c r="C292" t="str">
        <x:v>Desiccated Coconut</x:v>
      </x:c>
      <x:c r="D292" t="str">
        <x:v>Dryer 3</x:v>
      </x:c>
      <x:c r="E292" t="str">
        <x:v>Sup 3</x:v>
      </x:c>
      <x:c r="F292" t="n">
        <x:v>420</x:v>
      </x:c>
      <x:c r="G292" t="n">
        <x:v>0</x:v>
      </x:c>
      <x:c r="H292" t="n">
        <x:v>89</x:v>
      </x:c>
      <x:c r="I292" t="n">
        <x:v>1195</x:v>
      </x:c>
      <x:c r="J292" t="n">
        <x:v>953</x:v>
      </x:c>
      <x:c r="K292" t="n">
        <x:v>46</x:v>
      </x:c>
      <x:c r="L292" t="n">
        <x:v>23</x:v>
      </x:c>
      <x:c r="M292" t="n">
        <x:v>99.3</x:v>
      </x:c>
      <x:c r="N292" t="n">
        <x:v>58</x:v>
      </x:c>
      <x:c r="O292" t="n">
        <x:v>68</x:v>
      </x:c>
      <x:c r="P292" t="n">
        <x:v>3</x:v>
      </x:c>
      <x:c r="Q292" t="str">
        <x:v>No incident</x:v>
      </x:c>
      <x:c r="R292" t="str">
        <x:v>N/A</x:v>
      </x:c>
      <x:c r="S292" t="str">
        <x:v>Preventive</x:v>
      </x:c>
      <x:c r="T292" t="n">
        <x:v>1.21</x:v>
      </x:c>
      <x:c r="U292" t="n">
        <x:v>7.3</x:v>
      </x:c>
    </x:row>
    <x:row r="293">
      <x:c r="A293" s="12" t="n">
        <x:v>46124</x:v>
      </x:c>
      <x:c r="B293" t="str">
        <x:v>A</x:v>
      </x:c>
      <x:c r="C293" t="str">
        <x:v>Desiccated Coconut</x:v>
      </x:c>
      <x:c r="D293" t="str">
        <x:v>Dryer 2</x:v>
      </x:c>
      <x:c r="E293" t="str">
        <x:v>Sup 2</x:v>
      </x:c>
      <x:c r="F293" t="n">
        <x:v>450</x:v>
      </x:c>
      <x:c r="G293" t="n">
        <x:v>20</x:v>
      </x:c>
      <x:c r="H293" t="n">
        <x:v>25</x:v>
      </x:c>
      <x:c r="I293" t="n">
        <x:v>1226</x:v>
      </x:c>
      <x:c r="J293" t="n">
        <x:v>1102</x:v>
      </x:c>
      <x:c r="K293" t="n">
        <x:v>24</x:v>
      </x:c>
      <x:c r="L293" t="n">
        <x:v>7</x:v>
      </x:c>
      <x:c r="M293" t="n">
        <x:v>88.8</x:v>
      </x:c>
      <x:c r="N293" t="n">
        <x:v>79</x:v>
      </x:c>
      <x:c r="O293" t="n">
        <x:v>81.7</x:v>
      </x:c>
      <x:c r="P293" t="n">
        <x:v>3</x:v>
      </x:c>
      <x:c r="Q293" t="str">
        <x:v>No incident</x:v>
      </x:c>
      <x:c r="R293" t="str">
        <x:v>N/A</x:v>
      </x:c>
      <x:c r="S293" t="str">
        <x:v>Inspection</x:v>
      </x:c>
      <x:c r="T293" t="n">
        <x:v>0.84</x:v>
      </x:c>
      <x:c r="U293" t="n">
        <x:v>8.4</x:v>
      </x:c>
    </x:row>
    <x:row r="294">
      <x:c r="A294" s="12" t="n">
        <x:v>46124</x:v>
      </x:c>
      <x:c r="B294" t="str">
        <x:v>B</x:v>
      </x:c>
      <x:c r="C294" t="str">
        <x:v>Desiccated Coconut</x:v>
      </x:c>
      <x:c r="D294" t="str">
        <x:v>Dryer 2</x:v>
      </x:c>
      <x:c r="E294" t="str">
        <x:v>Sup 2</x:v>
      </x:c>
      <x:c r="F294" t="n">
        <x:v>420</x:v>
      </x:c>
      <x:c r="G294" t="n">
        <x:v>20</x:v>
      </x:c>
      <x:c r="H294" t="n">
        <x:v>49</x:v>
      </x:c>
      <x:c r="I294" t="n">
        <x:v>1186</x:v>
      </x:c>
      <x:c r="J294" t="n">
        <x:v>963</x:v>
      </x:c>
      <x:c r="K294" t="n">
        <x:v>31</x:v>
      </x:c>
      <x:c r="L294" t="n">
        <x:v>19</x:v>
      </x:c>
      <x:c r="M294" t="n">
        <x:v>95.3</x:v>
      </x:c>
      <x:c r="N294" t="n">
        <x:v>92.4</x:v>
      </x:c>
      <x:c r="O294" t="n">
        <x:v>72.3</x:v>
      </x:c>
      <x:c r="P294" t="n">
        <x:v>2</x:v>
      </x:c>
      <x:c r="Q294" t="str">
        <x:v>No incident</x:v>
      </x:c>
      <x:c r="R294" t="str">
        <x:v>N/A</x:v>
      </x:c>
      <x:c r="S294" t="str">
        <x:v>Inspection</x:v>
      </x:c>
      <x:c r="T294" t="n">
        <x:v>1.18</x:v>
      </x:c>
      <x:c r="U294" t="n">
        <x:v>8.8</x:v>
      </x:c>
    </x:row>
    <x:row r="295">
      <x:c r="A295" s="12" t="n">
        <x:v>46124</x:v>
      </x:c>
      <x:c r="B295" t="str">
        <x:v>C</x:v>
      </x:c>
      <x:c r="C295" t="str">
        <x:v>Dried Pineapple</x:v>
      </x:c>
      <x:c r="D295" t="str">
        <x:v>Dryer 4</x:v>
      </x:c>
      <x:c r="E295" t="str">
        <x:v>Sup 2</x:v>
      </x:c>
      <x:c r="F295" t="n">
        <x:v>450</x:v>
      </x:c>
      <x:c r="G295" t="n">
        <x:v>20</x:v>
      </x:c>
      <x:c r="H295" t="n">
        <x:v>49</x:v>
      </x:c>
      <x:c r="I295" t="n">
        <x:v>1660</x:v>
      </x:c>
      <x:c r="J295" t="n">
        <x:v>1471</x:v>
      </x:c>
      <x:c r="K295" t="n">
        <x:v>56</x:v>
      </x:c>
      <x:c r="L295" t="n">
        <x:v>24</x:v>
      </x:c>
      <x:c r="M295" t="n">
        <x:v>92.2</x:v>
      </x:c>
      <x:c r="N295" t="n">
        <x:v>63.4</x:v>
      </x:c>
      <x:c r="O295" t="n">
        <x:v>71.6</x:v>
      </x:c>
      <x:c r="P295" t="n">
        <x:v>0</x:v>
      </x:c>
      <x:c r="Q295" t="str">
        <x:v>No incident</x:v>
      </x:c>
      <x:c r="R295" t="str">
        <x:v>N/A</x:v>
      </x:c>
      <x:c r="S295" t="str">
        <x:v>Corrective</x:v>
      </x:c>
      <x:c r="T295" t="n">
        <x:v>0.86</x:v>
      </x:c>
      <x:c r="U295" t="n">
        <x:v>11.9</x:v>
      </x:c>
    </x:row>
    <x:row r="296">
      <x:c r="A296" s="12" t="n">
        <x:v>46125</x:v>
      </x:c>
      <x:c r="B296" t="str">
        <x:v>A</x:v>
      </x:c>
      <x:c r="C296" t="str">
        <x:v>Dried Mango</x:v>
      </x:c>
      <x:c r="D296" t="str">
        <x:v>Dryer 3</x:v>
      </x:c>
      <x:c r="E296" t="str">
        <x:v>Sup 1</x:v>
      </x:c>
      <x:c r="F296" t="n">
        <x:v>420</x:v>
      </x:c>
      <x:c r="G296" t="n">
        <x:v>20</x:v>
      </x:c>
      <x:c r="H296" t="n">
        <x:v>74</x:v>
      </x:c>
      <x:c r="I296" t="n">
        <x:v>1551</x:v>
      </x:c>
      <x:c r="J296" t="n">
        <x:v>1152</x:v>
      </x:c>
      <x:c r="K296" t="n">
        <x:v>64</x:v>
      </x:c>
      <x:c r="L296" t="n">
        <x:v>36</x:v>
      </x:c>
      <x:c r="M296" t="n">
        <x:v>99.8</x:v>
      </x:c>
      <x:c r="N296" t="n">
        <x:v>79.1</x:v>
      </x:c>
      <x:c r="O296" t="n">
        <x:v>67.3</x:v>
      </x:c>
      <x:c r="P296" t="n">
        <x:v>2</x:v>
      </x:c>
      <x:c r="Q296" t="str">
        <x:v>No incident</x:v>
      </x:c>
      <x:c r="R296" t="str">
        <x:v>N/A</x:v>
      </x:c>
      <x:c r="S296" t="str">
        <x:v>Corrective</x:v>
      </x:c>
      <x:c r="T296" t="n">
        <x:v>1.72</x:v>
      </x:c>
      <x:c r="U296" t="n">
        <x:v>8.7</x:v>
      </x:c>
    </x:row>
    <x:row r="297">
      <x:c r="A297" s="12" t="n">
        <x:v>46125</x:v>
      </x:c>
      <x:c r="B297" t="str">
        <x:v>B</x:v>
      </x:c>
      <x:c r="C297" t="str">
        <x:v>Dried Pineapple</x:v>
      </x:c>
      <x:c r="D297" t="str">
        <x:v>Dryer 4</x:v>
      </x:c>
      <x:c r="E297" t="str">
        <x:v>Sup 2</x:v>
      </x:c>
      <x:c r="F297" t="n">
        <x:v>450</x:v>
      </x:c>
      <x:c r="G297" t="n">
        <x:v>30</x:v>
      </x:c>
      <x:c r="H297" t="n">
        <x:v>65</x:v>
      </x:c>
      <x:c r="I297" t="n">
        <x:v>1881</x:v>
      </x:c>
      <x:c r="J297" t="n">
        <x:v>1403</x:v>
      </x:c>
      <x:c r="K297" t="n">
        <x:v>34</x:v>
      </x:c>
      <x:c r="L297" t="n">
        <x:v>17</x:v>
      </x:c>
      <x:c r="M297" t="n">
        <x:v>90.8</x:v>
      </x:c>
      <x:c r="N297" t="n">
        <x:v>65.1</x:v>
      </x:c>
      <x:c r="O297" t="n">
        <x:v>75.4</x:v>
      </x:c>
      <x:c r="P297" t="n">
        <x:v>4</x:v>
      </x:c>
      <x:c r="Q297" t="str">
        <x:v>No incident</x:v>
      </x:c>
      <x:c r="R297" t="str">
        <x:v>N/A</x:v>
      </x:c>
      <x:c r="S297" t="str">
        <x:v>Preventive</x:v>
      </x:c>
      <x:c r="T297" t="n">
        <x:v>0.83</x:v>
      </x:c>
      <x:c r="U297" t="n">
        <x:v>12.1</x:v>
      </x:c>
    </x:row>
    <x:row r="298">
      <x:c r="A298" s="12" t="n">
        <x:v>46125</x:v>
      </x:c>
      <x:c r="B298" t="str">
        <x:v>C</x:v>
      </x:c>
      <x:c r="C298" t="str">
        <x:v>Dried Pineapple</x:v>
      </x:c>
      <x:c r="D298" t="str">
        <x:v>Dryer 1</x:v>
      </x:c>
      <x:c r="E298" t="str">
        <x:v>Sup 3</x:v>
      </x:c>
      <x:c r="F298" t="n">
        <x:v>480</x:v>
      </x:c>
      <x:c r="G298" t="n">
        <x:v>40</x:v>
      </x:c>
      <x:c r="H298" t="n">
        <x:v>27</x:v>
      </x:c>
      <x:c r="I298" t="n">
        <x:v>1669</x:v>
      </x:c>
      <x:c r="J298" t="n">
        <x:v>1543</x:v>
      </x:c>
      <x:c r="K298" t="n">
        <x:v>64</x:v>
      </x:c>
      <x:c r="L298" t="n">
        <x:v>19</x:v>
      </x:c>
      <x:c r="M298" t="n">
        <x:v>92.3</x:v>
      </x:c>
      <x:c r="N298" t="n">
        <x:v>61.6</x:v>
      </x:c>
      <x:c r="O298" t="n">
        <x:v>65.4</x:v>
      </x:c>
      <x:c r="P298" t="n">
        <x:v>3</x:v>
      </x:c>
      <x:c r="Q298" t="str">
        <x:v>No incident</x:v>
      </x:c>
      <x:c r="R298" t="str">
        <x:v>N/A</x:v>
      </x:c>
      <x:c r="S298" t="str">
        <x:v>Corrective</x:v>
      </x:c>
      <x:c r="T298" t="n">
        <x:v>0.96</x:v>
      </x:c>
      <x:c r="U298" t="n">
        <x:v>12.3</x:v>
      </x:c>
    </x:row>
    <x:row r="299">
      <x:c r="A299" s="12" t="n">
        <x:v>46126</x:v>
      </x:c>
      <x:c r="B299" t="str">
        <x:v>A</x:v>
      </x:c>
      <x:c r="C299" t="str">
        <x:v>Dried Pineapple</x:v>
      </x:c>
      <x:c r="D299" t="str">
        <x:v>Dryer 1</x:v>
      </x:c>
      <x:c r="E299" t="str">
        <x:v>Sup 2</x:v>
      </x:c>
      <x:c r="F299" t="n">
        <x:v>450</x:v>
      </x:c>
      <x:c r="G299" t="n">
        <x:v>30</x:v>
      </x:c>
      <x:c r="H299" t="n">
        <x:v>30</x:v>
      </x:c>
      <x:c r="I299" t="n">
        <x:v>1692</x:v>
      </x:c>
      <x:c r="J299" t="n">
        <x:v>1404</x:v>
      </x:c>
      <x:c r="K299" t="n">
        <x:v>53</x:v>
      </x:c>
      <x:c r="L299" t="n">
        <x:v>23</x:v>
      </x:c>
      <x:c r="M299" t="n">
        <x:v>89.2</x:v>
      </x:c>
      <x:c r="N299" t="n">
        <x:v>80.2</x:v>
      </x:c>
      <x:c r="O299" t="n">
        <x:v>89</x:v>
      </x:c>
      <x:c r="P299" t="n">
        <x:v>5</x:v>
      </x:c>
      <x:c r="Q299" t="str">
        <x:v>No incident</x:v>
      </x:c>
      <x:c r="R299" t="str">
        <x:v>N/A</x:v>
      </x:c>
      <x:c r="S299" t="str">
        <x:v>Corrective</x:v>
      </x:c>
      <x:c r="T299" t="n">
        <x:v>1.42</x:v>
      </x:c>
      <x:c r="U299" t="n">
        <x:v>12.8</x:v>
      </x:c>
    </x:row>
    <x:row r="300">
      <x:c r="A300" s="12" t="n">
        <x:v>46126</x:v>
      </x:c>
      <x:c r="B300" t="str">
        <x:v>B</x:v>
      </x:c>
      <x:c r="C300" t="str">
        <x:v>Dried Mango</x:v>
      </x:c>
      <x:c r="D300" t="str">
        <x:v>Dryer 3</x:v>
      </x:c>
      <x:c r="E300" t="str">
        <x:v>Sup 3</x:v>
      </x:c>
      <x:c r="F300" t="n">
        <x:v>480</x:v>
      </x:c>
      <x:c r="G300" t="n">
        <x:v>20</x:v>
      </x:c>
      <x:c r="H300" t="n">
        <x:v>47</x:v>
      </x:c>
      <x:c r="I300" t="n">
        <x:v>1673</x:v>
      </x:c>
      <x:c r="J300" t="n">
        <x:v>1501</x:v>
      </x:c>
      <x:c r="K300" t="n">
        <x:v>73</x:v>
      </x:c>
      <x:c r="L300" t="n">
        <x:v>27</x:v>
      </x:c>
      <x:c r="M300" t="n">
        <x:v>91.2</x:v>
      </x:c>
      <x:c r="N300" t="n">
        <x:v>76.1</x:v>
      </x:c>
      <x:c r="O300" t="n">
        <x:v>58.7</x:v>
      </x:c>
      <x:c r="P300" t="n">
        <x:v>1</x:v>
      </x:c>
      <x:c r="Q300" t="str">
        <x:v>No incident</x:v>
      </x:c>
      <x:c r="R300" t="str">
        <x:v>N/A</x:v>
      </x:c>
      <x:c r="S300" t="str">
        <x:v>Preventive</x:v>
      </x:c>
      <x:c r="T300" t="n">
        <x:v>1.39</x:v>
      </x:c>
      <x:c r="U300" t="n">
        <x:v>13.7</x:v>
      </x:c>
    </x:row>
    <x:row r="301">
      <x:c r="A301" s="12" t="n">
        <x:v>46126</x:v>
      </x:c>
      <x:c r="B301" t="str">
        <x:v>C</x:v>
      </x:c>
      <x:c r="C301" t="str">
        <x:v>Dried Mango</x:v>
      </x:c>
      <x:c r="D301" t="str">
        <x:v>Dryer 4</x:v>
      </x:c>
      <x:c r="E301" t="str">
        <x:v>Sup 3</x:v>
      </x:c>
      <x:c r="F301" t="n">
        <x:v>450</x:v>
      </x:c>
      <x:c r="G301" t="n">
        <x:v>40</x:v>
      </x:c>
      <x:c r="H301" t="n">
        <x:v>53</x:v>
      </x:c>
      <x:c r="I301" t="n">
        <x:v>1768</x:v>
      </x:c>
      <x:c r="J301" t="n">
        <x:v>1420</x:v>
      </x:c>
      <x:c r="K301" t="n">
        <x:v>48</x:v>
      </x:c>
      <x:c r="L301" t="n">
        <x:v>9</x:v>
      </x:c>
      <x:c r="M301" t="n">
        <x:v>99.6</x:v>
      </x:c>
      <x:c r="N301" t="n">
        <x:v>55</x:v>
      </x:c>
      <x:c r="O301" t="n">
        <x:v>72.4</x:v>
      </x:c>
      <x:c r="P301" t="n">
        <x:v>2</x:v>
      </x:c>
      <x:c r="Q301" t="str">
        <x:v>No incident</x:v>
      </x:c>
      <x:c r="R301" t="str">
        <x:v>N/A</x:v>
      </x:c>
      <x:c r="S301" t="str">
        <x:v>Preventive</x:v>
      </x:c>
      <x:c r="T301" t="n">
        <x:v>1.16</x:v>
      </x:c>
      <x:c r="U301" t="n">
        <x:v>11.6</x:v>
      </x:c>
    </x:row>
    <x:row r="302">
      <x:c r="A302" s="12" t="n">
        <x:v>46127</x:v>
      </x:c>
      <x:c r="B302" t="str">
        <x:v>A</x:v>
      </x:c>
      <x:c r="C302" t="str">
        <x:v>Dried Pineapple</x:v>
      </x:c>
      <x:c r="D302" t="str">
        <x:v>Dryer 3</x:v>
      </x:c>
      <x:c r="E302" t="str">
        <x:v>Sup 3</x:v>
      </x:c>
      <x:c r="F302" t="n">
        <x:v>420</x:v>
      </x:c>
      <x:c r="G302" t="n">
        <x:v>40</x:v>
      </x:c>
      <x:c r="H302" t="n">
        <x:v>54</x:v>
      </x:c>
      <x:c r="I302" t="n">
        <x:v>1714</x:v>
      </x:c>
      <x:c r="J302" t="n">
        <x:v>1409</x:v>
      </x:c>
      <x:c r="K302" t="n">
        <x:v>72</x:v>
      </x:c>
      <x:c r="L302" t="n">
        <x:v>44</x:v>
      </x:c>
      <x:c r="M302" t="n">
        <x:v>98</x:v>
      </x:c>
      <x:c r="N302" t="n">
        <x:v>92.2</x:v>
      </x:c>
      <x:c r="O302" t="n">
        <x:v>78.9</x:v>
      </x:c>
      <x:c r="P302" t="n">
        <x:v>0</x:v>
      </x:c>
      <x:c r="Q302" t="str">
        <x:v>No incident</x:v>
      </x:c>
      <x:c r="R302" t="str">
        <x:v>N/A</x:v>
      </x:c>
      <x:c r="S302" t="str">
        <x:v>Inspection</x:v>
      </x:c>
      <x:c r="T302" t="n">
        <x:v>0.5</x:v>
      </x:c>
      <x:c r="U302" t="n">
        <x:v>12.4</x:v>
      </x:c>
    </x:row>
    <x:row r="303">
      <x:c r="A303" s="12" t="n">
        <x:v>46127</x:v>
      </x:c>
      <x:c r="B303" t="str">
        <x:v>B</x:v>
      </x:c>
      <x:c r="C303" t="str">
        <x:v>Dried Pineapple</x:v>
      </x:c>
      <x:c r="D303" t="str">
        <x:v>Dryer 4</x:v>
      </x:c>
      <x:c r="E303" t="str">
        <x:v>Sup 2</x:v>
      </x:c>
      <x:c r="F303" t="n">
        <x:v>450</x:v>
      </x:c>
      <x:c r="G303" t="n">
        <x:v>0</x:v>
      </x:c>
      <x:c r="H303" t="n">
        <x:v>48</x:v>
      </x:c>
      <x:c r="I303" t="n">
        <x:v>1857</x:v>
      </x:c>
      <x:c r="J303" t="n">
        <x:v>1579</x:v>
      </x:c>
      <x:c r="K303" t="n">
        <x:v>61</x:v>
      </x:c>
      <x:c r="L303" t="n">
        <x:v>21</x:v>
      </x:c>
      <x:c r="M303" t="n">
        <x:v>86.3</x:v>
      </x:c>
      <x:c r="N303" t="n">
        <x:v>74.6</x:v>
      </x:c>
      <x:c r="O303" t="n">
        <x:v>86</x:v>
      </x:c>
      <x:c r="P303" t="n">
        <x:v>4</x:v>
      </x:c>
      <x:c r="Q303" t="str">
        <x:v>Near miss</x:v>
      </x:c>
      <x:c r="R303" t="str">
        <x:v>Closed</x:v>
      </x:c>
      <x:c r="S303" t="str">
        <x:v>Preventive</x:v>
      </x:c>
      <x:c r="T303" t="n">
        <x:v>0.58</x:v>
      </x:c>
      <x:c r="U303" t="n">
        <x:v>12.3</x:v>
      </x:c>
    </x:row>
    <x:row r="304">
      <x:c r="A304" s="12" t="n">
        <x:v>46127</x:v>
      </x:c>
      <x:c r="B304" t="str">
        <x:v>C</x:v>
      </x:c>
      <x:c r="C304" t="str">
        <x:v>Dried Pineapple</x:v>
      </x:c>
      <x:c r="D304" t="str">
        <x:v>Dryer 1</x:v>
      </x:c>
      <x:c r="E304" t="str">
        <x:v>Sup 1</x:v>
      </x:c>
      <x:c r="F304" t="n">
        <x:v>450</x:v>
      </x:c>
      <x:c r="G304" t="n">
        <x:v>20</x:v>
      </x:c>
      <x:c r="H304" t="n">
        <x:v>46</x:v>
      </x:c>
      <x:c r="I304" t="n">
        <x:v>1735</x:v>
      </x:c>
      <x:c r="J304" t="n">
        <x:v>1538</x:v>
      </x:c>
      <x:c r="K304" t="n">
        <x:v>53</x:v>
      </x:c>
      <x:c r="L304" t="n">
        <x:v>11</x:v>
      </x:c>
      <x:c r="M304" t="n">
        <x:v>93.9</x:v>
      </x:c>
      <x:c r="N304" t="n">
        <x:v>76.1</x:v>
      </x:c>
      <x:c r="O304" t="n">
        <x:v>81.7</x:v>
      </x:c>
      <x:c r="P304" t="n">
        <x:v>3</x:v>
      </x:c>
      <x:c r="Q304" t="str">
        <x:v>No incident</x:v>
      </x:c>
      <x:c r="R304" t="str">
        <x:v>N/A</x:v>
      </x:c>
      <x:c r="S304" t="str">
        <x:v>Corrective</x:v>
      </x:c>
      <x:c r="T304" t="n">
        <x:v>1.02</x:v>
      </x:c>
      <x:c r="U304" t="n">
        <x:v>12.7</x:v>
      </x:c>
    </x:row>
    <x:row r="305">
      <x:c r="A305" s="12" t="n">
        <x:v>46128</x:v>
      </x:c>
      <x:c r="B305" t="str">
        <x:v>A</x:v>
      </x:c>
      <x:c r="C305" t="str">
        <x:v>Dried Pineapple</x:v>
      </x:c>
      <x:c r="D305" t="str">
        <x:v>Dryer 4</x:v>
      </x:c>
      <x:c r="E305" t="str">
        <x:v>Sup 2</x:v>
      </x:c>
      <x:c r="F305" t="n">
        <x:v>450</x:v>
      </x:c>
      <x:c r="G305" t="n">
        <x:v>30</x:v>
      </x:c>
      <x:c r="H305" t="n">
        <x:v>38</x:v>
      </x:c>
      <x:c r="I305" t="n">
        <x:v>1689</x:v>
      </x:c>
      <x:c r="J305" t="n">
        <x:v>1487</x:v>
      </x:c>
      <x:c r="K305" t="n">
        <x:v>38</x:v>
      </x:c>
      <x:c r="L305" t="n">
        <x:v>22</x:v>
      </x:c>
      <x:c r="M305" t="n">
        <x:v>90.5</x:v>
      </x:c>
      <x:c r="N305" t="n">
        <x:v>89.8</x:v>
      </x:c>
      <x:c r="O305" t="n">
        <x:v>71.8</x:v>
      </x:c>
      <x:c r="P305" t="n">
        <x:v>2</x:v>
      </x:c>
      <x:c r="Q305" t="str">
        <x:v>No incident</x:v>
      </x:c>
      <x:c r="R305" t="str">
        <x:v>N/A</x:v>
      </x:c>
      <x:c r="S305" t="str">
        <x:v>Preventive</x:v>
      </x:c>
      <x:c r="T305" t="n">
        <x:v>1.18</x:v>
      </x:c>
      <x:c r="U305" t="n">
        <x:v>12.8</x:v>
      </x:c>
    </x:row>
    <x:row r="306">
      <x:c r="A306" s="12" t="n">
        <x:v>46128</x:v>
      </x:c>
      <x:c r="B306" t="str">
        <x:v>B</x:v>
      </x:c>
      <x:c r="C306" t="str">
        <x:v>Dried Pineapple</x:v>
      </x:c>
      <x:c r="D306" t="str">
        <x:v>Dryer 2</x:v>
      </x:c>
      <x:c r="E306" t="str">
        <x:v>Sup 2</x:v>
      </x:c>
      <x:c r="F306" t="n">
        <x:v>420</x:v>
      </x:c>
      <x:c r="G306" t="n">
        <x:v>40</x:v>
      </x:c>
      <x:c r="H306" t="n">
        <x:v>28</x:v>
      </x:c>
      <x:c r="I306" t="n">
        <x:v>1770</x:v>
      </x:c>
      <x:c r="J306" t="n">
        <x:v>1681</x:v>
      </x:c>
      <x:c r="K306" t="n">
        <x:v>54</x:v>
      </x:c>
      <x:c r="L306" t="n">
        <x:v>29</x:v>
      </x:c>
      <x:c r="M306" t="n">
        <x:v>91</x:v>
      </x:c>
      <x:c r="N306" t="n">
        <x:v>79.8</x:v>
      </x:c>
      <x:c r="O306" t="n">
        <x:v>74.8</x:v>
      </x:c>
      <x:c r="P306" t="n">
        <x:v>5</x:v>
      </x:c>
      <x:c r="Q306" t="str">
        <x:v>No incident</x:v>
      </x:c>
      <x:c r="R306" t="str">
        <x:v>N/A</x:v>
      </x:c>
      <x:c r="S306" t="str">
        <x:v>Preventive</x:v>
      </x:c>
      <x:c r="T306" t="n">
        <x:v>0.5</x:v>
      </x:c>
      <x:c r="U306" t="n">
        <x:v>14.2</x:v>
      </x:c>
    </x:row>
    <x:row r="307">
      <x:c r="A307" s="12" t="n">
        <x:v>46128</x:v>
      </x:c>
      <x:c r="B307" t="str">
        <x:v>C</x:v>
      </x:c>
      <x:c r="C307" t="str">
        <x:v>Dried Pineapple</x:v>
      </x:c>
      <x:c r="D307" t="str">
        <x:v>Dryer 4</x:v>
      </x:c>
      <x:c r="E307" t="str">
        <x:v>Sup 1</x:v>
      </x:c>
      <x:c r="F307" t="n">
        <x:v>420</x:v>
      </x:c>
      <x:c r="G307" t="n">
        <x:v>0</x:v>
      </x:c>
      <x:c r="H307" t="n">
        <x:v>47</x:v>
      </x:c>
      <x:c r="I307" t="n">
        <x:v>1657</x:v>
      </x:c>
      <x:c r="J307" t="n">
        <x:v>1419</x:v>
      </x:c>
      <x:c r="K307" t="n">
        <x:v>44</x:v>
      </x:c>
      <x:c r="L307" t="n">
        <x:v>23</x:v>
      </x:c>
      <x:c r="M307" t="n">
        <x:v>96</x:v>
      </x:c>
      <x:c r="N307" t="n">
        <x:v>62.4</x:v>
      </x:c>
      <x:c r="O307" t="n">
        <x:v>92.7</x:v>
      </x:c>
      <x:c r="P307" t="n">
        <x:v>1</x:v>
      </x:c>
      <x:c r="Q307" t="str">
        <x:v>No incident</x:v>
      </x:c>
      <x:c r="R307" t="str">
        <x:v>N/A</x:v>
      </x:c>
      <x:c r="S307" t="str">
        <x:v>Preventive</x:v>
      </x:c>
      <x:c r="T307" t="n">
        <x:v>0.5</x:v>
      </x:c>
      <x:c r="U307" t="n">
        <x:v>11.2</x:v>
      </x:c>
    </x:row>
    <x:row r="308">
      <x:c r="A308" s="12" t="n">
        <x:v>46129</x:v>
      </x:c>
      <x:c r="B308" t="str">
        <x:v>A</x:v>
      </x:c>
      <x:c r="C308" t="str">
        <x:v>Dried Pineapple</x:v>
      </x:c>
      <x:c r="D308" t="str">
        <x:v>Dryer 2</x:v>
      </x:c>
      <x:c r="E308" t="str">
        <x:v>Sup 1</x:v>
      </x:c>
      <x:c r="F308" t="n">
        <x:v>450</x:v>
      </x:c>
      <x:c r="G308" t="n">
        <x:v>20</x:v>
      </x:c>
      <x:c r="H308" t="n">
        <x:v>42</x:v>
      </x:c>
      <x:c r="I308" t="n">
        <x:v>1858</x:v>
      </x:c>
      <x:c r="J308" t="n">
        <x:v>1524</x:v>
      </x:c>
      <x:c r="K308" t="n">
        <x:v>51</x:v>
      </x:c>
      <x:c r="L308" t="n">
        <x:v>23</x:v>
      </x:c>
      <x:c r="M308" t="n">
        <x:v>90.7</x:v>
      </x:c>
      <x:c r="N308" t="n">
        <x:v>73.5</x:v>
      </x:c>
      <x:c r="O308" t="n">
        <x:v>71.2</x:v>
      </x:c>
      <x:c r="P308" t="n">
        <x:v>2</x:v>
      </x:c>
      <x:c r="Q308" t="str">
        <x:v>No incident</x:v>
      </x:c>
      <x:c r="R308" t="str">
        <x:v>N/A</x:v>
      </x:c>
      <x:c r="S308" t="str">
        <x:v>Preventive</x:v>
      </x:c>
      <x:c r="T308" t="n">
        <x:v>0.5</x:v>
      </x:c>
      <x:c r="U308" t="n">
        <x:v>12.1</x:v>
      </x:c>
    </x:row>
    <x:row r="309">
      <x:c r="A309" s="12" t="n">
        <x:v>46129</x:v>
      </x:c>
      <x:c r="B309" t="str">
        <x:v>B</x:v>
      </x:c>
      <x:c r="C309" t="str">
        <x:v>Dried Pineapple</x:v>
      </x:c>
      <x:c r="D309" t="str">
        <x:v>Dryer 1</x:v>
      </x:c>
      <x:c r="E309" t="str">
        <x:v>Sup 2</x:v>
      </x:c>
      <x:c r="F309" t="n">
        <x:v>420</x:v>
      </x:c>
      <x:c r="G309" t="n">
        <x:v>30</x:v>
      </x:c>
      <x:c r="H309" t="n">
        <x:v>16</x:v>
      </x:c>
      <x:c r="I309" t="n">
        <x:v>1721</x:v>
      </x:c>
      <x:c r="J309" t="n">
        <x:v>1701</x:v>
      </x:c>
      <x:c r="K309" t="n">
        <x:v>69</x:v>
      </x:c>
      <x:c r="L309" t="n">
        <x:v>27</x:v>
      </x:c>
      <x:c r="M309" t="n">
        <x:v>87.8</x:v>
      </x:c>
      <x:c r="N309" t="n">
        <x:v>82.5</x:v>
      </x:c>
      <x:c r="O309" t="n">
        <x:v>83.5</x:v>
      </x:c>
      <x:c r="P309" t="n">
        <x:v>3</x:v>
      </x:c>
      <x:c r="Q309" t="str">
        <x:v>No incident</x:v>
      </x:c>
      <x:c r="R309" t="str">
        <x:v>N/A</x:v>
      </x:c>
      <x:c r="S309" t="str">
        <x:v>Corrective</x:v>
      </x:c>
      <x:c r="T309" t="n">
        <x:v>1.6</x:v>
      </x:c>
      <x:c r="U309" t="n">
        <x:v>13.6</x:v>
      </x:c>
    </x:row>
    <x:row r="310">
      <x:c r="A310" s="12" t="n">
        <x:v>46129</x:v>
      </x:c>
      <x:c r="B310" t="str">
        <x:v>C</x:v>
      </x:c>
      <x:c r="C310" t="str">
        <x:v>Desiccated Coconut</x:v>
      </x:c>
      <x:c r="D310" t="str">
        <x:v>Dryer 1</x:v>
      </x:c>
      <x:c r="E310" t="str">
        <x:v>Sup 3</x:v>
      </x:c>
      <x:c r="F310" t="n">
        <x:v>420</x:v>
      </x:c>
      <x:c r="G310" t="n">
        <x:v>20</x:v>
      </x:c>
      <x:c r="H310" t="n">
        <x:v>43</x:v>
      </x:c>
      <x:c r="I310" t="n">
        <x:v>1191</x:v>
      </x:c>
      <x:c r="J310" t="n">
        <x:v>964</x:v>
      </x:c>
      <x:c r="K310" t="n">
        <x:v>27</x:v>
      </x:c>
      <x:c r="L310" t="n">
        <x:v>8</x:v>
      </x:c>
      <x:c r="M310" t="n">
        <x:v>89.3</x:v>
      </x:c>
      <x:c r="N310" t="n">
        <x:v>77.2</x:v>
      </x:c>
      <x:c r="O310" t="n">
        <x:v>72.6</x:v>
      </x:c>
      <x:c r="P310" t="n">
        <x:v>4</x:v>
      </x:c>
      <x:c r="Q310" t="str">
        <x:v>No incident</x:v>
      </x:c>
      <x:c r="R310" t="str">
        <x:v>N/A</x:v>
      </x:c>
      <x:c r="S310" t="str">
        <x:v>Inspection</x:v>
      </x:c>
      <x:c r="T310" t="n">
        <x:v>0.81</x:v>
      </x:c>
      <x:c r="U310" t="n">
        <x:v>7.7</x:v>
      </x:c>
    </x:row>
    <x:row r="311">
      <x:c r="A311" s="12" t="n">
        <x:v>46130</x:v>
      </x:c>
      <x:c r="B311" t="str">
        <x:v>A</x:v>
      </x:c>
      <x:c r="C311" t="str">
        <x:v>Dried Mango</x:v>
      </x:c>
      <x:c r="D311" t="str">
        <x:v>Dryer 3</x:v>
      </x:c>
      <x:c r="E311" t="str">
        <x:v>Sup 1</x:v>
      </x:c>
      <x:c r="F311" t="n">
        <x:v>420</x:v>
      </x:c>
      <x:c r="G311" t="n">
        <x:v>30</x:v>
      </x:c>
      <x:c r="H311" t="n">
        <x:v>42</x:v>
      </x:c>
      <x:c r="I311" t="n">
        <x:v>1640</x:v>
      </x:c>
      <x:c r="J311" t="n">
        <x:v>1364</x:v>
      </x:c>
      <x:c r="K311" t="n">
        <x:v>79</x:v>
      </x:c>
      <x:c r="L311" t="n">
        <x:v>33</x:v>
      </x:c>
      <x:c r="M311" t="n">
        <x:v>86.1</x:v>
      </x:c>
      <x:c r="N311" t="n">
        <x:v>76</x:v>
      </x:c>
      <x:c r="O311" t="n">
        <x:v>73.3</x:v>
      </x:c>
      <x:c r="P311" t="n">
        <x:v>1</x:v>
      </x:c>
      <x:c r="Q311" t="str">
        <x:v>First aid</x:v>
      </x:c>
      <x:c r="R311" t="str">
        <x:v>In progress</x:v>
      </x:c>
      <x:c r="S311" t="str">
        <x:v>Preventive</x:v>
      </x:c>
      <x:c r="T311" t="n">
        <x:v>1.29</x:v>
      </x:c>
      <x:c r="U311" t="n">
        <x:v>11.4</x:v>
      </x:c>
    </x:row>
    <x:row r="312">
      <x:c r="A312" s="12" t="n">
        <x:v>46130</x:v>
      </x:c>
      <x:c r="B312" t="str">
        <x:v>B</x:v>
      </x:c>
      <x:c r="C312" t="str">
        <x:v>Dried Pineapple</x:v>
      </x:c>
      <x:c r="D312" t="str">
        <x:v>Dryer 2</x:v>
      </x:c>
      <x:c r="E312" t="str">
        <x:v>Sup 1</x:v>
      </x:c>
      <x:c r="F312" t="n">
        <x:v>420</x:v>
      </x:c>
      <x:c r="G312" t="n">
        <x:v>0</x:v>
      </x:c>
      <x:c r="H312" t="n">
        <x:v>24</x:v>
      </x:c>
      <x:c r="I312" t="n">
        <x:v>1633</x:v>
      </x:c>
      <x:c r="J312" t="n">
        <x:v>1580</x:v>
      </x:c>
      <x:c r="K312" t="n">
        <x:v>36</x:v>
      </x:c>
      <x:c r="L312" t="n">
        <x:v>8</x:v>
      </x:c>
      <x:c r="M312" t="n">
        <x:v>89.8</x:v>
      </x:c>
      <x:c r="N312" t="n">
        <x:v>84.4</x:v>
      </x:c>
      <x:c r="O312" t="n">
        <x:v>75.9</x:v>
      </x:c>
      <x:c r="P312" t="n">
        <x:v>6</x:v>
      </x:c>
      <x:c r="Q312" t="str">
        <x:v>No incident</x:v>
      </x:c>
      <x:c r="R312" t="str">
        <x:v>N/A</x:v>
      </x:c>
      <x:c r="S312" t="str">
        <x:v>Preventive</x:v>
      </x:c>
      <x:c r="T312" t="n">
        <x:v>0.88</x:v>
      </x:c>
      <x:c r="U312" t="n">
        <x:v>12.6</x:v>
      </x:c>
    </x:row>
    <x:row r="313">
      <x:c r="A313" s="12" t="n">
        <x:v>46130</x:v>
      </x:c>
      <x:c r="B313" t="str">
        <x:v>C</x:v>
      </x:c>
      <x:c r="C313" t="str">
        <x:v>Dried Pineapple</x:v>
      </x:c>
      <x:c r="D313" t="str">
        <x:v>Dryer 1</x:v>
      </x:c>
      <x:c r="E313" t="str">
        <x:v>Sup 2</x:v>
      </x:c>
      <x:c r="F313" t="n">
        <x:v>420</x:v>
      </x:c>
      <x:c r="G313" t="n">
        <x:v>40</x:v>
      </x:c>
      <x:c r="H313" t="n">
        <x:v>44</x:v>
      </x:c>
      <x:c r="I313" t="n">
        <x:v>1843</x:v>
      </x:c>
      <x:c r="J313" t="n">
        <x:v>1645</x:v>
      </x:c>
      <x:c r="K313" t="n">
        <x:v>60</x:v>
      </x:c>
      <x:c r="L313" t="n">
        <x:v>37</x:v>
      </x:c>
      <x:c r="M313" t="n">
        <x:v>84.4</x:v>
      </x:c>
      <x:c r="N313" t="n">
        <x:v>84.4</x:v>
      </x:c>
      <x:c r="O313" t="n">
        <x:v>80</x:v>
      </x:c>
      <x:c r="P313" t="n">
        <x:v>4</x:v>
      </x:c>
      <x:c r="Q313" t="str">
        <x:v>No incident</x:v>
      </x:c>
      <x:c r="R313" t="str">
        <x:v>N/A</x:v>
      </x:c>
      <x:c r="S313" t="str">
        <x:v>Inspection</x:v>
      </x:c>
      <x:c r="T313" t="n">
        <x:v>1.33</x:v>
      </x:c>
      <x:c r="U313" t="n">
        <x:v>12.8</x:v>
      </x:c>
    </x:row>
    <x:row r="314">
      <x:c r="A314" s="12" t="n">
        <x:v>46131</x:v>
      </x:c>
      <x:c r="B314" t="str">
        <x:v>A</x:v>
      </x:c>
      <x:c r="C314" t="str">
        <x:v>Dried Mango</x:v>
      </x:c>
      <x:c r="D314" t="str">
        <x:v>Dryer 3</x:v>
      </x:c>
      <x:c r="E314" t="str">
        <x:v>Sup 2</x:v>
      </x:c>
      <x:c r="F314" t="n">
        <x:v>450</x:v>
      </x:c>
      <x:c r="G314" t="n">
        <x:v>0</x:v>
      </x:c>
      <x:c r="H314" t="n">
        <x:v>70</x:v>
      </x:c>
      <x:c r="I314" t="n">
        <x:v>1752</x:v>
      </x:c>
      <x:c r="J314" t="n">
        <x:v>1337</x:v>
      </x:c>
      <x:c r="K314" t="n">
        <x:v>53</x:v>
      </x:c>
      <x:c r="L314" t="n">
        <x:v>16</x:v>
      </x:c>
      <x:c r="M314" t="n">
        <x:v>93.7</x:v>
      </x:c>
      <x:c r="N314" t="n">
        <x:v>70.8</x:v>
      </x:c>
      <x:c r="O314" t="n">
        <x:v>71</x:v>
      </x:c>
      <x:c r="P314" t="n">
        <x:v>5</x:v>
      </x:c>
      <x:c r="Q314" t="str">
        <x:v>No incident</x:v>
      </x:c>
      <x:c r="R314" t="str">
        <x:v>N/A</x:v>
      </x:c>
      <x:c r="S314" t="str">
        <x:v>Preventive</x:v>
      </x:c>
      <x:c r="T314" t="n">
        <x:v>1.2</x:v>
      </x:c>
      <x:c r="U314" t="n">
        <x:v>10.8</x:v>
      </x:c>
    </x:row>
    <x:row r="315">
      <x:c r="A315" s="12" t="n">
        <x:v>46131</x:v>
      </x:c>
      <x:c r="B315" t="str">
        <x:v>B</x:v>
      </x:c>
      <x:c r="C315" t="str">
        <x:v>Dried Mango</x:v>
      </x:c>
      <x:c r="D315" t="str">
        <x:v>Dryer 3</x:v>
      </x:c>
      <x:c r="E315" t="str">
        <x:v>Sup 3</x:v>
      </x:c>
      <x:c r="F315" t="n">
        <x:v>420</x:v>
      </x:c>
      <x:c r="G315" t="n">
        <x:v>30</x:v>
      </x:c>
      <x:c r="H315" t="n">
        <x:v>56</x:v>
      </x:c>
      <x:c r="I315" t="n">
        <x:v>1720</x:v>
      </x:c>
      <x:c r="J315" t="n">
        <x:v>1507</x:v>
      </x:c>
      <x:c r="K315" t="n">
        <x:v>87</x:v>
      </x:c>
      <x:c r="L315" t="n">
        <x:v>41</x:v>
      </x:c>
      <x:c r="M315" t="n">
        <x:v>88.3</x:v>
      </x:c>
      <x:c r="N315" t="n">
        <x:v>69.6</x:v>
      </x:c>
      <x:c r="O315" t="n">
        <x:v>78.4</x:v>
      </x:c>
      <x:c r="P315" t="n">
        <x:v>3</x:v>
      </x:c>
      <x:c r="Q315" t="str">
        <x:v>No incident</x:v>
      </x:c>
      <x:c r="R315" t="str">
        <x:v>N/A</x:v>
      </x:c>
      <x:c r="S315" t="str">
        <x:v>Corrective</x:v>
      </x:c>
      <x:c r="T315" t="n">
        <x:v>1.3</x:v>
      </x:c>
      <x:c r="U315" t="n">
        <x:v>11.6</x:v>
      </x:c>
    </x:row>
    <x:row r="316">
      <x:c r="A316" s="12" t="n">
        <x:v>46131</x:v>
      </x:c>
      <x:c r="B316" t="str">
        <x:v>C</x:v>
      </x:c>
      <x:c r="C316" t="str">
        <x:v>Desiccated Coconut</x:v>
      </x:c>
      <x:c r="D316" t="str">
        <x:v>Dryer 3</x:v>
      </x:c>
      <x:c r="E316" t="str">
        <x:v>Sup 2</x:v>
      </x:c>
      <x:c r="F316" t="n">
        <x:v>420</x:v>
      </x:c>
      <x:c r="G316" t="n">
        <x:v>30</x:v>
      </x:c>
      <x:c r="H316" t="n">
        <x:v>58</x:v>
      </x:c>
      <x:c r="I316" t="n">
        <x:v>1268</x:v>
      </x:c>
      <x:c r="J316" t="n">
        <x:v>1105</x:v>
      </x:c>
      <x:c r="K316" t="n">
        <x:v>32</x:v>
      </x:c>
      <x:c r="L316" t="n">
        <x:v>6</x:v>
      </x:c>
      <x:c r="M316" t="n">
        <x:v>82.8</x:v>
      </x:c>
      <x:c r="N316" t="n">
        <x:v>57.5</x:v>
      </x:c>
      <x:c r="O316" t="n">
        <x:v>64.6</x:v>
      </x:c>
      <x:c r="P316" t="n">
        <x:v>2</x:v>
      </x:c>
      <x:c r="Q316" t="str">
        <x:v>No incident</x:v>
      </x:c>
      <x:c r="R316" t="str">
        <x:v>N/A</x:v>
      </x:c>
      <x:c r="S316" t="str">
        <x:v>Preventive</x:v>
      </x:c>
      <x:c r="T316" t="n">
        <x:v>0.5</x:v>
      </x:c>
      <x:c r="U316" t="n">
        <x:v>9.9</x:v>
      </x:c>
    </x:row>
    <x:row r="317">
      <x:c r="A317" s="12" t="n">
        <x:v>46132</x:v>
      </x:c>
      <x:c r="B317" t="str">
        <x:v>A</x:v>
      </x:c>
      <x:c r="C317" t="str">
        <x:v>Dried Pineapple</x:v>
      </x:c>
      <x:c r="D317" t="str">
        <x:v>Dryer 1</x:v>
      </x:c>
      <x:c r="E317" t="str">
        <x:v>Sup 2</x:v>
      </x:c>
      <x:c r="F317" t="n">
        <x:v>480</x:v>
      </x:c>
      <x:c r="G317" t="n">
        <x:v>0</x:v>
      </x:c>
      <x:c r="H317" t="n">
        <x:v>24</x:v>
      </x:c>
      <x:c r="I317" t="n">
        <x:v>1669</x:v>
      </x:c>
      <x:c r="J317" t="n">
        <x:v>1411</x:v>
      </x:c>
      <x:c r="K317" t="n">
        <x:v>44</x:v>
      </x:c>
      <x:c r="L317" t="n">
        <x:v>25</x:v>
      </x:c>
      <x:c r="M317" t="n">
        <x:v>87.4</x:v>
      </x:c>
      <x:c r="N317" t="n">
        <x:v>80.1</x:v>
      </x:c>
      <x:c r="O317" t="n">
        <x:v>58.9</x:v>
      </x:c>
      <x:c r="P317" t="n">
        <x:v>2</x:v>
      </x:c>
      <x:c r="Q317" t="str">
        <x:v>No incident</x:v>
      </x:c>
      <x:c r="R317" t="str">
        <x:v>N/A</x:v>
      </x:c>
      <x:c r="S317" t="str">
        <x:v>Inspection</x:v>
      </x:c>
      <x:c r="T317" t="n">
        <x:v>1.14</x:v>
      </x:c>
      <x:c r="U317" t="n">
        <x:v>12</x:v>
      </x:c>
    </x:row>
    <x:row r="318">
      <x:c r="A318" s="12" t="n">
        <x:v>46132</x:v>
      </x:c>
      <x:c r="B318" t="str">
        <x:v>B</x:v>
      </x:c>
      <x:c r="C318" t="str">
        <x:v>Desiccated Coconut</x:v>
      </x:c>
      <x:c r="D318" t="str">
        <x:v>Dryer 4</x:v>
      </x:c>
      <x:c r="E318" t="str">
        <x:v>Sup 1</x:v>
      </x:c>
      <x:c r="F318" t="n">
        <x:v>450</x:v>
      </x:c>
      <x:c r="G318" t="n">
        <x:v>20</x:v>
      </x:c>
      <x:c r="H318" t="n">
        <x:v>50</x:v>
      </x:c>
      <x:c r="I318" t="n">
        <x:v>1132</x:v>
      </x:c>
      <x:c r="J318" t="n">
        <x:v>891</x:v>
      </x:c>
      <x:c r="K318" t="n">
        <x:v>32</x:v>
      </x:c>
      <x:c r="L318" t="n">
        <x:v>9</x:v>
      </x:c>
      <x:c r="M318" t="n">
        <x:v>94.3</x:v>
      </x:c>
      <x:c r="N318" t="n">
        <x:v>78.6</x:v>
      </x:c>
      <x:c r="O318" t="n">
        <x:v>79.5</x:v>
      </x:c>
      <x:c r="P318" t="n">
        <x:v>3</x:v>
      </x:c>
      <x:c r="Q318" t="str">
        <x:v>No incident</x:v>
      </x:c>
      <x:c r="R318" t="str">
        <x:v>N/A</x:v>
      </x:c>
      <x:c r="S318" t="str">
        <x:v>Corrective</x:v>
      </x:c>
      <x:c r="T318" t="n">
        <x:v>0.86</x:v>
      </x:c>
      <x:c r="U318" t="n">
        <x:v>7.4</x:v>
      </x:c>
    </x:row>
    <x:row r="319">
      <x:c r="A319" s="12" t="n">
        <x:v>46132</x:v>
      </x:c>
      <x:c r="B319" t="str">
        <x:v>C</x:v>
      </x:c>
      <x:c r="C319" t="str">
        <x:v>Desiccated Coconut</x:v>
      </x:c>
      <x:c r="D319" t="str">
        <x:v>Dryer 4</x:v>
      </x:c>
      <x:c r="E319" t="str">
        <x:v>Sup 1</x:v>
      </x:c>
      <x:c r="F319" t="n">
        <x:v>450</x:v>
      </x:c>
      <x:c r="G319" t="n">
        <x:v>20</x:v>
      </x:c>
      <x:c r="H319" t="n">
        <x:v>36</x:v>
      </x:c>
      <x:c r="I319" t="n">
        <x:v>1286</x:v>
      </x:c>
      <x:c r="J319" t="n">
        <x:v>1081</x:v>
      </x:c>
      <x:c r="K319" t="n">
        <x:v>25</x:v>
      </x:c>
      <x:c r="L319" t="n">
        <x:v>9</x:v>
      </x:c>
      <x:c r="M319" t="n">
        <x:v>96.1</x:v>
      </x:c>
      <x:c r="N319" t="n">
        <x:v>55</x:v>
      </x:c>
      <x:c r="O319" t="n">
        <x:v>75.3</x:v>
      </x:c>
      <x:c r="P319" t="n">
        <x:v>1</x:v>
      </x:c>
      <x:c r="Q319" t="str">
        <x:v>No incident</x:v>
      </x:c>
      <x:c r="R319" t="str">
        <x:v>N/A</x:v>
      </x:c>
      <x:c r="S319" t="str">
        <x:v>Corrective</x:v>
      </x:c>
      <x:c r="T319" t="n">
        <x:v>2.27</x:v>
      </x:c>
      <x:c r="U319" t="n">
        <x:v>9.7</x:v>
      </x:c>
    </x:row>
    <x:row r="320">
      <x:c r="A320" s="12" t="n">
        <x:v>46133</x:v>
      </x:c>
      <x:c r="B320" t="str">
        <x:v>A</x:v>
      </x:c>
      <x:c r="C320" t="str">
        <x:v>Dried Mango</x:v>
      </x:c>
      <x:c r="D320" t="str">
        <x:v>Dryer 3</x:v>
      </x:c>
      <x:c r="E320" t="str">
        <x:v>Sup 3</x:v>
      </x:c>
      <x:c r="F320" t="n">
        <x:v>420</x:v>
      </x:c>
      <x:c r="G320" t="n">
        <x:v>30</x:v>
      </x:c>
      <x:c r="H320" t="n">
        <x:v>47</x:v>
      </x:c>
      <x:c r="I320" t="n">
        <x:v>1763</x:v>
      </x:c>
      <x:c r="J320" t="n">
        <x:v>1384</x:v>
      </x:c>
      <x:c r="K320" t="n">
        <x:v>75</x:v>
      </x:c>
      <x:c r="L320" t="n">
        <x:v>23</x:v>
      </x:c>
      <x:c r="M320" t="n">
        <x:v>83.8</x:v>
      </x:c>
      <x:c r="N320" t="n">
        <x:v>82.1</x:v>
      </x:c>
      <x:c r="O320" t="n">
        <x:v>62.9</x:v>
      </x:c>
      <x:c r="P320" t="n">
        <x:v>6</x:v>
      </x:c>
      <x:c r="Q320" t="str">
        <x:v>No incident</x:v>
      </x:c>
      <x:c r="R320" t="str">
        <x:v>N/A</x:v>
      </x:c>
      <x:c r="S320" t="str">
        <x:v>Corrective</x:v>
      </x:c>
      <x:c r="T320" t="n">
        <x:v>1.19</x:v>
      </x:c>
      <x:c r="U320" t="n">
        <x:v>11.1</x:v>
      </x:c>
    </x:row>
    <x:row r="321">
      <x:c r="A321" s="12" t="n">
        <x:v>46133</x:v>
      </x:c>
      <x:c r="B321" t="str">
        <x:v>B</x:v>
      </x:c>
      <x:c r="C321" t="str">
        <x:v>Dried Pineapple</x:v>
      </x:c>
      <x:c r="D321" t="str">
        <x:v>Dryer 4</x:v>
      </x:c>
      <x:c r="E321" t="str">
        <x:v>Sup 1</x:v>
      </x:c>
      <x:c r="F321" t="n">
        <x:v>420</x:v>
      </x:c>
      <x:c r="G321" t="n">
        <x:v>20</x:v>
      </x:c>
      <x:c r="H321" t="n">
        <x:v>39</x:v>
      </x:c>
      <x:c r="I321" t="n">
        <x:v>1713</x:v>
      </x:c>
      <x:c r="J321" t="n">
        <x:v>1400</x:v>
      </x:c>
      <x:c r="K321" t="n">
        <x:v>43</x:v>
      </x:c>
      <x:c r="L321" t="n">
        <x:v>14</x:v>
      </x:c>
      <x:c r="M321" t="n">
        <x:v>87.7</x:v>
      </x:c>
      <x:c r="N321" t="n">
        <x:v>84.1</x:v>
      </x:c>
      <x:c r="O321" t="n">
        <x:v>68.8</x:v>
      </x:c>
      <x:c r="P321" t="n">
        <x:v>2</x:v>
      </x:c>
      <x:c r="Q321" t="str">
        <x:v>No incident</x:v>
      </x:c>
      <x:c r="R321" t="str">
        <x:v>N/A</x:v>
      </x:c>
      <x:c r="S321" t="str">
        <x:v>Corrective</x:v>
      </x:c>
      <x:c r="T321" t="n">
        <x:v>0.9</x:v>
      </x:c>
      <x:c r="U321" t="n">
        <x:v>11.2</x:v>
      </x:c>
    </x:row>
    <x:row r="322">
      <x:c r="A322" s="12" t="n">
        <x:v>46133</x:v>
      </x:c>
      <x:c r="B322" t="str">
        <x:v>C</x:v>
      </x:c>
      <x:c r="C322" t="str">
        <x:v>Dried Mango</x:v>
      </x:c>
      <x:c r="D322" t="str">
        <x:v>Dryer 1</x:v>
      </x:c>
      <x:c r="E322" t="str">
        <x:v>Sup 3</x:v>
      </x:c>
      <x:c r="F322" t="n">
        <x:v>450</x:v>
      </x:c>
      <x:c r="G322" t="n">
        <x:v>20</x:v>
      </x:c>
      <x:c r="H322" t="n">
        <x:v>41</x:v>
      </x:c>
      <x:c r="I322" t="n">
        <x:v>1656</x:v>
      </x:c>
      <x:c r="J322" t="n">
        <x:v>1399</x:v>
      </x:c>
      <x:c r="K322" t="n">
        <x:v>41</x:v>
      </x:c>
      <x:c r="L322" t="n">
        <x:v>13</x:v>
      </x:c>
      <x:c r="M322" t="n">
        <x:v>93.6</x:v>
      </x:c>
      <x:c r="N322" t="n">
        <x:v>68.4</x:v>
      </x:c>
      <x:c r="O322" t="n">
        <x:v>80.1</x:v>
      </x:c>
      <x:c r="P322" t="n">
        <x:v>2</x:v>
      </x:c>
      <x:c r="Q322" t="str">
        <x:v>No incident</x:v>
      </x:c>
      <x:c r="R322" t="str">
        <x:v>N/A</x:v>
      </x:c>
      <x:c r="S322" t="str">
        <x:v>Inspection</x:v>
      </x:c>
      <x:c r="T322" t="n">
        <x:v>0.97</x:v>
      </x:c>
      <x:c r="U322" t="n">
        <x:v>10.6</x:v>
      </x:c>
    </x:row>
    <x:row r="323">
      <x:c r="A323" s="12" t="n">
        <x:v>46134</x:v>
      </x:c>
      <x:c r="B323" t="str">
        <x:v>A</x:v>
      </x:c>
      <x:c r="C323" t="str">
        <x:v>Dried Mango</x:v>
      </x:c>
      <x:c r="D323" t="str">
        <x:v>Dryer 3</x:v>
      </x:c>
      <x:c r="E323" t="str">
        <x:v>Sup 3</x:v>
      </x:c>
      <x:c r="F323" t="n">
        <x:v>420</x:v>
      </x:c>
      <x:c r="G323" t="n">
        <x:v>30</x:v>
      </x:c>
      <x:c r="H323" t="n">
        <x:v>73</x:v>
      </x:c>
      <x:c r="I323" t="n">
        <x:v>1760</x:v>
      </x:c>
      <x:c r="J323" t="n">
        <x:v>1372</x:v>
      </x:c>
      <x:c r="K323" t="n">
        <x:v>78</x:v>
      </x:c>
      <x:c r="L323" t="n">
        <x:v>35</x:v>
      </x:c>
      <x:c r="M323" t="n">
        <x:v>91.4</x:v>
      </x:c>
      <x:c r="N323" t="n">
        <x:v>75.5</x:v>
      </x:c>
      <x:c r="O323" t="n">
        <x:v>75.6</x:v>
      </x:c>
      <x:c r="P323" t="n">
        <x:v>4</x:v>
      </x:c>
      <x:c r="Q323" t="str">
        <x:v>First aid</x:v>
      </x:c>
      <x:c r="R323" t="str">
        <x:v>Open</x:v>
      </x:c>
      <x:c r="S323" t="str">
        <x:v>Preventive</x:v>
      </x:c>
      <x:c r="T323" t="n">
        <x:v>1.51</x:v>
      </x:c>
      <x:c r="U323" t="n">
        <x:v>12.2</x:v>
      </x:c>
    </x:row>
    <x:row r="324">
      <x:c r="A324" s="12" t="n">
        <x:v>46134</x:v>
      </x:c>
      <x:c r="B324" t="str">
        <x:v>B</x:v>
      </x:c>
      <x:c r="C324" t="str">
        <x:v>Dried Pineapple</x:v>
      </x:c>
      <x:c r="D324" t="str">
        <x:v>Dryer 3</x:v>
      </x:c>
      <x:c r="E324" t="str">
        <x:v>Sup 1</x:v>
      </x:c>
      <x:c r="F324" t="n">
        <x:v>480</x:v>
      </x:c>
      <x:c r="G324" t="n">
        <x:v>40</x:v>
      </x:c>
      <x:c r="H324" t="n">
        <x:v>75</x:v>
      </x:c>
      <x:c r="I324" t="n">
        <x:v>1675</x:v>
      </x:c>
      <x:c r="J324" t="n">
        <x:v>1411</x:v>
      </x:c>
      <x:c r="K324" t="n">
        <x:v>50</x:v>
      </x:c>
      <x:c r="L324" t="n">
        <x:v>21</x:v>
      </x:c>
      <x:c r="M324" t="n">
        <x:v>96.2</x:v>
      </x:c>
      <x:c r="N324" t="n">
        <x:v>65</x:v>
      </x:c>
      <x:c r="O324" t="n">
        <x:v>79.3</x:v>
      </x:c>
      <x:c r="P324" t="n">
        <x:v>3</x:v>
      </x:c>
      <x:c r="Q324" t="str">
        <x:v>No incident</x:v>
      </x:c>
      <x:c r="R324" t="str">
        <x:v>N/A</x:v>
      </x:c>
      <x:c r="S324" t="str">
        <x:v>Corrective</x:v>
      </x:c>
      <x:c r="T324" t="n">
        <x:v>1.64</x:v>
      </x:c>
      <x:c r="U324" t="n">
        <x:v>10.6</x:v>
      </x:c>
    </x:row>
    <x:row r="325">
      <x:c r="A325" s="12" t="n">
        <x:v>46134</x:v>
      </x:c>
      <x:c r="B325" t="str">
        <x:v>C</x:v>
      </x:c>
      <x:c r="C325" t="str">
        <x:v>Dried Mango</x:v>
      </x:c>
      <x:c r="D325" t="str">
        <x:v>Dryer 1</x:v>
      </x:c>
      <x:c r="E325" t="str">
        <x:v>Sup 1</x:v>
      </x:c>
      <x:c r="F325" t="n">
        <x:v>450</x:v>
      </x:c>
      <x:c r="G325" t="n">
        <x:v>30</x:v>
      </x:c>
      <x:c r="H325" t="n">
        <x:v>36</x:v>
      </x:c>
      <x:c r="I325" t="n">
        <x:v>1646</x:v>
      </x:c>
      <x:c r="J325" t="n">
        <x:v>1485</x:v>
      </x:c>
      <x:c r="K325" t="n">
        <x:v>55</x:v>
      </x:c>
      <x:c r="L325" t="n">
        <x:v>25</x:v>
      </x:c>
      <x:c r="M325" t="n">
        <x:v>98</x:v>
      </x:c>
      <x:c r="N325" t="n">
        <x:v>73.4</x:v>
      </x:c>
      <x:c r="O325" t="n">
        <x:v>74</x:v>
      </x:c>
      <x:c r="P325" t="n">
        <x:v>5</x:v>
      </x:c>
      <x:c r="Q325" t="str">
        <x:v>No incident</x:v>
      </x:c>
      <x:c r="R325" t="str">
        <x:v>N/A</x:v>
      </x:c>
      <x:c r="S325" t="str">
        <x:v>Preventive</x:v>
      </x:c>
      <x:c r="T325" t="n">
        <x:v>0.74</x:v>
      </x:c>
      <x:c r="U325" t="n">
        <x:v>12.7</x:v>
      </x:c>
    </x:row>
    <x:row r="326">
      <x:c r="A326" s="12" t="n">
        <x:v>46135</x:v>
      </x:c>
      <x:c r="B326" t="str">
        <x:v>A</x:v>
      </x:c>
      <x:c r="C326" t="str">
        <x:v>Dried Mango</x:v>
      </x:c>
      <x:c r="D326" t="str">
        <x:v>Dryer 3</x:v>
      </x:c>
      <x:c r="E326" t="str">
        <x:v>Sup 3</x:v>
      </x:c>
      <x:c r="F326" t="n">
        <x:v>450</x:v>
      </x:c>
      <x:c r="G326" t="n">
        <x:v>0</x:v>
      </x:c>
      <x:c r="H326" t="n">
        <x:v>58</x:v>
      </x:c>
      <x:c r="I326" t="n">
        <x:v>1652</x:v>
      </x:c>
      <x:c r="J326" t="n">
        <x:v>1377</x:v>
      </x:c>
      <x:c r="K326" t="n">
        <x:v>61</x:v>
      </x:c>
      <x:c r="L326" t="n">
        <x:v>31</x:v>
      </x:c>
      <x:c r="M326" t="n">
        <x:v>91.4</x:v>
      </x:c>
      <x:c r="N326" t="n">
        <x:v>72.3</x:v>
      </x:c>
      <x:c r="O326" t="n">
        <x:v>77.9</x:v>
      </x:c>
      <x:c r="P326" t="n">
        <x:v>4</x:v>
      </x:c>
      <x:c r="Q326" t="str">
        <x:v>No incident</x:v>
      </x:c>
      <x:c r="R326" t="str">
        <x:v>N/A</x:v>
      </x:c>
      <x:c r="S326" t="str">
        <x:v>Inspection</x:v>
      </x:c>
      <x:c r="T326" t="n">
        <x:v>1.5</x:v>
      </x:c>
      <x:c r="U326" t="n">
        <x:v>11.1</x:v>
      </x:c>
    </x:row>
    <x:row r="327">
      <x:c r="A327" s="12" t="n">
        <x:v>46135</x:v>
      </x:c>
      <x:c r="B327" t="str">
        <x:v>B</x:v>
      </x:c>
      <x:c r="C327" t="str">
        <x:v>Dried Pineapple</x:v>
      </x:c>
      <x:c r="D327" t="str">
        <x:v>Dryer 4</x:v>
      </x:c>
      <x:c r="E327" t="str">
        <x:v>Sup 3</x:v>
      </x:c>
      <x:c r="F327" t="n">
        <x:v>480</x:v>
      </x:c>
      <x:c r="G327" t="n">
        <x:v>40</x:v>
      </x:c>
      <x:c r="H327" t="n">
        <x:v>36</x:v>
      </x:c>
      <x:c r="I327" t="n">
        <x:v>1793</x:v>
      </x:c>
      <x:c r="J327" t="n">
        <x:v>1584</x:v>
      </x:c>
      <x:c r="K327" t="n">
        <x:v>61</x:v>
      </x:c>
      <x:c r="L327" t="n">
        <x:v>34</x:v>
      </x:c>
      <x:c r="M327" t="n">
        <x:v>92.2</x:v>
      </x:c>
      <x:c r="N327" t="n">
        <x:v>80</x:v>
      </x:c>
      <x:c r="O327" t="n">
        <x:v>79.3</x:v>
      </x:c>
      <x:c r="P327" t="n">
        <x:v>4</x:v>
      </x:c>
      <x:c r="Q327" t="str">
        <x:v>No incident</x:v>
      </x:c>
      <x:c r="R327" t="str">
        <x:v>N/A</x:v>
      </x:c>
      <x:c r="S327" t="str">
        <x:v>Preventive</x:v>
      </x:c>
      <x:c r="T327" t="n">
        <x:v>1.05</x:v>
      </x:c>
      <x:c r="U327" t="n">
        <x:v>12.2</x:v>
      </x:c>
    </x:row>
    <x:row r="328">
      <x:c r="A328" s="12" t="n">
        <x:v>46135</x:v>
      </x:c>
      <x:c r="B328" t="str">
        <x:v>C</x:v>
      </x:c>
      <x:c r="C328" t="str">
        <x:v>Dried Mango</x:v>
      </x:c>
      <x:c r="D328" t="str">
        <x:v>Dryer 3</x:v>
      </x:c>
      <x:c r="E328" t="str">
        <x:v>Sup 3</x:v>
      </x:c>
      <x:c r="F328" t="n">
        <x:v>480</x:v>
      </x:c>
      <x:c r="G328" t="n">
        <x:v>40</x:v>
      </x:c>
      <x:c r="H328" t="n">
        <x:v>74</x:v>
      </x:c>
      <x:c r="I328" t="n">
        <x:v>1645</x:v>
      </x:c>
      <x:c r="J328" t="n">
        <x:v>1236</x:v>
      </x:c>
      <x:c r="K328" t="n">
        <x:v>67</x:v>
      </x:c>
      <x:c r="L328" t="n">
        <x:v>38</x:v>
      </x:c>
      <x:c r="M328" t="n">
        <x:v>86.3</x:v>
      </x:c>
      <x:c r="N328" t="n">
        <x:v>75.6</x:v>
      </x:c>
      <x:c r="O328" t="n">
        <x:v>68.9</x:v>
      </x:c>
      <x:c r="P328" t="n">
        <x:v>5</x:v>
      </x:c>
      <x:c r="Q328" t="str">
        <x:v>Near miss</x:v>
      </x:c>
      <x:c r="R328" t="str">
        <x:v>Closed</x:v>
      </x:c>
      <x:c r="S328" t="str">
        <x:v>Inspection</x:v>
      </x:c>
      <x:c r="T328" t="n">
        <x:v>0.5</x:v>
      </x:c>
      <x:c r="U328" t="n">
        <x:v>10.5</x:v>
      </x:c>
    </x:row>
    <x:row r="329">
      <x:c r="A329" s="12" t="n">
        <x:v>46136</x:v>
      </x:c>
      <x:c r="B329" t="str">
        <x:v>A</x:v>
      </x:c>
      <x:c r="C329" t="str">
        <x:v>Dried Pineapple</x:v>
      </x:c>
      <x:c r="D329" t="str">
        <x:v>Dryer 1</x:v>
      </x:c>
      <x:c r="E329" t="str">
        <x:v>Sup 2</x:v>
      </x:c>
      <x:c r="F329" t="n">
        <x:v>480</x:v>
      </x:c>
      <x:c r="G329" t="n">
        <x:v>30</x:v>
      </x:c>
      <x:c r="H329" t="n">
        <x:v>38</x:v>
      </x:c>
      <x:c r="I329" t="n">
        <x:v>1667</x:v>
      </x:c>
      <x:c r="J329" t="n">
        <x:v>1537</x:v>
      </x:c>
      <x:c r="K329" t="n">
        <x:v>58</x:v>
      </x:c>
      <x:c r="L329" t="n">
        <x:v>37</x:v>
      </x:c>
      <x:c r="M329" t="n">
        <x:v>92.1</x:v>
      </x:c>
      <x:c r="N329" t="n">
        <x:v>74.3</x:v>
      </x:c>
      <x:c r="O329" t="n">
        <x:v>71.9</x:v>
      </x:c>
      <x:c r="P329" t="n">
        <x:v>2</x:v>
      </x:c>
      <x:c r="Q329" t="str">
        <x:v>No incident</x:v>
      </x:c>
      <x:c r="R329" t="str">
        <x:v>N/A</x:v>
      </x:c>
      <x:c r="S329" t="str">
        <x:v>Preventive</x:v>
      </x:c>
      <x:c r="T329" t="n">
        <x:v>0.95</x:v>
      </x:c>
      <x:c r="U329" t="n">
        <x:v>11.7</x:v>
      </x:c>
    </x:row>
    <x:row r="330">
      <x:c r="A330" s="12" t="n">
        <x:v>46136</x:v>
      </x:c>
      <x:c r="B330" t="str">
        <x:v>B</x:v>
      </x:c>
      <x:c r="C330" t="str">
        <x:v>Dried Pineapple</x:v>
      </x:c>
      <x:c r="D330" t="str">
        <x:v>Dryer 1</x:v>
      </x:c>
      <x:c r="E330" t="str">
        <x:v>Sup 3</x:v>
      </x:c>
      <x:c r="F330" t="n">
        <x:v>480</x:v>
      </x:c>
      <x:c r="G330" t="n">
        <x:v>0</x:v>
      </x:c>
      <x:c r="H330" t="n">
        <x:v>39</x:v>
      </x:c>
      <x:c r="I330" t="n">
        <x:v>1686</x:v>
      </x:c>
      <x:c r="J330" t="n">
        <x:v>1594</x:v>
      </x:c>
      <x:c r="K330" t="n">
        <x:v>63</x:v>
      </x:c>
      <x:c r="L330" t="n">
        <x:v>30</x:v>
      </x:c>
      <x:c r="M330" t="n">
        <x:v>83.2</x:v>
      </x:c>
      <x:c r="N330" t="n">
        <x:v>79.7</x:v>
      </x:c>
      <x:c r="O330" t="n">
        <x:v>81.7</x:v>
      </x:c>
      <x:c r="P330" t="n">
        <x:v>5</x:v>
      </x:c>
      <x:c r="Q330" t="str">
        <x:v>No incident</x:v>
      </x:c>
      <x:c r="R330" t="str">
        <x:v>N/A</x:v>
      </x:c>
      <x:c r="S330" t="str">
        <x:v>Corrective</x:v>
      </x:c>
      <x:c r="T330" t="n">
        <x:v>2.04</x:v>
      </x:c>
      <x:c r="U330" t="n">
        <x:v>13.3</x:v>
      </x:c>
    </x:row>
    <x:row r="331">
      <x:c r="A331" s="12" t="n">
        <x:v>46136</x:v>
      </x:c>
      <x:c r="B331" t="str">
        <x:v>C</x:v>
      </x:c>
      <x:c r="C331" t="str">
        <x:v>Dried Mango</x:v>
      </x:c>
      <x:c r="D331" t="str">
        <x:v>Dryer 3</x:v>
      </x:c>
      <x:c r="E331" t="str">
        <x:v>Sup 3</x:v>
      </x:c>
      <x:c r="F331" t="n">
        <x:v>420</x:v>
      </x:c>
      <x:c r="G331" t="n">
        <x:v>40</x:v>
      </x:c>
      <x:c r="H331" t="n">
        <x:v>71</x:v>
      </x:c>
      <x:c r="I331" t="n">
        <x:v>1740</x:v>
      </x:c>
      <x:c r="J331" t="n">
        <x:v>1441</x:v>
      </x:c>
      <x:c r="K331" t="n">
        <x:v>74</x:v>
      </x:c>
      <x:c r="L331" t="n">
        <x:v>21</x:v>
      </x:c>
      <x:c r="M331" t="n">
        <x:v>94.4</x:v>
      </x:c>
      <x:c r="N331" t="n">
        <x:v>75.2</x:v>
      </x:c>
      <x:c r="O331" t="n">
        <x:v>62.6</x:v>
      </x:c>
      <x:c r="P331" t="n">
        <x:v>6</x:v>
      </x:c>
      <x:c r="Q331" t="str">
        <x:v>No incident</x:v>
      </x:c>
      <x:c r="R331" t="str">
        <x:v>N/A</x:v>
      </x:c>
      <x:c r="S331" t="str">
        <x:v>Inspection</x:v>
      </x:c>
      <x:c r="T331" t="n">
        <x:v>1.14</x:v>
      </x:c>
      <x:c r="U331" t="n">
        <x:v>11.2</x:v>
      </x:c>
    </x:row>
    <x:row r="332">
      <x:c r="A332" s="12" t="n">
        <x:v>46137</x:v>
      </x:c>
      <x:c r="B332" t="str">
        <x:v>A</x:v>
      </x:c>
      <x:c r="C332" t="str">
        <x:v>Desiccated Coconut</x:v>
      </x:c>
      <x:c r="D332" t="str">
        <x:v>Dryer 4</x:v>
      </x:c>
      <x:c r="E332" t="str">
        <x:v>Sup 2</x:v>
      </x:c>
      <x:c r="F332" t="n">
        <x:v>480</x:v>
      </x:c>
      <x:c r="G332" t="n">
        <x:v>20</x:v>
      </x:c>
      <x:c r="H332" t="n">
        <x:v>54</x:v>
      </x:c>
      <x:c r="I332" t="n">
        <x:v>1269</x:v>
      </x:c>
      <x:c r="J332" t="n">
        <x:v>1079</x:v>
      </x:c>
      <x:c r="K332" t="n">
        <x:v>35</x:v>
      </x:c>
      <x:c r="L332" t="n">
        <x:v>16</x:v>
      </x:c>
      <x:c r="M332" t="n">
        <x:v>88.6</x:v>
      </x:c>
      <x:c r="N332" t="n">
        <x:v>77.2</x:v>
      </x:c>
      <x:c r="O332" t="n">
        <x:v>72.4</x:v>
      </x:c>
      <x:c r="P332" t="n">
        <x:v>5</x:v>
      </x:c>
      <x:c r="Q332" t="str">
        <x:v>No incident</x:v>
      </x:c>
      <x:c r="R332" t="str">
        <x:v>N/A</x:v>
      </x:c>
      <x:c r="S332" t="str">
        <x:v>Preventive</x:v>
      </x:c>
      <x:c r="T332" t="n">
        <x:v>0.96</x:v>
      </x:c>
      <x:c r="U332" t="n">
        <x:v>9.7</x:v>
      </x:c>
    </x:row>
    <x:row r="333">
      <x:c r="A333" s="12" t="n">
        <x:v>46137</x:v>
      </x:c>
      <x:c r="B333" t="str">
        <x:v>B</x:v>
      </x:c>
      <x:c r="C333" t="str">
        <x:v>Desiccated Coconut</x:v>
      </x:c>
      <x:c r="D333" t="str">
        <x:v>Dryer 1</x:v>
      </x:c>
      <x:c r="E333" t="str">
        <x:v>Sup 2</x:v>
      </x:c>
      <x:c r="F333" t="n">
        <x:v>420</x:v>
      </x:c>
      <x:c r="G333" t="n">
        <x:v>40</x:v>
      </x:c>
      <x:c r="H333" t="n">
        <x:v>23</x:v>
      </x:c>
      <x:c r="I333" t="n">
        <x:v>1155</x:v>
      </x:c>
      <x:c r="J333" t="n">
        <x:v>991</x:v>
      </x:c>
      <x:c r="K333" t="n">
        <x:v>30</x:v>
      </x:c>
      <x:c r="L333" t="n">
        <x:v>12</x:v>
      </x:c>
      <x:c r="M333" t="n">
        <x:v>88.2</x:v>
      </x:c>
      <x:c r="N333" t="n">
        <x:v>88.7</x:v>
      </x:c>
      <x:c r="O333" t="n">
        <x:v>81.2</x:v>
      </x:c>
      <x:c r="P333" t="n">
        <x:v>4</x:v>
      </x:c>
      <x:c r="Q333" t="str">
        <x:v>No incident</x:v>
      </x:c>
      <x:c r="R333" t="str">
        <x:v>N/A</x:v>
      </x:c>
      <x:c r="S333" t="str">
        <x:v>Corrective</x:v>
      </x:c>
      <x:c r="T333" t="n">
        <x:v>1.7</x:v>
      </x:c>
      <x:c r="U333" t="n">
        <x:v>8.1</x:v>
      </x:c>
    </x:row>
    <x:row r="334">
      <x:c r="A334" s="12" t="n">
        <x:v>46137</x:v>
      </x:c>
      <x:c r="B334" t="str">
        <x:v>C</x:v>
      </x:c>
      <x:c r="C334" t="str">
        <x:v>Dried Pineapple</x:v>
      </x:c>
      <x:c r="D334" t="str">
        <x:v>Dryer 3</x:v>
      </x:c>
      <x:c r="E334" t="str">
        <x:v>Sup 1</x:v>
      </x:c>
      <x:c r="F334" t="n">
        <x:v>480</x:v>
      </x:c>
      <x:c r="G334" t="n">
        <x:v>0</x:v>
      </x:c>
      <x:c r="H334" t="n">
        <x:v>71</x:v>
      </x:c>
      <x:c r="I334" t="n">
        <x:v>1685</x:v>
      </x:c>
      <x:c r="J334" t="n">
        <x:v>1464</x:v>
      </x:c>
      <x:c r="K334" t="n">
        <x:v>63</x:v>
      </x:c>
      <x:c r="L334" t="n">
        <x:v>40</x:v>
      </x:c>
      <x:c r="M334" t="n">
        <x:v>94.1</x:v>
      </x:c>
      <x:c r="N334" t="n">
        <x:v>62.2</x:v>
      </x:c>
      <x:c r="O334" t="n">
        <x:v>83.9</x:v>
      </x:c>
      <x:c r="P334" t="n">
        <x:v>4</x:v>
      </x:c>
      <x:c r="Q334" t="str">
        <x:v>No incident</x:v>
      </x:c>
      <x:c r="R334" t="str">
        <x:v>N/A</x:v>
      </x:c>
      <x:c r="S334" t="str">
        <x:v>Inspection</x:v>
      </x:c>
      <x:c r="T334" t="n">
        <x:v>0.95</x:v>
      </x:c>
      <x:c r="U334" t="n">
        <x:v>11.2</x:v>
      </x:c>
    </x:row>
    <x:row r="335">
      <x:c r="A335" s="12" t="n">
        <x:v>46138</x:v>
      </x:c>
      <x:c r="B335" t="str">
        <x:v>A</x:v>
      </x:c>
      <x:c r="C335" t="str">
        <x:v>Desiccated Coconut</x:v>
      </x:c>
      <x:c r="D335" t="str">
        <x:v>Dryer 3</x:v>
      </x:c>
      <x:c r="E335" t="str">
        <x:v>Sup 2</x:v>
      </x:c>
      <x:c r="F335" t="n">
        <x:v>420</x:v>
      </x:c>
      <x:c r="G335" t="n">
        <x:v>0</x:v>
      </x:c>
      <x:c r="H335" t="n">
        <x:v>58</x:v>
      </x:c>
      <x:c r="I335" t="n">
        <x:v>1210</x:v>
      </x:c>
      <x:c r="J335" t="n">
        <x:v>1041</x:v>
      </x:c>
      <x:c r="K335" t="n">
        <x:v>36</x:v>
      </x:c>
      <x:c r="L335" t="n">
        <x:v>19</x:v>
      </x:c>
      <x:c r="M335" t="n">
        <x:v>93.5</x:v>
      </x:c>
      <x:c r="N335" t="n">
        <x:v>86.2</x:v>
      </x:c>
      <x:c r="O335" t="n">
        <x:v>57.5</x:v>
      </x:c>
      <x:c r="P335" t="n">
        <x:v>2</x:v>
      </x:c>
      <x:c r="Q335" t="str">
        <x:v>No incident</x:v>
      </x:c>
      <x:c r="R335" t="str">
        <x:v>N/A</x:v>
      </x:c>
      <x:c r="S335" t="str">
        <x:v>Inspection</x:v>
      </x:c>
      <x:c r="T335" t="n">
        <x:v>0.5</x:v>
      </x:c>
      <x:c r="U335" t="n">
        <x:v>8.8</x:v>
      </x:c>
    </x:row>
    <x:row r="336">
      <x:c r="A336" s="12" t="n">
        <x:v>46138</x:v>
      </x:c>
      <x:c r="B336" t="str">
        <x:v>B</x:v>
      </x:c>
      <x:c r="C336" t="str">
        <x:v>Desiccated Coconut</x:v>
      </x:c>
      <x:c r="D336" t="str">
        <x:v>Dryer 2</x:v>
      </x:c>
      <x:c r="E336" t="str">
        <x:v>Sup 1</x:v>
      </x:c>
      <x:c r="F336" t="n">
        <x:v>480</x:v>
      </x:c>
      <x:c r="G336" t="n">
        <x:v>20</x:v>
      </x:c>
      <x:c r="H336" t="n">
        <x:v>61</x:v>
      </x:c>
      <x:c r="I336" t="n">
        <x:v>1182</x:v>
      </x:c>
      <x:c r="J336" t="n">
        <x:v>1007</x:v>
      </x:c>
      <x:c r="K336" t="n">
        <x:v>25</x:v>
      </x:c>
      <x:c r="L336" t="n">
        <x:v>7</x:v>
      </x:c>
      <x:c r="M336" t="n">
        <x:v>93.7</x:v>
      </x:c>
      <x:c r="N336" t="n">
        <x:v>89</x:v>
      </x:c>
      <x:c r="O336" t="n">
        <x:v>77.6</x:v>
      </x:c>
      <x:c r="P336" t="n">
        <x:v>5</x:v>
      </x:c>
      <x:c r="Q336" t="str">
        <x:v>No incident</x:v>
      </x:c>
      <x:c r="R336" t="str">
        <x:v>N/A</x:v>
      </x:c>
      <x:c r="S336" t="str">
        <x:v>Inspection</x:v>
      </x:c>
      <x:c r="T336" t="n">
        <x:v>0.51</x:v>
      </x:c>
      <x:c r="U336" t="n">
        <x:v>8.2</x:v>
      </x:c>
    </x:row>
    <x:row r="337">
      <x:c r="A337" s="12" t="n">
        <x:v>46138</x:v>
      </x:c>
      <x:c r="B337" t="str">
        <x:v>C</x:v>
      </x:c>
      <x:c r="C337" t="str">
        <x:v>Dried Mango</x:v>
      </x:c>
      <x:c r="D337" t="str">
        <x:v>Dryer 1</x:v>
      </x:c>
      <x:c r="E337" t="str">
        <x:v>Sup 1</x:v>
      </x:c>
      <x:c r="F337" t="n">
        <x:v>450</x:v>
      </x:c>
      <x:c r="G337" t="n">
        <x:v>20</x:v>
      </x:c>
      <x:c r="H337" t="n">
        <x:v>49</x:v>
      </x:c>
      <x:c r="I337" t="n">
        <x:v>1542</x:v>
      </x:c>
      <x:c r="J337" t="n">
        <x:v>1287</x:v>
      </x:c>
      <x:c r="K337" t="n">
        <x:v>52</x:v>
      </x:c>
      <x:c r="L337" t="n">
        <x:v>32</x:v>
      </x:c>
      <x:c r="M337" t="n">
        <x:v>84.6</x:v>
      </x:c>
      <x:c r="N337" t="n">
        <x:v>64.7</x:v>
      </x:c>
      <x:c r="O337" t="n">
        <x:v>77.9</x:v>
      </x:c>
      <x:c r="P337" t="n">
        <x:v>0</x:v>
      </x:c>
      <x:c r="Q337" t="str">
        <x:v>First aid</x:v>
      </x:c>
      <x:c r="R337" t="str">
        <x:v>Open</x:v>
      </x:c>
      <x:c r="S337" t="str">
        <x:v>Corrective</x:v>
      </x:c>
      <x:c r="T337" t="n">
        <x:v>0.89</x:v>
      </x:c>
      <x:c r="U337" t="n">
        <x:v>11.4</x:v>
      </x:c>
    </x:row>
    <x:row r="338">
      <x:c r="A338" s="12" t="n">
        <x:v>46139</x:v>
      </x:c>
      <x:c r="B338" t="str">
        <x:v>A</x:v>
      </x:c>
      <x:c r="C338" t="str">
        <x:v>Dried Pineapple</x:v>
      </x:c>
      <x:c r="D338" t="str">
        <x:v>Dryer 2</x:v>
      </x:c>
      <x:c r="E338" t="str">
        <x:v>Sup 1</x:v>
      </x:c>
      <x:c r="F338" t="n">
        <x:v>450</x:v>
      </x:c>
      <x:c r="G338" t="n">
        <x:v>0</x:v>
      </x:c>
      <x:c r="H338" t="n">
        <x:v>50</x:v>
      </x:c>
      <x:c r="I338" t="n">
        <x:v>1615</x:v>
      </x:c>
      <x:c r="J338" t="n">
        <x:v>1270</x:v>
      </x:c>
      <x:c r="K338" t="n">
        <x:v>27</x:v>
      </x:c>
      <x:c r="L338" t="n">
        <x:v>17</x:v>
      </x:c>
      <x:c r="M338" t="n">
        <x:v>94.1</x:v>
      </x:c>
      <x:c r="N338" t="n">
        <x:v>85</x:v>
      </x:c>
      <x:c r="O338" t="n">
        <x:v>89</x:v>
      </x:c>
      <x:c r="P338" t="n">
        <x:v>1</x:v>
      </x:c>
      <x:c r="Q338" t="str">
        <x:v>No incident</x:v>
      </x:c>
      <x:c r="R338" t="str">
        <x:v>N/A</x:v>
      </x:c>
      <x:c r="S338" t="str">
        <x:v>Corrective</x:v>
      </x:c>
      <x:c r="T338" t="n">
        <x:v>1.61</x:v>
      </x:c>
      <x:c r="U338" t="n">
        <x:v>11.4</x:v>
      </x:c>
    </x:row>
    <x:row r="339">
      <x:c r="A339" s="12" t="n">
        <x:v>46139</x:v>
      </x:c>
      <x:c r="B339" t="str">
        <x:v>B</x:v>
      </x:c>
      <x:c r="C339" t="str">
        <x:v>Dried Mango</x:v>
      </x:c>
      <x:c r="D339" t="str">
        <x:v>Dryer 3</x:v>
      </x:c>
      <x:c r="E339" t="str">
        <x:v>Sup 1</x:v>
      </x:c>
      <x:c r="F339" t="n">
        <x:v>480</x:v>
      </x:c>
      <x:c r="G339" t="n">
        <x:v>0</x:v>
      </x:c>
      <x:c r="H339" t="n">
        <x:v>70</x:v>
      </x:c>
      <x:c r="I339" t="n">
        <x:v>1707</x:v>
      </x:c>
      <x:c r="J339" t="n">
        <x:v>1319</x:v>
      </x:c>
      <x:c r="K339" t="n">
        <x:v>63</x:v>
      </x:c>
      <x:c r="L339" t="n">
        <x:v>16</x:v>
      </x:c>
      <x:c r="M339" t="n">
        <x:v>92.1</x:v>
      </x:c>
      <x:c r="N339" t="n">
        <x:v>74</x:v>
      </x:c>
      <x:c r="O339" t="n">
        <x:v>74.2</x:v>
      </x:c>
      <x:c r="P339" t="n">
        <x:v>2</x:v>
      </x:c>
      <x:c r="Q339" t="str">
        <x:v>No incident</x:v>
      </x:c>
      <x:c r="R339" t="str">
        <x:v>N/A</x:v>
      </x:c>
      <x:c r="S339" t="str">
        <x:v>Inspection</x:v>
      </x:c>
      <x:c r="T339" t="n">
        <x:v>1.21</x:v>
      </x:c>
      <x:c r="U339" t="n">
        <x:v>11</x:v>
      </x:c>
    </x:row>
    <x:row r="340">
      <x:c r="A340" s="12" t="n">
        <x:v>46139</x:v>
      </x:c>
      <x:c r="B340" t="str">
        <x:v>C</x:v>
      </x:c>
      <x:c r="C340" t="str">
        <x:v>Dried Mango</x:v>
      </x:c>
      <x:c r="D340" t="str">
        <x:v>Dryer 4</x:v>
      </x:c>
      <x:c r="E340" t="str">
        <x:v>Sup 1</x:v>
      </x:c>
      <x:c r="F340" t="n">
        <x:v>480</x:v>
      </x:c>
      <x:c r="G340" t="n">
        <x:v>40</x:v>
      </x:c>
      <x:c r="H340" t="n">
        <x:v>51</x:v>
      </x:c>
      <x:c r="I340" t="n">
        <x:v>1638</x:v>
      </x:c>
      <x:c r="J340" t="n">
        <x:v>1357</x:v>
      </x:c>
      <x:c r="K340" t="n">
        <x:v>44</x:v>
      </x:c>
      <x:c r="L340" t="n">
        <x:v>14</x:v>
      </x:c>
      <x:c r="M340" t="n">
        <x:v>86</x:v>
      </x:c>
      <x:c r="N340" t="n">
        <x:v>77.1</x:v>
      </x:c>
      <x:c r="O340" t="n">
        <x:v>77.8</x:v>
      </x:c>
      <x:c r="P340" t="n">
        <x:v>3</x:v>
      </x:c>
      <x:c r="Q340" t="str">
        <x:v>No incident</x:v>
      </x:c>
      <x:c r="R340" t="str">
        <x:v>N/A</x:v>
      </x:c>
      <x:c r="S340" t="str">
        <x:v>Preventive</x:v>
      </x:c>
      <x:c r="T340" t="n">
        <x:v>1.06</x:v>
      </x:c>
      <x:c r="U340" t="n">
        <x:v>11.2</x:v>
      </x:c>
    </x:row>
    <x:row r="341">
      <x:c r="A341" s="12" t="n">
        <x:v>46140</x:v>
      </x:c>
      <x:c r="B341" t="str">
        <x:v>A</x:v>
      </x:c>
      <x:c r="C341" t="str">
        <x:v>Dried Mango</x:v>
      </x:c>
      <x:c r="D341" t="str">
        <x:v>Dryer 3</x:v>
      </x:c>
      <x:c r="E341" t="str">
        <x:v>Sup 1</x:v>
      </x:c>
      <x:c r="F341" t="n">
        <x:v>420</x:v>
      </x:c>
      <x:c r="G341" t="n">
        <x:v>30</x:v>
      </x:c>
      <x:c r="H341" t="n">
        <x:v>56</x:v>
      </x:c>
      <x:c r="I341" t="n">
        <x:v>1727</x:v>
      </x:c>
      <x:c r="J341" t="n">
        <x:v>1372</x:v>
      </x:c>
      <x:c r="K341" t="n">
        <x:v>71</x:v>
      </x:c>
      <x:c r="L341" t="n">
        <x:v>37</x:v>
      </x:c>
      <x:c r="M341" t="n">
        <x:v>90</x:v>
      </x:c>
      <x:c r="N341" t="n">
        <x:v>75.1</x:v>
      </x:c>
      <x:c r="O341" t="n">
        <x:v>66.7</x:v>
      </x:c>
      <x:c r="P341" t="n">
        <x:v>3</x:v>
      </x:c>
      <x:c r="Q341" t="str">
        <x:v>No incident</x:v>
      </x:c>
      <x:c r="R341" t="str">
        <x:v>N/A</x:v>
      </x:c>
      <x:c r="S341" t="str">
        <x:v>Inspection</x:v>
      </x:c>
      <x:c r="T341" t="n">
        <x:v>1.38</x:v>
      </x:c>
      <x:c r="U341" t="n">
        <x:v>10.3</x:v>
      </x:c>
    </x:row>
    <x:row r="342">
      <x:c r="A342" s="12" t="n">
        <x:v>46140</x:v>
      </x:c>
      <x:c r="B342" t="str">
        <x:v>B</x:v>
      </x:c>
      <x:c r="C342" t="str">
        <x:v>Dried Mango</x:v>
      </x:c>
      <x:c r="D342" t="str">
        <x:v>Dryer 2</x:v>
      </x:c>
      <x:c r="E342" t="str">
        <x:v>Sup 1</x:v>
      </x:c>
      <x:c r="F342" t="n">
        <x:v>450</x:v>
      </x:c>
      <x:c r="G342" t="n">
        <x:v>40</x:v>
      </x:c>
      <x:c r="H342" t="n">
        <x:v>61</x:v>
      </x:c>
      <x:c r="I342" t="n">
        <x:v>1691</x:v>
      </x:c>
      <x:c r="J342" t="n">
        <x:v>1299</x:v>
      </x:c>
      <x:c r="K342" t="n">
        <x:v>50</x:v>
      </x:c>
      <x:c r="L342" t="n">
        <x:v>31</x:v>
      </x:c>
      <x:c r="M342" t="n">
        <x:v>96.8</x:v>
      </x:c>
      <x:c r="N342" t="n">
        <x:v>64.4</x:v>
      </x:c>
      <x:c r="O342" t="n">
        <x:v>67</x:v>
      </x:c>
      <x:c r="P342" t="n">
        <x:v>3</x:v>
      </x:c>
      <x:c r="Q342" t="str">
        <x:v>No incident</x:v>
      </x:c>
      <x:c r="R342" t="str">
        <x:v>N/A</x:v>
      </x:c>
      <x:c r="S342" t="str">
        <x:v>Preventive</x:v>
      </x:c>
      <x:c r="T342" t="n">
        <x:v>0.5</x:v>
      </x:c>
      <x:c r="U342" t="n">
        <x:v>11.9</x:v>
      </x:c>
    </x:row>
    <x:row r="343">
      <x:c r="A343" s="12" t="n">
        <x:v>46140</x:v>
      </x:c>
      <x:c r="B343" t="str">
        <x:v>C</x:v>
      </x:c>
      <x:c r="C343" t="str">
        <x:v>Dried Mango</x:v>
      </x:c>
      <x:c r="D343" t="str">
        <x:v>Dryer 3</x:v>
      </x:c>
      <x:c r="E343" t="str">
        <x:v>Sup 3</x:v>
      </x:c>
      <x:c r="F343" t="n">
        <x:v>480</x:v>
      </x:c>
      <x:c r="G343" t="n">
        <x:v>30</x:v>
      </x:c>
      <x:c r="H343" t="n">
        <x:v>84</x:v>
      </x:c>
      <x:c r="I343" t="n">
        <x:v>1632</x:v>
      </x:c>
      <x:c r="J343" t="n">
        <x:v>1337</x:v>
      </x:c>
      <x:c r="K343" t="n">
        <x:v>52</x:v>
      </x:c>
      <x:c r="L343" t="n">
        <x:v>24</x:v>
      </x:c>
      <x:c r="M343" t="n">
        <x:v>90.9</x:v>
      </x:c>
      <x:c r="N343" t="n">
        <x:v>84.5</x:v>
      </x:c>
      <x:c r="O343" t="n">
        <x:v>80.1</x:v>
      </x:c>
      <x:c r="P343" t="n">
        <x:v>4</x:v>
      </x:c>
      <x:c r="Q343" t="str">
        <x:v>No incident</x:v>
      </x:c>
      <x:c r="R343" t="str">
        <x:v>N/A</x:v>
      </x:c>
      <x:c r="S343" t="str">
        <x:v>Preventive</x:v>
      </x:c>
      <x:c r="T343" t="n">
        <x:v>0.86</x:v>
      </x:c>
      <x:c r="U343" t="n">
        <x:v>10.5</x:v>
      </x:c>
    </x:row>
    <x:row r="344">
      <x:c r="A344" s="12" t="n">
        <x:v>46141</x:v>
      </x:c>
      <x:c r="B344" t="str">
        <x:v>A</x:v>
      </x:c>
      <x:c r="C344" t="str">
        <x:v>Desiccated Coconut</x:v>
      </x:c>
      <x:c r="D344" t="str">
        <x:v>Dryer 4</x:v>
      </x:c>
      <x:c r="E344" t="str">
        <x:v>Sup 3</x:v>
      </x:c>
      <x:c r="F344" t="n">
        <x:v>450</x:v>
      </x:c>
      <x:c r="G344" t="n">
        <x:v>20</x:v>
      </x:c>
      <x:c r="H344" t="n">
        <x:v>41</x:v>
      </x:c>
      <x:c r="I344" t="n">
        <x:v>1113</x:v>
      </x:c>
      <x:c r="J344" t="n">
        <x:v>1019</x:v>
      </x:c>
      <x:c r="K344" t="n">
        <x:v>21</x:v>
      </x:c>
      <x:c r="L344" t="n">
        <x:v>11</x:v>
      </x:c>
      <x:c r="M344" t="n">
        <x:v>92.2</x:v>
      </x:c>
      <x:c r="N344" t="n">
        <x:v>90.1</x:v>
      </x:c>
      <x:c r="O344" t="n">
        <x:v>64.4</x:v>
      </x:c>
      <x:c r="P344" t="n">
        <x:v>5</x:v>
      </x:c>
      <x:c r="Q344" t="str">
        <x:v>No incident</x:v>
      </x:c>
      <x:c r="R344" t="str">
        <x:v>N/A</x:v>
      </x:c>
      <x:c r="S344" t="str">
        <x:v>Preventive</x:v>
      </x:c>
      <x:c r="T344" t="n">
        <x:v>1.01</x:v>
      </x:c>
      <x:c r="U344" t="n">
        <x:v>8.1</x:v>
      </x:c>
    </x:row>
    <x:row r="345">
      <x:c r="A345" s="12" t="n">
        <x:v>46141</x:v>
      </x:c>
      <x:c r="B345" t="str">
        <x:v>B</x:v>
      </x:c>
      <x:c r="C345" t="str">
        <x:v>Dried Pineapple</x:v>
      </x:c>
      <x:c r="D345" t="str">
        <x:v>Dryer 1</x:v>
      </x:c>
      <x:c r="E345" t="str">
        <x:v>Sup 3</x:v>
      </x:c>
      <x:c r="F345" t="n">
        <x:v>480</x:v>
      </x:c>
      <x:c r="G345" t="n">
        <x:v>20</x:v>
      </x:c>
      <x:c r="H345" t="n">
        <x:v>37</x:v>
      </x:c>
      <x:c r="I345" t="n">
        <x:v>1700</x:v>
      </x:c>
      <x:c r="J345" t="n">
        <x:v>1541</x:v>
      </x:c>
      <x:c r="K345" t="n">
        <x:v>53</x:v>
      </x:c>
      <x:c r="L345" t="n">
        <x:v>25</x:v>
      </x:c>
      <x:c r="M345" t="n">
        <x:v>88.6</x:v>
      </x:c>
      <x:c r="N345" t="n">
        <x:v>82.6</x:v>
      </x:c>
      <x:c r="O345" t="n">
        <x:v>78.5</x:v>
      </x:c>
      <x:c r="P345" t="n">
        <x:v>4</x:v>
      </x:c>
      <x:c r="Q345" t="str">
        <x:v>No incident</x:v>
      </x:c>
      <x:c r="R345" t="str">
        <x:v>N/A</x:v>
      </x:c>
      <x:c r="S345" t="str">
        <x:v>Preventive</x:v>
      </x:c>
      <x:c r="T345" t="n">
        <x:v>0.8</x:v>
      </x:c>
      <x:c r="U345" t="n">
        <x:v>12.6</x:v>
      </x:c>
    </x:row>
    <x:row r="346">
      <x:c r="A346" s="12" t="n">
        <x:v>46141</x:v>
      </x:c>
      <x:c r="B346" t="str">
        <x:v>C</x:v>
      </x:c>
      <x:c r="C346" t="str">
        <x:v>Dried Pineapple</x:v>
      </x:c>
      <x:c r="D346" t="str">
        <x:v>Dryer 1</x:v>
      </x:c>
      <x:c r="E346" t="str">
        <x:v>Sup 3</x:v>
      </x:c>
      <x:c r="F346" t="n">
        <x:v>450</x:v>
      </x:c>
      <x:c r="G346" t="n">
        <x:v>30</x:v>
      </x:c>
      <x:c r="H346" t="n">
        <x:v>24</x:v>
      </x:c>
      <x:c r="I346" t="n">
        <x:v>1768</x:v>
      </x:c>
      <x:c r="J346" t="n">
        <x:v>1522</x:v>
      </x:c>
      <x:c r="K346" t="n">
        <x:v>44</x:v>
      </x:c>
      <x:c r="L346" t="n">
        <x:v>21</x:v>
      </x:c>
      <x:c r="M346" t="n">
        <x:v>84.9</x:v>
      </x:c>
      <x:c r="N346" t="n">
        <x:v>78</x:v>
      </x:c>
      <x:c r="O346" t="n">
        <x:v>80.9</x:v>
      </x:c>
      <x:c r="P346" t="n">
        <x:v>1</x:v>
      </x:c>
      <x:c r="Q346" t="str">
        <x:v>No incident</x:v>
      </x:c>
      <x:c r="R346" t="str">
        <x:v>N/A</x:v>
      </x:c>
      <x:c r="S346" t="str">
        <x:v>Inspection</x:v>
      </x:c>
      <x:c r="T346" t="n">
        <x:v>1.16</x:v>
      </x:c>
      <x:c r="U346" t="n">
        <x:v>12.1</x:v>
      </x:c>
    </x:row>
    <x:row r="347">
      <x:c r="A347" s="12" t="n">
        <x:v>46142</x:v>
      </x:c>
      <x:c r="B347" t="str">
        <x:v>A</x:v>
      </x:c>
      <x:c r="C347" t="str">
        <x:v>Dried Mango</x:v>
      </x:c>
      <x:c r="D347" t="str">
        <x:v>Dryer 4</x:v>
      </x:c>
      <x:c r="E347" t="str">
        <x:v>Sup 1</x:v>
      </x:c>
      <x:c r="F347" t="n">
        <x:v>480</x:v>
      </x:c>
      <x:c r="G347" t="n">
        <x:v>40</x:v>
      </x:c>
      <x:c r="H347" t="n">
        <x:v>44</x:v>
      </x:c>
      <x:c r="I347" t="n">
        <x:v>1776</x:v>
      </x:c>
      <x:c r="J347" t="n">
        <x:v>1517</x:v>
      </x:c>
      <x:c r="K347" t="n">
        <x:v>46</x:v>
      </x:c>
      <x:c r="L347" t="n">
        <x:v>15</x:v>
      </x:c>
      <x:c r="M347" t="n">
        <x:v>90.1</x:v>
      </x:c>
      <x:c r="N347" t="n">
        <x:v>76.9</x:v>
      </x:c>
      <x:c r="O347" t="n">
        <x:v>73.8</x:v>
      </x:c>
      <x:c r="P347" t="n">
        <x:v>3</x:v>
      </x:c>
      <x:c r="Q347" t="str">
        <x:v>Near miss</x:v>
      </x:c>
      <x:c r="R347" t="str">
        <x:v>Closed</x:v>
      </x:c>
      <x:c r="S347" t="str">
        <x:v>Inspection</x:v>
      </x:c>
      <x:c r="T347" t="n">
        <x:v>1.01</x:v>
      </x:c>
      <x:c r="U347" t="n">
        <x:v>11.4</x:v>
      </x:c>
    </x:row>
    <x:row r="348">
      <x:c r="A348" s="12" t="n">
        <x:v>46142</x:v>
      </x:c>
      <x:c r="B348" t="str">
        <x:v>B</x:v>
      </x:c>
      <x:c r="C348" t="str">
        <x:v>Dried Mango</x:v>
      </x:c>
      <x:c r="D348" t="str">
        <x:v>Dryer 3</x:v>
      </x:c>
      <x:c r="E348" t="str">
        <x:v>Sup 2</x:v>
      </x:c>
      <x:c r="F348" t="n">
        <x:v>450</x:v>
      </x:c>
      <x:c r="G348" t="n">
        <x:v>20</x:v>
      </x:c>
      <x:c r="H348" t="n">
        <x:v>46</x:v>
      </x:c>
      <x:c r="I348" t="n">
        <x:v>1518</x:v>
      </x:c>
      <x:c r="J348" t="n">
        <x:v>1283</x:v>
      </x:c>
      <x:c r="K348" t="n">
        <x:v>53</x:v>
      </x:c>
      <x:c r="L348" t="n">
        <x:v>15</x:v>
      </x:c>
      <x:c r="M348" t="n">
        <x:v>94.1</x:v>
      </x:c>
      <x:c r="N348" t="n">
        <x:v>87</x:v>
      </x:c>
      <x:c r="O348" t="n">
        <x:v>71.4</x:v>
      </x:c>
      <x:c r="P348" t="n">
        <x:v>1</x:v>
      </x:c>
      <x:c r="Q348" t="str">
        <x:v>No incident</x:v>
      </x:c>
      <x:c r="R348" t="str">
        <x:v>N/A</x:v>
      </x:c>
      <x:c r="S348" t="str">
        <x:v>Inspection</x:v>
      </x:c>
      <x:c r="T348" t="n">
        <x:v>0.5</x:v>
      </x:c>
      <x:c r="U348" t="n">
        <x:v>10</x:v>
      </x:c>
    </x:row>
    <x:row r="349">
      <x:c r="A349" s="12" t="n">
        <x:v>46142</x:v>
      </x:c>
      <x:c r="B349" t="str">
        <x:v>C</x:v>
      </x:c>
      <x:c r="C349" t="str">
        <x:v>Desiccated Coconut</x:v>
      </x:c>
      <x:c r="D349" t="str">
        <x:v>Dryer 4</x:v>
      </x:c>
      <x:c r="E349" t="str">
        <x:v>Sup 2</x:v>
      </x:c>
      <x:c r="F349" t="n">
        <x:v>480</x:v>
      </x:c>
      <x:c r="G349" t="n">
        <x:v>20</x:v>
      </x:c>
      <x:c r="H349" t="n">
        <x:v>64</x:v>
      </x:c>
      <x:c r="I349" t="n">
        <x:v>1113</x:v>
      </x:c>
      <x:c r="J349" t="n">
        <x:v>909</x:v>
      </x:c>
      <x:c r="K349" t="n">
        <x:v>21</x:v>
      </x:c>
      <x:c r="L349" t="n">
        <x:v>13</x:v>
      </x:c>
      <x:c r="M349" t="n">
        <x:v>88.4</x:v>
      </x:c>
      <x:c r="N349" t="n">
        <x:v>86.5</x:v>
      </x:c>
      <x:c r="O349" t="n">
        <x:v>84.9</x:v>
      </x:c>
      <x:c r="P349" t="n">
        <x:v>3</x:v>
      </x:c>
      <x:c r="Q349" t="str">
        <x:v>No incident</x:v>
      </x:c>
      <x:c r="R349" t="str">
        <x:v>N/A</x:v>
      </x:c>
      <x:c r="S349" t="str">
        <x:v>Preventive</x:v>
      </x:c>
      <x:c r="T349" t="n">
        <x:v>0.62</x:v>
      </x:c>
      <x:c r="U349" t="n">
        <x:v>7.3</x:v>
      </x:c>
    </x:row>
    <x:row r="350">
      <x:c r="A350" s="12" t="n">
        <x:v>46143</x:v>
      </x:c>
      <x:c r="B350" t="str">
        <x:v>A</x:v>
      </x:c>
      <x:c r="C350" t="str">
        <x:v>Desiccated Coconut</x:v>
      </x:c>
      <x:c r="D350" t="str">
        <x:v>Dryer 4</x:v>
      </x:c>
      <x:c r="E350" t="str">
        <x:v>Sup 1</x:v>
      </x:c>
      <x:c r="F350" t="n">
        <x:v>420</x:v>
      </x:c>
      <x:c r="G350" t="n">
        <x:v>0</x:v>
      </x:c>
      <x:c r="H350" t="n">
        <x:v>35</x:v>
      </x:c>
      <x:c r="I350" t="n">
        <x:v>1126</x:v>
      </x:c>
      <x:c r="J350" t="n">
        <x:v>1035</x:v>
      </x:c>
      <x:c r="K350" t="n">
        <x:v>21</x:v>
      </x:c>
      <x:c r="L350" t="n">
        <x:v>14</x:v>
      </x:c>
      <x:c r="M350" t="n">
        <x:v>79.5</x:v>
      </x:c>
      <x:c r="N350" t="n">
        <x:v>79.7</x:v>
      </x:c>
      <x:c r="O350" t="n">
        <x:v>94.4</x:v>
      </x:c>
      <x:c r="P350" t="n">
        <x:v>0</x:v>
      </x:c>
      <x:c r="Q350" t="str">
        <x:v>First aid</x:v>
      </x:c>
      <x:c r="R350" t="str">
        <x:v>Closed</x:v>
      </x:c>
      <x:c r="S350" t="str">
        <x:v>Preventive</x:v>
      </x:c>
      <x:c r="T350" t="n">
        <x:v>0.84</x:v>
      </x:c>
      <x:c r="U350" t="n">
        <x:v>8.4</x:v>
      </x:c>
    </x:row>
    <x:row r="351">
      <x:c r="A351" s="12" t="n">
        <x:v>46143</x:v>
      </x:c>
      <x:c r="B351" t="str">
        <x:v>B</x:v>
      </x:c>
      <x:c r="C351" t="str">
        <x:v>Dried Pineapple</x:v>
      </x:c>
      <x:c r="D351" t="str">
        <x:v>Dryer 1</x:v>
      </x:c>
      <x:c r="E351" t="str">
        <x:v>Sup 1</x:v>
      </x:c>
      <x:c r="F351" t="n">
        <x:v>450</x:v>
      </x:c>
      <x:c r="G351" t="n">
        <x:v>30</x:v>
      </x:c>
      <x:c r="H351" t="n">
        <x:v>31</x:v>
      </x:c>
      <x:c r="I351" t="n">
        <x:v>1628</x:v>
      </x:c>
      <x:c r="J351" t="n">
        <x:v>1414</x:v>
      </x:c>
      <x:c r="K351" t="n">
        <x:v>46</x:v>
      </x:c>
      <x:c r="L351" t="n">
        <x:v>28</x:v>
      </x:c>
      <x:c r="M351" t="n">
        <x:v>100</x:v>
      </x:c>
      <x:c r="N351" t="n">
        <x:v>77.8</x:v>
      </x:c>
      <x:c r="O351" t="n">
        <x:v>80.6</x:v>
      </x:c>
      <x:c r="P351" t="n">
        <x:v>2</x:v>
      </x:c>
      <x:c r="Q351" t="str">
        <x:v>No incident</x:v>
      </x:c>
      <x:c r="R351" t="str">
        <x:v>N/A</x:v>
      </x:c>
      <x:c r="S351" t="str">
        <x:v>Inspection</x:v>
      </x:c>
      <x:c r="T351" t="n">
        <x:v>0.88</x:v>
      </x:c>
      <x:c r="U351" t="n">
        <x:v>11.5</x:v>
      </x:c>
    </x:row>
    <x:row r="352">
      <x:c r="A352" s="12" t="n">
        <x:v>46143</x:v>
      </x:c>
      <x:c r="B352" t="str">
        <x:v>C</x:v>
      </x:c>
      <x:c r="C352" t="str">
        <x:v>Dried Mango</x:v>
      </x:c>
      <x:c r="D352" t="str">
        <x:v>Dryer 4</x:v>
      </x:c>
      <x:c r="E352" t="str">
        <x:v>Sup 1</x:v>
      </x:c>
      <x:c r="F352" t="n">
        <x:v>450</x:v>
      </x:c>
      <x:c r="G352" t="n">
        <x:v>0</x:v>
      </x:c>
      <x:c r="H352" t="n">
        <x:v>38</x:v>
      </x:c>
      <x:c r="I352" t="n">
        <x:v>1523</x:v>
      </x:c>
      <x:c r="J352" t="n">
        <x:v>1422</x:v>
      </x:c>
      <x:c r="K352" t="n">
        <x:v>55</x:v>
      </x:c>
      <x:c r="L352" t="n">
        <x:v>22</x:v>
      </x:c>
      <x:c r="M352" t="n">
        <x:v>93.6</x:v>
      </x:c>
      <x:c r="N352" t="n">
        <x:v>84.8</x:v>
      </x:c>
      <x:c r="O352" t="n">
        <x:v>74.1</x:v>
      </x:c>
      <x:c r="P352" t="n">
        <x:v>4</x:v>
      </x:c>
      <x:c r="Q352" t="str">
        <x:v>No incident</x:v>
      </x:c>
      <x:c r="R352" t="str">
        <x:v>N/A</x:v>
      </x:c>
      <x:c r="S352" t="str">
        <x:v>Corrective</x:v>
      </x:c>
      <x:c r="T352" t="n">
        <x:v>0.86</x:v>
      </x:c>
      <x:c r="U352" t="n">
        <x:v>12.7</x:v>
      </x:c>
    </x:row>
    <x:row r="353">
      <x:c r="A353" s="12" t="n">
        <x:v>46144</x:v>
      </x:c>
      <x:c r="B353" t="str">
        <x:v>A</x:v>
      </x:c>
      <x:c r="C353" t="str">
        <x:v>Dried Mango</x:v>
      </x:c>
      <x:c r="D353" t="str">
        <x:v>Dryer 2</x:v>
      </x:c>
      <x:c r="E353" t="str">
        <x:v>Sup 1</x:v>
      </x:c>
      <x:c r="F353" t="n">
        <x:v>480</x:v>
      </x:c>
      <x:c r="G353" t="n">
        <x:v>20</x:v>
      </x:c>
      <x:c r="H353" t="n">
        <x:v>48</x:v>
      </x:c>
      <x:c r="I353" t="n">
        <x:v>1671</x:v>
      </x:c>
      <x:c r="J353" t="n">
        <x:v>1372</x:v>
      </x:c>
      <x:c r="K353" t="n">
        <x:v>64</x:v>
      </x:c>
      <x:c r="L353" t="n">
        <x:v>40</x:v>
      </x:c>
      <x:c r="M353" t="n">
        <x:v>96.8</x:v>
      </x:c>
      <x:c r="N353" t="n">
        <x:v>79.2</x:v>
      </x:c>
      <x:c r="O353" t="n">
        <x:v>81.3</x:v>
      </x:c>
      <x:c r="P353" t="n">
        <x:v>3</x:v>
      </x:c>
      <x:c r="Q353" t="str">
        <x:v>No incident</x:v>
      </x:c>
      <x:c r="R353" t="str">
        <x:v>N/A</x:v>
      </x:c>
      <x:c r="S353" t="str">
        <x:v>Inspection</x:v>
      </x:c>
      <x:c r="T353" t="n">
        <x:v>0.5</x:v>
      </x:c>
      <x:c r="U353" t="n">
        <x:v>11.7</x:v>
      </x:c>
    </x:row>
    <x:row r="354">
      <x:c r="A354" s="12" t="n">
        <x:v>46144</x:v>
      </x:c>
      <x:c r="B354" t="str">
        <x:v>B</x:v>
      </x:c>
      <x:c r="C354" t="str">
        <x:v>Desiccated Coconut</x:v>
      </x:c>
      <x:c r="D354" t="str">
        <x:v>Dryer 4</x:v>
      </x:c>
      <x:c r="E354" t="str">
        <x:v>Sup 3</x:v>
      </x:c>
      <x:c r="F354" t="n">
        <x:v>480</x:v>
      </x:c>
      <x:c r="G354" t="n">
        <x:v>40</x:v>
      </x:c>
      <x:c r="H354" t="n">
        <x:v>25</x:v>
      </x:c>
      <x:c r="I354" t="n">
        <x:v>1237</x:v>
      </x:c>
      <x:c r="J354" t="n">
        <x:v>1163</x:v>
      </x:c>
      <x:c r="K354" t="n">
        <x:v>27</x:v>
      </x:c>
      <x:c r="L354" t="n">
        <x:v>11</x:v>
      </x:c>
      <x:c r="M354" t="n">
        <x:v>97</x:v>
      </x:c>
      <x:c r="N354" t="n">
        <x:v>78.5</x:v>
      </x:c>
      <x:c r="O354" t="n">
        <x:v>73.5</x:v>
      </x:c>
      <x:c r="P354" t="n">
        <x:v>3</x:v>
      </x:c>
      <x:c r="Q354" t="str">
        <x:v>No incident</x:v>
      </x:c>
      <x:c r="R354" t="str">
        <x:v>N/A</x:v>
      </x:c>
      <x:c r="S354" t="str">
        <x:v>Corrective</x:v>
      </x:c>
      <x:c r="T354" t="n">
        <x:v>1.3</x:v>
      </x:c>
      <x:c r="U354" t="n">
        <x:v>8.8</x:v>
      </x:c>
    </x:row>
    <x:row r="355">
      <x:c r="A355" s="12" t="n">
        <x:v>46144</x:v>
      </x:c>
      <x:c r="B355" t="str">
        <x:v>C</x:v>
      </x:c>
      <x:c r="C355" t="str">
        <x:v>Desiccated Coconut</x:v>
      </x:c>
      <x:c r="D355" t="str">
        <x:v>Dryer 4</x:v>
      </x:c>
      <x:c r="E355" t="str">
        <x:v>Sup 1</x:v>
      </x:c>
      <x:c r="F355" t="n">
        <x:v>480</x:v>
      </x:c>
      <x:c r="G355" t="n">
        <x:v>0</x:v>
      </x:c>
      <x:c r="H355" t="n">
        <x:v>51</x:v>
      </x:c>
      <x:c r="I355" t="n">
        <x:v>1223</x:v>
      </x:c>
      <x:c r="J355" t="n">
        <x:v>999</x:v>
      </x:c>
      <x:c r="K355" t="n">
        <x:v>17</x:v>
      </x:c>
      <x:c r="L355" t="n">
        <x:v>6</x:v>
      </x:c>
      <x:c r="M355" t="n">
        <x:v>82.9</x:v>
      </x:c>
      <x:c r="N355" t="n">
        <x:v>78.3</x:v>
      </x:c>
      <x:c r="O355" t="n">
        <x:v>68.3</x:v>
      </x:c>
      <x:c r="P355" t="n">
        <x:v>0</x:v>
      </x:c>
      <x:c r="Q355" t="str">
        <x:v>Near miss</x:v>
      </x:c>
      <x:c r="R355" t="str">
        <x:v>In progress</x:v>
      </x:c>
      <x:c r="S355" t="str">
        <x:v>Inspection</x:v>
      </x:c>
      <x:c r="T355" t="n">
        <x:v>0.64</x:v>
      </x:c>
      <x:c r="U355" t="n">
        <x:v>8.9</x:v>
      </x:c>
    </x:row>
    <x:row r="356">
      <x:c r="A356" s="12" t="n">
        <x:v>46145</x:v>
      </x:c>
      <x:c r="B356" t="str">
        <x:v>A</x:v>
      </x:c>
      <x:c r="C356" t="str">
        <x:v>Desiccated Coconut</x:v>
      </x:c>
      <x:c r="D356" t="str">
        <x:v>Dryer 4</x:v>
      </x:c>
      <x:c r="E356" t="str">
        <x:v>Sup 3</x:v>
      </x:c>
      <x:c r="F356" t="n">
        <x:v>450</x:v>
      </x:c>
      <x:c r="G356" t="n">
        <x:v>30</x:v>
      </x:c>
      <x:c r="H356" t="n">
        <x:v>28</x:v>
      </x:c>
      <x:c r="I356" t="n">
        <x:v>1249</x:v>
      </x:c>
      <x:c r="J356" t="n">
        <x:v>1174</x:v>
      </x:c>
      <x:c r="K356" t="n">
        <x:v>26</x:v>
      </x:c>
      <x:c r="L356" t="n">
        <x:v>14</x:v>
      </x:c>
      <x:c r="M356" t="n">
        <x:v>92.3</x:v>
      </x:c>
      <x:c r="N356" t="n">
        <x:v>77.2</x:v>
      </x:c>
      <x:c r="O356" t="n">
        <x:v>84.2</x:v>
      </x:c>
      <x:c r="P356" t="n">
        <x:v>2</x:v>
      </x:c>
      <x:c r="Q356" t="str">
        <x:v>No incident</x:v>
      </x:c>
      <x:c r="R356" t="str">
        <x:v>N/A</x:v>
      </x:c>
      <x:c r="S356" t="str">
        <x:v>Inspection</x:v>
      </x:c>
      <x:c r="T356" t="n">
        <x:v>0.6</x:v>
      </x:c>
      <x:c r="U356" t="n">
        <x:v>10.8</x:v>
      </x:c>
    </x:row>
    <x:row r="357">
      <x:c r="A357" s="12" t="n">
        <x:v>46145</x:v>
      </x:c>
      <x:c r="B357" t="str">
        <x:v>B</x:v>
      </x:c>
      <x:c r="C357" t="str">
        <x:v>Dried Mango</x:v>
      </x:c>
      <x:c r="D357" t="str">
        <x:v>Dryer 1</x:v>
      </x:c>
      <x:c r="E357" t="str">
        <x:v>Sup 1</x:v>
      </x:c>
      <x:c r="F357" t="n">
        <x:v>450</x:v>
      </x:c>
      <x:c r="G357" t="n">
        <x:v>20</x:v>
      </x:c>
      <x:c r="H357" t="n">
        <x:v>39</x:v>
      </x:c>
      <x:c r="I357" t="n">
        <x:v>1754</x:v>
      </x:c>
      <x:c r="J357" t="n">
        <x:v>1593</x:v>
      </x:c>
      <x:c r="K357" t="n">
        <x:v>49</x:v>
      </x:c>
      <x:c r="L357" t="n">
        <x:v>34</x:v>
      </x:c>
      <x:c r="M357" t="n">
        <x:v>95.9</x:v>
      </x:c>
      <x:c r="N357" t="n">
        <x:v>84.1</x:v>
      </x:c>
      <x:c r="O357" t="n">
        <x:v>68</x:v>
      </x:c>
      <x:c r="P357" t="n">
        <x:v>5</x:v>
      </x:c>
      <x:c r="Q357" t="str">
        <x:v>No incident</x:v>
      </x:c>
      <x:c r="R357" t="str">
        <x:v>N/A</x:v>
      </x:c>
      <x:c r="S357" t="str">
        <x:v>Inspection</x:v>
      </x:c>
      <x:c r="T357" t="n">
        <x:v>0.6</x:v>
      </x:c>
      <x:c r="U357" t="n">
        <x:v>12</x:v>
      </x:c>
    </x:row>
    <x:row r="358">
      <x:c r="A358" s="12" t="n">
        <x:v>46145</x:v>
      </x:c>
      <x:c r="B358" t="str">
        <x:v>C</x:v>
      </x:c>
      <x:c r="C358" t="str">
        <x:v>Desiccated Coconut</x:v>
      </x:c>
      <x:c r="D358" t="str">
        <x:v>Dryer 4</x:v>
      </x:c>
      <x:c r="E358" t="str">
        <x:v>Sup 3</x:v>
      </x:c>
      <x:c r="F358" t="n">
        <x:v>480</x:v>
      </x:c>
      <x:c r="G358" t="n">
        <x:v>0</x:v>
      </x:c>
      <x:c r="H358" t="n">
        <x:v>44</x:v>
      </x:c>
      <x:c r="I358" t="n">
        <x:v>1186</x:v>
      </x:c>
      <x:c r="J358" t="n">
        <x:v>953</x:v>
      </x:c>
      <x:c r="K358" t="n">
        <x:v>24</x:v>
      </x:c>
      <x:c r="L358" t="n">
        <x:v>15</x:v>
      </x:c>
      <x:c r="M358" t="n">
        <x:v>83.5</x:v>
      </x:c>
      <x:c r="N358" t="n">
        <x:v>68.7</x:v>
      </x:c>
      <x:c r="O358" t="n">
        <x:v>71.9</x:v>
      </x:c>
      <x:c r="P358" t="n">
        <x:v>2</x:v>
      </x:c>
      <x:c r="Q358" t="str">
        <x:v>First aid</x:v>
      </x:c>
      <x:c r="R358" t="str">
        <x:v>Closed</x:v>
      </x:c>
      <x:c r="S358" t="str">
        <x:v>Inspection</x:v>
      </x:c>
      <x:c r="T358" t="n">
        <x:v>0.5</x:v>
      </x:c>
      <x:c r="U358" t="n">
        <x:v>7.3</x:v>
      </x:c>
    </x:row>
    <x:row r="359">
      <x:c r="A359" s="12" t="n">
        <x:v>46146</x:v>
      </x:c>
      <x:c r="B359" t="str">
        <x:v>A</x:v>
      </x:c>
      <x:c r="C359" t="str">
        <x:v>Desiccated Coconut</x:v>
      </x:c>
      <x:c r="D359" t="str">
        <x:v>Dryer 3</x:v>
      </x:c>
      <x:c r="E359" t="str">
        <x:v>Sup 1</x:v>
      </x:c>
      <x:c r="F359" t="n">
        <x:v>420</x:v>
      </x:c>
      <x:c r="G359" t="n">
        <x:v>40</x:v>
      </x:c>
      <x:c r="H359" t="n">
        <x:v>34</x:v>
      </x:c>
      <x:c r="I359" t="n">
        <x:v>1200</x:v>
      </x:c>
      <x:c r="J359" t="n">
        <x:v>971</x:v>
      </x:c>
      <x:c r="K359" t="n">
        <x:v>43</x:v>
      </x:c>
      <x:c r="L359" t="n">
        <x:v>26</x:v>
      </x:c>
      <x:c r="M359" t="n">
        <x:v>96.1</x:v>
      </x:c>
      <x:c r="N359" t="n">
        <x:v>74.7</x:v>
      </x:c>
      <x:c r="O359" t="n">
        <x:v>81.8</x:v>
      </x:c>
      <x:c r="P359" t="n">
        <x:v>7</x:v>
      </x:c>
      <x:c r="Q359" t="str">
        <x:v>No incident</x:v>
      </x:c>
      <x:c r="R359" t="str">
        <x:v>N/A</x:v>
      </x:c>
      <x:c r="S359" t="str">
        <x:v>Inspection</x:v>
      </x:c>
      <x:c r="T359" t="n">
        <x:v>1.42</x:v>
      </x:c>
      <x:c r="U359" t="n">
        <x:v>8.1</x:v>
      </x:c>
    </x:row>
    <x:row r="360">
      <x:c r="A360" s="12" t="n">
        <x:v>46146</x:v>
      </x:c>
      <x:c r="B360" t="str">
        <x:v>B</x:v>
      </x:c>
      <x:c r="C360" t="str">
        <x:v>Desiccated Coconut</x:v>
      </x:c>
      <x:c r="D360" t="str">
        <x:v>Dryer 2</x:v>
      </x:c>
      <x:c r="E360" t="str">
        <x:v>Sup 2</x:v>
      </x:c>
      <x:c r="F360" t="n">
        <x:v>480</x:v>
      </x:c>
      <x:c r="G360" t="n">
        <x:v>0</x:v>
      </x:c>
      <x:c r="H360" t="n">
        <x:v>42</x:v>
      </x:c>
      <x:c r="I360" t="n">
        <x:v>1231</x:v>
      </x:c>
      <x:c r="J360" t="n">
        <x:v>1164</x:v>
      </x:c>
      <x:c r="K360" t="n">
        <x:v>42</x:v>
      </x:c>
      <x:c r="L360" t="n">
        <x:v>20</x:v>
      </x:c>
      <x:c r="M360" t="n">
        <x:v>100</x:v>
      </x:c>
      <x:c r="N360" t="n">
        <x:v>77</x:v>
      </x:c>
      <x:c r="O360" t="n">
        <x:v>77.9</x:v>
      </x:c>
      <x:c r="P360" t="n">
        <x:v>2</x:v>
      </x:c>
      <x:c r="Q360" t="str">
        <x:v>No incident</x:v>
      </x:c>
      <x:c r="R360" t="str">
        <x:v>N/A</x:v>
      </x:c>
      <x:c r="S360" t="str">
        <x:v>Corrective</x:v>
      </x:c>
      <x:c r="T360" t="n">
        <x:v>1.34</x:v>
      </x:c>
      <x:c r="U360" t="n">
        <x:v>9.7</x:v>
      </x:c>
    </x:row>
    <x:row r="361">
      <x:c r="A361" s="12" t="n">
        <x:v>46146</x:v>
      </x:c>
      <x:c r="B361" t="str">
        <x:v>C</x:v>
      </x:c>
      <x:c r="C361" t="str">
        <x:v>Desiccated Coconut</x:v>
      </x:c>
      <x:c r="D361" t="str">
        <x:v>Dryer 2</x:v>
      </x:c>
      <x:c r="E361" t="str">
        <x:v>Sup 3</x:v>
      </x:c>
      <x:c r="F361" t="n">
        <x:v>480</x:v>
      </x:c>
      <x:c r="G361" t="n">
        <x:v>30</x:v>
      </x:c>
      <x:c r="H361" t="n">
        <x:v>26</x:v>
      </x:c>
      <x:c r="I361" t="n">
        <x:v>1177</x:v>
      </x:c>
      <x:c r="J361" t="n">
        <x:v>1074</x:v>
      </x:c>
      <x:c r="K361" t="n">
        <x:v>21</x:v>
      </x:c>
      <x:c r="L361" t="n">
        <x:v>10</x:v>
      </x:c>
      <x:c r="M361" t="n">
        <x:v>88.3</x:v>
      </x:c>
      <x:c r="N361" t="n">
        <x:v>70.8</x:v>
      </x:c>
      <x:c r="O361" t="n">
        <x:v>75</x:v>
      </x:c>
      <x:c r="P361" t="n">
        <x:v>0</x:v>
      </x:c>
      <x:c r="Q361" t="str">
        <x:v>No incident</x:v>
      </x:c>
      <x:c r="R361" t="str">
        <x:v>N/A</x:v>
      </x:c>
      <x:c r="S361" t="str">
        <x:v>Preventive</x:v>
      </x:c>
      <x:c r="T361" t="n">
        <x:v>0.75</x:v>
      </x:c>
      <x:c r="U361" t="n">
        <x:v>9.4</x:v>
      </x:c>
    </x:row>
    <x:row r="362">
      <x:c r="A362" s="12" t="n">
        <x:v>46147</x:v>
      </x:c>
      <x:c r="B362" t="str">
        <x:v>A</x:v>
      </x:c>
      <x:c r="C362" t="str">
        <x:v>Dried Mango</x:v>
      </x:c>
      <x:c r="D362" t="str">
        <x:v>Dryer 2</x:v>
      </x:c>
      <x:c r="E362" t="str">
        <x:v>Sup 2</x:v>
      </x:c>
      <x:c r="F362" t="n">
        <x:v>420</x:v>
      </x:c>
      <x:c r="G362" t="n">
        <x:v>40</x:v>
      </x:c>
      <x:c r="H362" t="n">
        <x:v>42</x:v>
      </x:c>
      <x:c r="I362" t="n">
        <x:v>1658</x:v>
      </x:c>
      <x:c r="J362" t="n">
        <x:v>1490</x:v>
      </x:c>
      <x:c r="K362" t="n">
        <x:v>42</x:v>
      </x:c>
      <x:c r="L362" t="n">
        <x:v>27</x:v>
      </x:c>
      <x:c r="M362" t="n">
        <x:v>91</x:v>
      </x:c>
      <x:c r="N362" t="n">
        <x:v>75.5</x:v>
      </x:c>
      <x:c r="O362" t="n">
        <x:v>77.1</x:v>
      </x:c>
      <x:c r="P362" t="n">
        <x:v>2</x:v>
      </x:c>
      <x:c r="Q362" t="str">
        <x:v>No incident</x:v>
      </x:c>
      <x:c r="R362" t="str">
        <x:v>N/A</x:v>
      </x:c>
      <x:c r="S362" t="str">
        <x:v>Corrective</x:v>
      </x:c>
      <x:c r="T362" t="n">
        <x:v>1.94</x:v>
      </x:c>
      <x:c r="U362" t="n">
        <x:v>12.3</x:v>
      </x:c>
    </x:row>
    <x:row r="363">
      <x:c r="A363" s="12" t="n">
        <x:v>46147</x:v>
      </x:c>
      <x:c r="B363" t="str">
        <x:v>B</x:v>
      </x:c>
      <x:c r="C363" t="str">
        <x:v>Desiccated Coconut</x:v>
      </x:c>
      <x:c r="D363" t="str">
        <x:v>Dryer 1</x:v>
      </x:c>
      <x:c r="E363" t="str">
        <x:v>Sup 2</x:v>
      </x:c>
      <x:c r="F363" t="n">
        <x:v>480</x:v>
      </x:c>
      <x:c r="G363" t="n">
        <x:v>30</x:v>
      </x:c>
      <x:c r="H363" t="n">
        <x:v>27</x:v>
      </x:c>
      <x:c r="I363" t="n">
        <x:v>1272</x:v>
      </x:c>
      <x:c r="J363" t="n">
        <x:v>1113</x:v>
      </x:c>
      <x:c r="K363" t="n">
        <x:v>20</x:v>
      </x:c>
      <x:c r="L363" t="n">
        <x:v>13</x:v>
      </x:c>
      <x:c r="M363" t="n">
        <x:v>81.6</x:v>
      </x:c>
      <x:c r="N363" t="n">
        <x:v>70.3</x:v>
      </x:c>
      <x:c r="O363" t="n">
        <x:v>71.2</x:v>
      </x:c>
      <x:c r="P363" t="n">
        <x:v>3</x:v>
      </x:c>
      <x:c r="Q363" t="str">
        <x:v>No incident</x:v>
      </x:c>
      <x:c r="R363" t="str">
        <x:v>N/A</x:v>
      </x:c>
      <x:c r="S363" t="str">
        <x:v>Preventive</x:v>
      </x:c>
      <x:c r="T363" t="n">
        <x:v>1.53</x:v>
      </x:c>
      <x:c r="U363" t="n">
        <x:v>9.2</x:v>
      </x:c>
    </x:row>
    <x:row r="364">
      <x:c r="A364" s="12" t="n">
        <x:v>46147</x:v>
      </x:c>
      <x:c r="B364" t="str">
        <x:v>C</x:v>
      </x:c>
      <x:c r="C364" t="str">
        <x:v>Dried Pineapple</x:v>
      </x:c>
      <x:c r="D364" t="str">
        <x:v>Dryer 2</x:v>
      </x:c>
      <x:c r="E364" t="str">
        <x:v>Sup 2</x:v>
      </x:c>
      <x:c r="F364" t="n">
        <x:v>450</x:v>
      </x:c>
      <x:c r="G364" t="n">
        <x:v>30</x:v>
      </x:c>
      <x:c r="H364" t="n">
        <x:v>39</x:v>
      </x:c>
      <x:c r="I364" t="n">
        <x:v>1754</x:v>
      </x:c>
      <x:c r="J364" t="n">
        <x:v>1499</x:v>
      </x:c>
      <x:c r="K364" t="n">
        <x:v>56</x:v>
      </x:c>
      <x:c r="L364" t="n">
        <x:v>38</x:v>
      </x:c>
      <x:c r="M364" t="n">
        <x:v>86.9</x:v>
      </x:c>
      <x:c r="N364" t="n">
        <x:v>87.1</x:v>
      </x:c>
      <x:c r="O364" t="n">
        <x:v>82.9</x:v>
      </x:c>
      <x:c r="P364" t="n">
        <x:v>3</x:v>
      </x:c>
      <x:c r="Q364" t="str">
        <x:v>No incident</x:v>
      </x:c>
      <x:c r="R364" t="str">
        <x:v>N/A</x:v>
      </x:c>
      <x:c r="S364" t="str">
        <x:v>Corrective</x:v>
      </x:c>
      <x:c r="T364" t="n">
        <x:v>1.74</x:v>
      </x:c>
      <x:c r="U364" t="n">
        <x:v>13.4</x:v>
      </x:c>
    </x:row>
    <x:row r="365">
      <x:c r="A365" s="12" t="n">
        <x:v>46148</x:v>
      </x:c>
      <x:c r="B365" t="str">
        <x:v>A</x:v>
      </x:c>
      <x:c r="C365" t="str">
        <x:v>Desiccated Coconut</x:v>
      </x:c>
      <x:c r="D365" t="str">
        <x:v>Dryer 4</x:v>
      </x:c>
      <x:c r="E365" t="str">
        <x:v>Sup 2</x:v>
      </x:c>
      <x:c r="F365" t="n">
        <x:v>420</x:v>
      </x:c>
      <x:c r="G365" t="n">
        <x:v>0</x:v>
      </x:c>
      <x:c r="H365" t="n">
        <x:v>53</x:v>
      </x:c>
      <x:c r="I365" t="n">
        <x:v>1294</x:v>
      </x:c>
      <x:c r="J365" t="n">
        <x:v>1049</x:v>
      </x:c>
      <x:c r="K365" t="n">
        <x:v>37</x:v>
      </x:c>
      <x:c r="L365" t="n">
        <x:v>18</x:v>
      </x:c>
      <x:c r="M365" t="n">
        <x:v>88.3</x:v>
      </x:c>
      <x:c r="N365" t="n">
        <x:v>87.3</x:v>
      </x:c>
      <x:c r="O365" t="n">
        <x:v>77.9</x:v>
      </x:c>
      <x:c r="P365" t="n">
        <x:v>3</x:v>
      </x:c>
      <x:c r="Q365" t="str">
        <x:v>No incident</x:v>
      </x:c>
      <x:c r="R365" t="str">
        <x:v>N/A</x:v>
      </x:c>
      <x:c r="S365" t="str">
        <x:v>Inspection</x:v>
      </x:c>
      <x:c r="T365" t="n">
        <x:v>1.24</x:v>
      </x:c>
      <x:c r="U365" t="n">
        <x:v>9.4</x:v>
      </x:c>
    </x:row>
    <x:row r="366">
      <x:c r="A366" s="12" t="n">
        <x:v>46148</x:v>
      </x:c>
      <x:c r="B366" t="str">
        <x:v>B</x:v>
      </x:c>
      <x:c r="C366" t="str">
        <x:v>Dried Mango</x:v>
      </x:c>
      <x:c r="D366" t="str">
        <x:v>Dryer 4</x:v>
      </x:c>
      <x:c r="E366" t="str">
        <x:v>Sup 3</x:v>
      </x:c>
      <x:c r="F366" t="n">
        <x:v>480</x:v>
      </x:c>
      <x:c r="G366" t="n">
        <x:v>20</x:v>
      </x:c>
      <x:c r="H366" t="n">
        <x:v>56</x:v>
      </x:c>
      <x:c r="I366" t="n">
        <x:v>1702</x:v>
      </x:c>
      <x:c r="J366" t="n">
        <x:v>1523</x:v>
      </x:c>
      <x:c r="K366" t="n">
        <x:v>68</x:v>
      </x:c>
      <x:c r="L366" t="n">
        <x:v>24</x:v>
      </x:c>
      <x:c r="M366" t="n">
        <x:v>89.2</x:v>
      </x:c>
      <x:c r="N366" t="n">
        <x:v>73.3</x:v>
      </x:c>
      <x:c r="O366" t="n">
        <x:v>81.9</x:v>
      </x:c>
      <x:c r="P366" t="n">
        <x:v>0</x:v>
      </x:c>
      <x:c r="Q366" t="str">
        <x:v>No incident</x:v>
      </x:c>
      <x:c r="R366" t="str">
        <x:v>N/A</x:v>
      </x:c>
      <x:c r="S366" t="str">
        <x:v>Inspection</x:v>
      </x:c>
      <x:c r="T366" t="n">
        <x:v>1.17</x:v>
      </x:c>
      <x:c r="U366" t="n">
        <x:v>14</x:v>
      </x:c>
    </x:row>
    <x:row r="367">
      <x:c r="A367" s="12" t="n">
        <x:v>46148</x:v>
      </x:c>
      <x:c r="B367" t="str">
        <x:v>C</x:v>
      </x:c>
      <x:c r="C367" t="str">
        <x:v>Dried Pineapple</x:v>
      </x:c>
      <x:c r="D367" t="str">
        <x:v>Dryer 2</x:v>
      </x:c>
      <x:c r="E367" t="str">
        <x:v>Sup 3</x:v>
      </x:c>
      <x:c r="F367" t="n">
        <x:v>450</x:v>
      </x:c>
      <x:c r="G367" t="n">
        <x:v>30</x:v>
      </x:c>
      <x:c r="H367" t="n">
        <x:v>28</x:v>
      </x:c>
      <x:c r="I367" t="n">
        <x:v>1697</x:v>
      </x:c>
      <x:c r="J367" t="n">
        <x:v>1469</x:v>
      </x:c>
      <x:c r="K367" t="n">
        <x:v>40</x:v>
      </x:c>
      <x:c r="L367" t="n">
        <x:v>21</x:v>
      </x:c>
      <x:c r="M367" t="n">
        <x:v>89</x:v>
      </x:c>
      <x:c r="N367" t="n">
        <x:v>62.3</x:v>
      </x:c>
      <x:c r="O367" t="n">
        <x:v>69.9</x:v>
      </x:c>
      <x:c r="P367" t="n">
        <x:v>5</x:v>
      </x:c>
      <x:c r="Q367" t="str">
        <x:v>Near miss</x:v>
      </x:c>
      <x:c r="R367" t="str">
        <x:v>Open</x:v>
      </x:c>
      <x:c r="S367" t="str">
        <x:v>Preventive</x:v>
      </x:c>
      <x:c r="T367" t="n">
        <x:v>0.82</x:v>
      </x:c>
      <x:c r="U367" t="n">
        <x:v>13.4</x:v>
      </x:c>
    </x:row>
    <x:row r="368">
      <x:c r="A368" s="12" t="n">
        <x:v>46149</x:v>
      </x:c>
      <x:c r="B368" t="str">
        <x:v>A</x:v>
      </x:c>
      <x:c r="C368" t="str">
        <x:v>Dried Mango</x:v>
      </x:c>
      <x:c r="D368" t="str">
        <x:v>Dryer 4</x:v>
      </x:c>
      <x:c r="E368" t="str">
        <x:v>Sup 1</x:v>
      </x:c>
      <x:c r="F368" t="n">
        <x:v>420</x:v>
      </x:c>
      <x:c r="G368" t="n">
        <x:v>20</x:v>
      </x:c>
      <x:c r="H368" t="n">
        <x:v>39</x:v>
      </x:c>
      <x:c r="I368" t="n">
        <x:v>1697</x:v>
      </x:c>
      <x:c r="J368" t="n">
        <x:v>1417</x:v>
      </x:c>
      <x:c r="K368" t="n">
        <x:v>46</x:v>
      </x:c>
      <x:c r="L368" t="n">
        <x:v>23</x:v>
      </x:c>
      <x:c r="M368" t="n">
        <x:v>98.3</x:v>
      </x:c>
      <x:c r="N368" t="n">
        <x:v>60.3</x:v>
      </x:c>
      <x:c r="O368" t="n">
        <x:v>64.8</x:v>
      </x:c>
      <x:c r="P368" t="n">
        <x:v>3</x:v>
      </x:c>
      <x:c r="Q368" t="str">
        <x:v>First aid</x:v>
      </x:c>
      <x:c r="R368" t="str">
        <x:v>Open</x:v>
      </x:c>
      <x:c r="S368" t="str">
        <x:v>Preventive</x:v>
      </x:c>
      <x:c r="T368" t="n">
        <x:v>0.62</x:v>
      </x:c>
      <x:c r="U368" t="n">
        <x:v>12.2</x:v>
      </x:c>
    </x:row>
    <x:row r="369">
      <x:c r="A369" s="12" t="n">
        <x:v>46149</x:v>
      </x:c>
      <x:c r="B369" t="str">
        <x:v>B</x:v>
      </x:c>
      <x:c r="C369" t="str">
        <x:v>Dried Pineapple</x:v>
      </x:c>
      <x:c r="D369" t="str">
        <x:v>Dryer 2</x:v>
      </x:c>
      <x:c r="E369" t="str">
        <x:v>Sup 1</x:v>
      </x:c>
      <x:c r="F369" t="n">
        <x:v>480</x:v>
      </x:c>
      <x:c r="G369" t="n">
        <x:v>20</x:v>
      </x:c>
      <x:c r="H369" t="n">
        <x:v>8</x:v>
      </x:c>
      <x:c r="I369" t="n">
        <x:v>1641</x:v>
      </x:c>
      <x:c r="J369" t="n">
        <x:v>1585</x:v>
      </x:c>
      <x:c r="K369" t="n">
        <x:v>43</x:v>
      </x:c>
      <x:c r="L369" t="n">
        <x:v>19</x:v>
      </x:c>
      <x:c r="M369" t="n">
        <x:v>91.2</x:v>
      </x:c>
      <x:c r="N369" t="n">
        <x:v>80.6</x:v>
      </x:c>
      <x:c r="O369" t="n">
        <x:v>59.1</x:v>
      </x:c>
      <x:c r="P369" t="n">
        <x:v>3</x:v>
      </x:c>
      <x:c r="Q369" t="str">
        <x:v>No incident</x:v>
      </x:c>
      <x:c r="R369" t="str">
        <x:v>N/A</x:v>
      </x:c>
      <x:c r="S369" t="str">
        <x:v>Inspection</x:v>
      </x:c>
      <x:c r="T369" t="n">
        <x:v>1.3</x:v>
      </x:c>
      <x:c r="U369" t="n">
        <x:v>14.2</x:v>
      </x:c>
    </x:row>
    <x:row r="370">
      <x:c r="A370" s="12" t="n">
        <x:v>46149</x:v>
      </x:c>
      <x:c r="B370" t="str">
        <x:v>C</x:v>
      </x:c>
      <x:c r="C370" t="str">
        <x:v>Desiccated Coconut</x:v>
      </x:c>
      <x:c r="D370" t="str">
        <x:v>Dryer 4</x:v>
      </x:c>
      <x:c r="E370" t="str">
        <x:v>Sup 1</x:v>
      </x:c>
      <x:c r="F370" t="n">
        <x:v>420</x:v>
      </x:c>
      <x:c r="G370" t="n">
        <x:v>0</x:v>
      </x:c>
      <x:c r="H370" t="n">
        <x:v>71</x:v>
      </x:c>
      <x:c r="I370" t="n">
        <x:v>1225</x:v>
      </x:c>
      <x:c r="J370" t="n">
        <x:v>904</x:v>
      </x:c>
      <x:c r="K370" t="n">
        <x:v>21</x:v>
      </x:c>
      <x:c r="L370" t="n">
        <x:v>8</x:v>
      </x:c>
      <x:c r="M370" t="n">
        <x:v>87.9</x:v>
      </x:c>
      <x:c r="N370" t="n">
        <x:v>83.9</x:v>
      </x:c>
      <x:c r="O370" t="n">
        <x:v>69.9</x:v>
      </x:c>
      <x:c r="P370" t="n">
        <x:v>2</x:v>
      </x:c>
      <x:c r="Q370" t="str">
        <x:v>Near miss</x:v>
      </x:c>
      <x:c r="R370" t="str">
        <x:v>In progress</x:v>
      </x:c>
      <x:c r="S370" t="str">
        <x:v>Inspection</x:v>
      </x:c>
      <x:c r="T370" t="n">
        <x:v>0.5</x:v>
      </x:c>
      <x:c r="U370" t="n">
        <x:v>6.9</x:v>
      </x:c>
    </x:row>
    <x:row r="371">
      <x:c r="A371" s="12" t="n">
        <x:v>46150</x:v>
      </x:c>
      <x:c r="B371" t="str">
        <x:v>A</x:v>
      </x:c>
      <x:c r="C371" t="str">
        <x:v>Desiccated Coconut</x:v>
      </x:c>
      <x:c r="D371" t="str">
        <x:v>Dryer 4</x:v>
      </x:c>
      <x:c r="E371" t="str">
        <x:v>Sup 2</x:v>
      </x:c>
      <x:c r="F371" t="n">
        <x:v>480</x:v>
      </x:c>
      <x:c r="G371" t="n">
        <x:v>30</x:v>
      </x:c>
      <x:c r="H371" t="n">
        <x:v>61</x:v>
      </x:c>
      <x:c r="I371" t="n">
        <x:v>1234</x:v>
      </x:c>
      <x:c r="J371" t="n">
        <x:v>1109</x:v>
      </x:c>
      <x:c r="K371" t="n">
        <x:v>37</x:v>
      </x:c>
      <x:c r="L371" t="n">
        <x:v>17</x:v>
      </x:c>
      <x:c r="M371" t="n">
        <x:v>96.5</x:v>
      </x:c>
      <x:c r="N371" t="n">
        <x:v>83.7</x:v>
      </x:c>
      <x:c r="O371" t="n">
        <x:v>83.7</x:v>
      </x:c>
      <x:c r="P371" t="n">
        <x:v>2</x:v>
      </x:c>
      <x:c r="Q371" t="str">
        <x:v>Near miss</x:v>
      </x:c>
      <x:c r="R371" t="str">
        <x:v>Open</x:v>
      </x:c>
      <x:c r="S371" t="str">
        <x:v>Preventive</x:v>
      </x:c>
      <x:c r="T371" t="n">
        <x:v>0.64</x:v>
      </x:c>
      <x:c r="U371" t="n">
        <x:v>8.7</x:v>
      </x:c>
    </x:row>
    <x:row r="372">
      <x:c r="A372" s="12" t="n">
        <x:v>46150</x:v>
      </x:c>
      <x:c r="B372" t="str">
        <x:v>B</x:v>
      </x:c>
      <x:c r="C372" t="str">
        <x:v>Dried Mango</x:v>
      </x:c>
      <x:c r="D372" t="str">
        <x:v>Dryer 4</x:v>
      </x:c>
      <x:c r="E372" t="str">
        <x:v>Sup 3</x:v>
      </x:c>
      <x:c r="F372" t="n">
        <x:v>450</x:v>
      </x:c>
      <x:c r="G372" t="n">
        <x:v>20</x:v>
      </x:c>
      <x:c r="H372" t="n">
        <x:v>42</x:v>
      </x:c>
      <x:c r="I372" t="n">
        <x:v>1680</x:v>
      </x:c>
      <x:c r="J372" t="n">
        <x:v>1393</x:v>
      </x:c>
      <x:c r="K372" t="n">
        <x:v>38</x:v>
      </x:c>
      <x:c r="L372" t="n">
        <x:v>11</x:v>
      </x:c>
      <x:c r="M372" t="n">
        <x:v>91</x:v>
      </x:c>
      <x:c r="N372" t="n">
        <x:v>84.7</x:v>
      </x:c>
      <x:c r="O372" t="n">
        <x:v>92.4</x:v>
      </x:c>
      <x:c r="P372" t="n">
        <x:v>1</x:v>
      </x:c>
      <x:c r="Q372" t="str">
        <x:v>No incident</x:v>
      </x:c>
      <x:c r="R372" t="str">
        <x:v>N/A</x:v>
      </x:c>
      <x:c r="S372" t="str">
        <x:v>Inspection</x:v>
      </x:c>
      <x:c r="T372" t="n">
        <x:v>0.91</x:v>
      </x:c>
      <x:c r="U372" t="n">
        <x:v>11.4</x:v>
      </x:c>
    </x:row>
    <x:row r="373">
      <x:c r="A373" s="12" t="n">
        <x:v>46150</x:v>
      </x:c>
      <x:c r="B373" t="str">
        <x:v>C</x:v>
      </x:c>
      <x:c r="C373" t="str">
        <x:v>Desiccated Coconut</x:v>
      </x:c>
      <x:c r="D373" t="str">
        <x:v>Dryer 4</x:v>
      </x:c>
      <x:c r="E373" t="str">
        <x:v>Sup 2</x:v>
      </x:c>
      <x:c r="F373" t="n">
        <x:v>450</x:v>
      </x:c>
      <x:c r="G373" t="n">
        <x:v>40</x:v>
      </x:c>
      <x:c r="H373" t="n">
        <x:v>41</x:v>
      </x:c>
      <x:c r="I373" t="n">
        <x:v>1140</x:v>
      </x:c>
      <x:c r="J373" t="n">
        <x:v>1000</x:v>
      </x:c>
      <x:c r="K373" t="n">
        <x:v>23</x:v>
      </x:c>
      <x:c r="L373" t="n">
        <x:v>9</x:v>
      </x:c>
      <x:c r="M373" t="n">
        <x:v>94.5</x:v>
      </x:c>
      <x:c r="N373" t="n">
        <x:v>78.3</x:v>
      </x:c>
      <x:c r="O373" t="n">
        <x:v>68.4</x:v>
      </x:c>
      <x:c r="P373" t="n">
        <x:v>4</x:v>
      </x:c>
      <x:c r="Q373" t="str">
        <x:v>No incident</x:v>
      </x:c>
      <x:c r="R373" t="str">
        <x:v>N/A</x:v>
      </x:c>
      <x:c r="S373" t="str">
        <x:v>Corrective</x:v>
      </x:c>
      <x:c r="T373" t="n">
        <x:v>1.33</x:v>
      </x:c>
      <x:c r="U373" t="n">
        <x:v>8</x:v>
      </x:c>
    </x:row>
    <x:row r="374">
      <x:c r="A374" s="12" t="n">
        <x:v>46151</x:v>
      </x:c>
      <x:c r="B374" t="str">
        <x:v>A</x:v>
      </x:c>
      <x:c r="C374" t="str">
        <x:v>Dried Mango</x:v>
      </x:c>
      <x:c r="D374" t="str">
        <x:v>Dryer 1</x:v>
      </x:c>
      <x:c r="E374" t="str">
        <x:v>Sup 3</x:v>
      </x:c>
      <x:c r="F374" t="n">
        <x:v>450</x:v>
      </x:c>
      <x:c r="G374" t="n">
        <x:v>0</x:v>
      </x:c>
      <x:c r="H374" t="n">
        <x:v>40</x:v>
      </x:c>
      <x:c r="I374" t="n">
        <x:v>1755</x:v>
      </x:c>
      <x:c r="J374" t="n">
        <x:v>1598</x:v>
      </x:c>
      <x:c r="K374" t="n">
        <x:v>72</x:v>
      </x:c>
      <x:c r="L374" t="n">
        <x:v>38</x:v>
      </x:c>
      <x:c r="M374" t="n">
        <x:v>95.4</x:v>
      </x:c>
      <x:c r="N374" t="n">
        <x:v>87.7</x:v>
      </x:c>
      <x:c r="O374" t="n">
        <x:v>92.2</x:v>
      </x:c>
      <x:c r="P374" t="n">
        <x:v>4</x:v>
      </x:c>
      <x:c r="Q374" t="str">
        <x:v>No incident</x:v>
      </x:c>
      <x:c r="R374" t="str">
        <x:v>N/A</x:v>
      </x:c>
      <x:c r="S374" t="str">
        <x:v>Corrective</x:v>
      </x:c>
      <x:c r="T374" t="n">
        <x:v>0.69</x:v>
      </x:c>
      <x:c r="U374" t="n">
        <x:v>12.9</x:v>
      </x:c>
    </x:row>
    <x:row r="375">
      <x:c r="A375" s="12" t="n">
        <x:v>46151</x:v>
      </x:c>
      <x:c r="B375" t="str">
        <x:v>B</x:v>
      </x:c>
      <x:c r="C375" t="str">
        <x:v>Dried Pineapple</x:v>
      </x:c>
      <x:c r="D375" t="str">
        <x:v>Dryer 1</x:v>
      </x:c>
      <x:c r="E375" t="str">
        <x:v>Sup 2</x:v>
      </x:c>
      <x:c r="F375" t="n">
        <x:v>450</x:v>
      </x:c>
      <x:c r="G375" t="n">
        <x:v>40</x:v>
      </x:c>
      <x:c r="H375" t="n">
        <x:v>48</x:v>
      </x:c>
      <x:c r="I375" t="n">
        <x:v>1710</x:v>
      </x:c>
      <x:c r="J375" t="n">
        <x:v>1513</x:v>
      </x:c>
      <x:c r="K375" t="n">
        <x:v>47</x:v>
      </x:c>
      <x:c r="L375" t="n">
        <x:v>21</x:v>
      </x:c>
      <x:c r="M375" t="n">
        <x:v>100</x:v>
      </x:c>
      <x:c r="N375" t="n">
        <x:v>78.4</x:v>
      </x:c>
      <x:c r="O375" t="n">
        <x:v>76.9</x:v>
      </x:c>
      <x:c r="P375" t="n">
        <x:v>2</x:v>
      </x:c>
      <x:c r="Q375" t="str">
        <x:v>No incident</x:v>
      </x:c>
      <x:c r="R375" t="str">
        <x:v>N/A</x:v>
      </x:c>
      <x:c r="S375" t="str">
        <x:v>Preventive</x:v>
      </x:c>
      <x:c r="T375" t="n">
        <x:v>0.5</x:v>
      </x:c>
      <x:c r="U375" t="n">
        <x:v>12.2</x:v>
      </x:c>
    </x:row>
    <x:row r="376">
      <x:c r="A376" s="12" t="n">
        <x:v>46151</x:v>
      </x:c>
      <x:c r="B376" t="str">
        <x:v>C</x:v>
      </x:c>
      <x:c r="C376" t="str">
        <x:v>Desiccated Coconut</x:v>
      </x:c>
      <x:c r="D376" t="str">
        <x:v>Dryer 4</x:v>
      </x:c>
      <x:c r="E376" t="str">
        <x:v>Sup 1</x:v>
      </x:c>
      <x:c r="F376" t="n">
        <x:v>480</x:v>
      </x:c>
      <x:c r="G376" t="n">
        <x:v>20</x:v>
      </x:c>
      <x:c r="H376" t="n">
        <x:v>36</x:v>
      </x:c>
      <x:c r="I376" t="n">
        <x:v>1154</x:v>
      </x:c>
      <x:c r="J376" t="n">
        <x:v>1034</x:v>
      </x:c>
      <x:c r="K376" t="n">
        <x:v>21</x:v>
      </x:c>
      <x:c r="L376" t="n">
        <x:v>9</x:v>
      </x:c>
      <x:c r="M376" t="n">
        <x:v>95.9</x:v>
      </x:c>
      <x:c r="N376" t="n">
        <x:v>75.6</x:v>
      </x:c>
      <x:c r="O376" t="n">
        <x:v>83.6</x:v>
      </x:c>
      <x:c r="P376" t="n">
        <x:v>6</x:v>
      </x:c>
      <x:c r="Q376" t="str">
        <x:v>No incident</x:v>
      </x:c>
      <x:c r="R376" t="str">
        <x:v>N/A</x:v>
      </x:c>
      <x:c r="S376" t="str">
        <x:v>Preventive</x:v>
      </x:c>
      <x:c r="T376" t="n">
        <x:v>0.68</x:v>
      </x:c>
      <x:c r="U376" t="n">
        <x:v>8.8</x:v>
      </x:c>
    </x:row>
    <x:row r="377">
      <x:c r="A377" s="12" t="n">
        <x:v>46152</x:v>
      </x:c>
      <x:c r="B377" t="str">
        <x:v>A</x:v>
      </x:c>
      <x:c r="C377" t="str">
        <x:v>Desiccated Coconut</x:v>
      </x:c>
      <x:c r="D377" t="str">
        <x:v>Dryer 3</x:v>
      </x:c>
      <x:c r="E377" t="str">
        <x:v>Sup 3</x:v>
      </x:c>
      <x:c r="F377" t="n">
        <x:v>450</x:v>
      </x:c>
      <x:c r="G377" t="n">
        <x:v>30</x:v>
      </x:c>
      <x:c r="H377" t="n">
        <x:v>75</x:v>
      </x:c>
      <x:c r="I377" t="n">
        <x:v>1203</x:v>
      </x:c>
      <x:c r="J377" t="n">
        <x:v>964</x:v>
      </x:c>
      <x:c r="K377" t="n">
        <x:v>44</x:v>
      </x:c>
      <x:c r="L377" t="n">
        <x:v>17</x:v>
      </x:c>
      <x:c r="M377" t="n">
        <x:v>87.1</x:v>
      </x:c>
      <x:c r="N377" t="n">
        <x:v>71.3</x:v>
      </x:c>
      <x:c r="O377" t="n">
        <x:v>63.3</x:v>
      </x:c>
      <x:c r="P377" t="n">
        <x:v>4</x:v>
      </x:c>
      <x:c r="Q377" t="str">
        <x:v>No incident</x:v>
      </x:c>
      <x:c r="R377" t="str">
        <x:v>N/A</x:v>
      </x:c>
      <x:c r="S377" t="str">
        <x:v>Corrective</x:v>
      </x:c>
      <x:c r="T377" t="n">
        <x:v>0.89</x:v>
      </x:c>
      <x:c r="U377" t="n">
        <x:v>7.4</x:v>
      </x:c>
    </x:row>
    <x:row r="378">
      <x:c r="A378" s="12" t="n">
        <x:v>46152</x:v>
      </x:c>
      <x:c r="B378" t="str">
        <x:v>B</x:v>
      </x:c>
      <x:c r="C378" t="str">
        <x:v>Desiccated Coconut</x:v>
      </x:c>
      <x:c r="D378" t="str">
        <x:v>Dryer 2</x:v>
      </x:c>
      <x:c r="E378" t="str">
        <x:v>Sup 1</x:v>
      </x:c>
      <x:c r="F378" t="n">
        <x:v>450</x:v>
      </x:c>
      <x:c r="G378" t="n">
        <x:v>20</x:v>
      </x:c>
      <x:c r="H378" t="n">
        <x:v>26</x:v>
      </x:c>
      <x:c r="I378" t="n">
        <x:v>1154</x:v>
      </x:c>
      <x:c r="J378" t="n">
        <x:v>1079</x:v>
      </x:c>
      <x:c r="K378" t="n">
        <x:v>32</x:v>
      </x:c>
      <x:c r="L378" t="n">
        <x:v>15</x:v>
      </x:c>
      <x:c r="M378" t="n">
        <x:v>89.9</x:v>
      </x:c>
      <x:c r="N378" t="n">
        <x:v>56.1</x:v>
      </x:c>
      <x:c r="O378" t="n">
        <x:v>72.3</x:v>
      </x:c>
      <x:c r="P378" t="n">
        <x:v>2</x:v>
      </x:c>
      <x:c r="Q378" t="str">
        <x:v>Recordable</x:v>
      </x:c>
      <x:c r="R378" t="str">
        <x:v>In progress</x:v>
      </x:c>
      <x:c r="S378" t="str">
        <x:v>Preventive</x:v>
      </x:c>
      <x:c r="T378" t="n">
        <x:v>1.31</x:v>
      </x:c>
      <x:c r="U378" t="n">
        <x:v>9.6</x:v>
      </x:c>
    </x:row>
    <x:row r="379">
      <x:c r="A379" s="12" t="n">
        <x:v>46152</x:v>
      </x:c>
      <x:c r="B379" t="str">
        <x:v>C</x:v>
      </x:c>
      <x:c r="C379" t="str">
        <x:v>Dried Pineapple</x:v>
      </x:c>
      <x:c r="D379" t="str">
        <x:v>Dryer 4</x:v>
      </x:c>
      <x:c r="E379" t="str">
        <x:v>Sup 1</x:v>
      </x:c>
      <x:c r="F379" t="n">
        <x:v>420</x:v>
      </x:c>
      <x:c r="G379" t="n">
        <x:v>20</x:v>
      </x:c>
      <x:c r="H379" t="n">
        <x:v>41</x:v>
      </x:c>
      <x:c r="I379" t="n">
        <x:v>1805</x:v>
      </x:c>
      <x:c r="J379" t="n">
        <x:v>1581</x:v>
      </x:c>
      <x:c r="K379" t="n">
        <x:v>57</x:v>
      </x:c>
      <x:c r="L379" t="n">
        <x:v>33</x:v>
      </x:c>
      <x:c r="M379" t="n">
        <x:v>90.2</x:v>
      </x:c>
      <x:c r="N379" t="n">
        <x:v>68.7</x:v>
      </x:c>
      <x:c r="O379" t="n">
        <x:v>75</x:v>
      </x:c>
      <x:c r="P379" t="n">
        <x:v>2</x:v>
      </x:c>
      <x:c r="Q379" t="str">
        <x:v>Near miss</x:v>
      </x:c>
      <x:c r="R379" t="str">
        <x:v>In progress</x:v>
      </x:c>
      <x:c r="S379" t="str">
        <x:v>Inspection</x:v>
      </x:c>
      <x:c r="T379" t="n">
        <x:v>1.35</x:v>
      </x:c>
      <x:c r="U379" t="n">
        <x:v>12.7</x:v>
      </x:c>
    </x:row>
    <x:row r="380">
      <x:c r="A380" s="12" t="n">
        <x:v>46153</x:v>
      </x:c>
      <x:c r="B380" t="str">
        <x:v>A</x:v>
      </x:c>
      <x:c r="C380" t="str">
        <x:v>Dried Pineapple</x:v>
      </x:c>
      <x:c r="D380" t="str">
        <x:v>Dryer 1</x:v>
      </x:c>
      <x:c r="E380" t="str">
        <x:v>Sup 2</x:v>
      </x:c>
      <x:c r="F380" t="n">
        <x:v>420</x:v>
      </x:c>
      <x:c r="G380" t="n">
        <x:v>0</x:v>
      </x:c>
      <x:c r="H380" t="n">
        <x:v>32</x:v>
      </x:c>
      <x:c r="I380" t="n">
        <x:v>1771</x:v>
      </x:c>
      <x:c r="J380" t="n">
        <x:v>1523</x:v>
      </x:c>
      <x:c r="K380" t="n">
        <x:v>41</x:v>
      </x:c>
      <x:c r="L380" t="n">
        <x:v>23</x:v>
      </x:c>
      <x:c r="M380" t="n">
        <x:v>89.2</x:v>
      </x:c>
      <x:c r="N380" t="n">
        <x:v>69</x:v>
      </x:c>
      <x:c r="O380" t="n">
        <x:v>81.5</x:v>
      </x:c>
      <x:c r="P380" t="n">
        <x:v>1</x:v>
      </x:c>
      <x:c r="Q380" t="str">
        <x:v>No incident</x:v>
      </x:c>
      <x:c r="R380" t="str">
        <x:v>N/A</x:v>
      </x:c>
      <x:c r="S380" t="str">
        <x:v>Preventive</x:v>
      </x:c>
      <x:c r="T380" t="n">
        <x:v>0.69</x:v>
      </x:c>
      <x:c r="U380" t="n">
        <x:v>13</x:v>
      </x:c>
    </x:row>
    <x:row r="381">
      <x:c r="A381" s="12" t="n">
        <x:v>46153</x:v>
      </x:c>
      <x:c r="B381" t="str">
        <x:v>B</x:v>
      </x:c>
      <x:c r="C381" t="str">
        <x:v>Desiccated Coconut</x:v>
      </x:c>
      <x:c r="D381" t="str">
        <x:v>Dryer 4</x:v>
      </x:c>
      <x:c r="E381" t="str">
        <x:v>Sup 1</x:v>
      </x:c>
      <x:c r="F381" t="n">
        <x:v>450</x:v>
      </x:c>
      <x:c r="G381" t="n">
        <x:v>20</x:v>
      </x:c>
      <x:c r="H381" t="n">
        <x:v>63</x:v>
      </x:c>
      <x:c r="I381" t="n">
        <x:v>1155</x:v>
      </x:c>
      <x:c r="J381" t="n">
        <x:v>894</x:v>
      </x:c>
      <x:c r="K381" t="n">
        <x:v>16</x:v>
      </x:c>
      <x:c r="L381" t="n">
        <x:v>7</x:v>
      </x:c>
      <x:c r="M381" t="n">
        <x:v>95</x:v>
      </x:c>
      <x:c r="N381" t="n">
        <x:v>89.6</x:v>
      </x:c>
      <x:c r="O381" t="n">
        <x:v>81</x:v>
      </x:c>
      <x:c r="P381" t="n">
        <x:v>4</x:v>
      </x:c>
      <x:c r="Q381" t="str">
        <x:v>No incident</x:v>
      </x:c>
      <x:c r="R381" t="str">
        <x:v>N/A</x:v>
      </x:c>
      <x:c r="S381" t="str">
        <x:v>Inspection</x:v>
      </x:c>
      <x:c r="T381" t="n">
        <x:v>0.63</x:v>
      </x:c>
      <x:c r="U381" t="n">
        <x:v>7.9</x:v>
      </x:c>
    </x:row>
    <x:row r="382">
      <x:c r="A382" s="12" t="n">
        <x:v>46153</x:v>
      </x:c>
      <x:c r="B382" t="str">
        <x:v>C</x:v>
      </x:c>
      <x:c r="C382" t="str">
        <x:v>Dried Pineapple</x:v>
      </x:c>
      <x:c r="D382" t="str">
        <x:v>Dryer 2</x:v>
      </x:c>
      <x:c r="E382" t="str">
        <x:v>Sup 3</x:v>
      </x:c>
      <x:c r="F382" t="n">
        <x:v>480</x:v>
      </x:c>
      <x:c r="G382" t="n">
        <x:v>30</x:v>
      </x:c>
      <x:c r="H382" t="n">
        <x:v>38</x:v>
      </x:c>
      <x:c r="I382" t="n">
        <x:v>1795</x:v>
      </x:c>
      <x:c r="J382" t="n">
        <x:v>1610</x:v>
      </x:c>
      <x:c r="K382" t="n">
        <x:v>41</x:v>
      </x:c>
      <x:c r="L382" t="n">
        <x:v>20</x:v>
      </x:c>
      <x:c r="M382" t="n">
        <x:v>87.6</x:v>
      </x:c>
      <x:c r="N382" t="n">
        <x:v>81.1</x:v>
      </x:c>
      <x:c r="O382" t="n">
        <x:v>80.4</x:v>
      </x:c>
      <x:c r="P382" t="n">
        <x:v>3</x:v>
      </x:c>
      <x:c r="Q382" t="str">
        <x:v>No incident</x:v>
      </x:c>
      <x:c r="R382" t="str">
        <x:v>N/A</x:v>
      </x:c>
      <x:c r="S382" t="str">
        <x:v>Preventive</x:v>
      </x:c>
      <x:c r="T382" t="n">
        <x:v>0.65</x:v>
      </x:c>
      <x:c r="U382" t="n">
        <x:v>14.5</x:v>
      </x:c>
    </x:row>
    <x:row r="383">
      <x:c r="A383" s="12" t="n">
        <x:v>46154</x:v>
      </x:c>
      <x:c r="B383" t="str">
        <x:v>A</x:v>
      </x:c>
      <x:c r="C383" t="str">
        <x:v>Dried Mango</x:v>
      </x:c>
      <x:c r="D383" t="str">
        <x:v>Dryer 2</x:v>
      </x:c>
      <x:c r="E383" t="str">
        <x:v>Sup 1</x:v>
      </x:c>
      <x:c r="F383" t="n">
        <x:v>420</x:v>
      </x:c>
      <x:c r="G383" t="n">
        <x:v>40</x:v>
      </x:c>
      <x:c r="H383" t="n">
        <x:v>24</x:v>
      </x:c>
      <x:c r="I383" t="n">
        <x:v>1652</x:v>
      </x:c>
      <x:c r="J383" t="n">
        <x:v>1398</x:v>
      </x:c>
      <x:c r="K383" t="n">
        <x:v>42</x:v>
      </x:c>
      <x:c r="L383" t="n">
        <x:v>11</x:v>
      </x:c>
      <x:c r="M383" t="n">
        <x:v>95.1</x:v>
      </x:c>
      <x:c r="N383" t="n">
        <x:v>73.7</x:v>
      </x:c>
      <x:c r="O383" t="n">
        <x:v>70.5</x:v>
      </x:c>
      <x:c r="P383" t="n">
        <x:v>3</x:v>
      </x:c>
      <x:c r="Q383" t="str">
        <x:v>No incident</x:v>
      </x:c>
      <x:c r="R383" t="str">
        <x:v>N/A</x:v>
      </x:c>
      <x:c r="S383" t="str">
        <x:v>Corrective</x:v>
      </x:c>
      <x:c r="T383" t="n">
        <x:v>1.15</x:v>
      </x:c>
      <x:c r="U383" t="n">
        <x:v>12.2</x:v>
      </x:c>
    </x:row>
    <x:row r="384">
      <x:c r="A384" s="12" t="n">
        <x:v>46154</x:v>
      </x:c>
      <x:c r="B384" t="str">
        <x:v>B</x:v>
      </x:c>
      <x:c r="C384" t="str">
        <x:v>Desiccated Coconut</x:v>
      </x:c>
      <x:c r="D384" t="str">
        <x:v>Dryer 3</x:v>
      </x:c>
      <x:c r="E384" t="str">
        <x:v>Sup 3</x:v>
      </x:c>
      <x:c r="F384" t="n">
        <x:v>420</x:v>
      </x:c>
      <x:c r="G384" t="n">
        <x:v>30</x:v>
      </x:c>
      <x:c r="H384" t="n">
        <x:v>61</x:v>
      </x:c>
      <x:c r="I384" t="n">
        <x:v>1278</x:v>
      </x:c>
      <x:c r="J384" t="n">
        <x:v>1009</x:v>
      </x:c>
      <x:c r="K384" t="n">
        <x:v>46</x:v>
      </x:c>
      <x:c r="L384" t="n">
        <x:v>19</x:v>
      </x:c>
      <x:c r="M384" t="n">
        <x:v>92.8</x:v>
      </x:c>
      <x:c r="N384" t="n">
        <x:v>88.5</x:v>
      </x:c>
      <x:c r="O384" t="n">
        <x:v>77.1</x:v>
      </x:c>
      <x:c r="P384" t="n">
        <x:v>2</x:v>
      </x:c>
      <x:c r="Q384" t="str">
        <x:v>No incident</x:v>
      </x:c>
      <x:c r="R384" t="str">
        <x:v>N/A</x:v>
      </x:c>
      <x:c r="S384" t="str">
        <x:v>Inspection</x:v>
      </x:c>
      <x:c r="T384" t="n">
        <x:v>1.11</x:v>
      </x:c>
      <x:c r="U384" t="n">
        <x:v>9.1</x:v>
      </x:c>
    </x:row>
    <x:row r="385">
      <x:c r="A385" s="12" t="n">
        <x:v>46154</x:v>
      </x:c>
      <x:c r="B385" t="str">
        <x:v>C</x:v>
      </x:c>
      <x:c r="C385" t="str">
        <x:v>Dried Mango</x:v>
      </x:c>
      <x:c r="D385" t="str">
        <x:v>Dryer 3</x:v>
      </x:c>
      <x:c r="E385" t="str">
        <x:v>Sup 2</x:v>
      </x:c>
      <x:c r="F385" t="n">
        <x:v>420</x:v>
      </x:c>
      <x:c r="G385" t="n">
        <x:v>0</x:v>
      </x:c>
      <x:c r="H385" t="n">
        <x:v>53</x:v>
      </x:c>
      <x:c r="I385" t="n">
        <x:v>1526</x:v>
      </x:c>
      <x:c r="J385" t="n">
        <x:v>1259</x:v>
      </x:c>
      <x:c r="K385" t="n">
        <x:v>62</x:v>
      </x:c>
      <x:c r="L385" t="n">
        <x:v>26</x:v>
      </x:c>
      <x:c r="M385" t="n">
        <x:v>91.3</x:v>
      </x:c>
      <x:c r="N385" t="n">
        <x:v>73.1</x:v>
      </x:c>
      <x:c r="O385" t="n">
        <x:v>78</x:v>
      </x:c>
      <x:c r="P385" t="n">
        <x:v>2</x:v>
      </x:c>
      <x:c r="Q385" t="str">
        <x:v>No incident</x:v>
      </x:c>
      <x:c r="R385" t="str">
        <x:v>N/A</x:v>
      </x:c>
      <x:c r="S385" t="str">
        <x:v>Corrective</x:v>
      </x:c>
      <x:c r="T385" t="n">
        <x:v>0.92</x:v>
      </x:c>
      <x:c r="U385" t="n">
        <x:v>10.9</x:v>
      </x:c>
    </x:row>
    <x:row r="386">
      <x:c r="A386" s="12" t="n">
        <x:v>46155</x:v>
      </x:c>
      <x:c r="B386" t="str">
        <x:v>A</x:v>
      </x:c>
      <x:c r="C386" t="str">
        <x:v>Dried Mango</x:v>
      </x:c>
      <x:c r="D386" t="str">
        <x:v>Dryer 4</x:v>
      </x:c>
      <x:c r="E386" t="str">
        <x:v>Sup 1</x:v>
      </x:c>
      <x:c r="F386" t="n">
        <x:v>450</x:v>
      </x:c>
      <x:c r="G386" t="n">
        <x:v>0</x:v>
      </x:c>
      <x:c r="H386" t="n">
        <x:v>63</x:v>
      </x:c>
      <x:c r="I386" t="n">
        <x:v>1753</x:v>
      </x:c>
      <x:c r="J386" t="n">
        <x:v>1438</x:v>
      </x:c>
      <x:c r="K386" t="n">
        <x:v>47</x:v>
      </x:c>
      <x:c r="L386" t="n">
        <x:v>23</x:v>
      </x:c>
      <x:c r="M386" t="n">
        <x:v>81.3</x:v>
      </x:c>
      <x:c r="N386" t="n">
        <x:v>85.3</x:v>
      </x:c>
      <x:c r="O386" t="n">
        <x:v>80.4</x:v>
      </x:c>
      <x:c r="P386" t="n">
        <x:v>3</x:v>
      </x:c>
      <x:c r="Q386" t="str">
        <x:v>No incident</x:v>
      </x:c>
      <x:c r="R386" t="str">
        <x:v>N/A</x:v>
      </x:c>
      <x:c r="S386" t="str">
        <x:v>Corrective</x:v>
      </x:c>
      <x:c r="T386" t="n">
        <x:v>1.52</x:v>
      </x:c>
      <x:c r="U386" t="n">
        <x:v>11.9</x:v>
      </x:c>
    </x:row>
    <x:row r="387">
      <x:c r="A387" s="12" t="n">
        <x:v>46155</x:v>
      </x:c>
      <x:c r="B387" t="str">
        <x:v>B</x:v>
      </x:c>
      <x:c r="C387" t="str">
        <x:v>Dried Mango</x:v>
      </x:c>
      <x:c r="D387" t="str">
        <x:v>Dryer 4</x:v>
      </x:c>
      <x:c r="E387" t="str">
        <x:v>Sup 1</x:v>
      </x:c>
      <x:c r="F387" t="n">
        <x:v>420</x:v>
      </x:c>
      <x:c r="G387" t="n">
        <x:v>20</x:v>
      </x:c>
      <x:c r="H387" t="n">
        <x:v>57</x:v>
      </x:c>
      <x:c r="I387" t="n">
        <x:v>1577</x:v>
      </x:c>
      <x:c r="J387" t="n">
        <x:v>1327</x:v>
      </x:c>
      <x:c r="K387" t="n">
        <x:v>37</x:v>
      </x:c>
      <x:c r="L387" t="n">
        <x:v>12</x:v>
      </x:c>
      <x:c r="M387" t="n">
        <x:v>90.8</x:v>
      </x:c>
      <x:c r="N387" t="n">
        <x:v>79.5</x:v>
      </x:c>
      <x:c r="O387" t="n">
        <x:v>88.8</x:v>
      </x:c>
      <x:c r="P387" t="n">
        <x:v>3</x:v>
      </x:c>
      <x:c r="Q387" t="str">
        <x:v>No incident</x:v>
      </x:c>
      <x:c r="R387" t="str">
        <x:v>N/A</x:v>
      </x:c>
      <x:c r="S387" t="str">
        <x:v>Inspection</x:v>
      </x:c>
      <x:c r="T387" t="n">
        <x:v>0.81</x:v>
      </x:c>
      <x:c r="U387" t="n">
        <x:v>11.2</x:v>
      </x:c>
    </x:row>
    <x:row r="388">
      <x:c r="A388" s="12" t="n">
        <x:v>46155</x:v>
      </x:c>
      <x:c r="B388" t="str">
        <x:v>C</x:v>
      </x:c>
      <x:c r="C388" t="str">
        <x:v>Desiccated Coconut</x:v>
      </x:c>
      <x:c r="D388" t="str">
        <x:v>Dryer 1</x:v>
      </x:c>
      <x:c r="E388" t="str">
        <x:v>Sup 2</x:v>
      </x:c>
      <x:c r="F388" t="n">
        <x:v>420</x:v>
      </x:c>
      <x:c r="G388" t="n">
        <x:v>0</x:v>
      </x:c>
      <x:c r="H388" t="n">
        <x:v>38</x:v>
      </x:c>
      <x:c r="I388" t="n">
        <x:v>1146</x:v>
      </x:c>
      <x:c r="J388" t="n">
        <x:v>1082</x:v>
      </x:c>
      <x:c r="K388" t="n">
        <x:v>39</x:v>
      </x:c>
      <x:c r="L388" t="n">
        <x:v>20</x:v>
      </x:c>
      <x:c r="M388" t="n">
        <x:v>84.3</x:v>
      </x:c>
      <x:c r="N388" t="n">
        <x:v>66.4</x:v>
      </x:c>
      <x:c r="O388" t="n">
        <x:v>70</x:v>
      </x:c>
      <x:c r="P388" t="n">
        <x:v>5</x:v>
      </x:c>
      <x:c r="Q388" t="str">
        <x:v>No incident</x:v>
      </x:c>
      <x:c r="R388" t="str">
        <x:v>N/A</x:v>
      </x:c>
      <x:c r="S388" t="str">
        <x:v>Preventive</x:v>
      </x:c>
      <x:c r="T388" t="n">
        <x:v>0.69</x:v>
      </x:c>
      <x:c r="U388" t="n">
        <x:v>8.5</x:v>
      </x:c>
    </x:row>
    <x:row r="389">
      <x:c r="A389" s="12" t="n">
        <x:v>46156</x:v>
      </x:c>
      <x:c r="B389" t="str">
        <x:v>A</x:v>
      </x:c>
      <x:c r="C389" t="str">
        <x:v>Dried Mango</x:v>
      </x:c>
      <x:c r="D389" t="str">
        <x:v>Dryer 4</x:v>
      </x:c>
      <x:c r="E389" t="str">
        <x:v>Sup 1</x:v>
      </x:c>
      <x:c r="F389" t="n">
        <x:v>450</x:v>
      </x:c>
      <x:c r="G389" t="n">
        <x:v>30</x:v>
      </x:c>
      <x:c r="H389" t="n">
        <x:v>31</x:v>
      </x:c>
      <x:c r="I389" t="n">
        <x:v>1568</x:v>
      </x:c>
      <x:c r="J389" t="n">
        <x:v>1492</x:v>
      </x:c>
      <x:c r="K389" t="n">
        <x:v>47</x:v>
      </x:c>
      <x:c r="L389" t="n">
        <x:v>32</x:v>
      </x:c>
      <x:c r="M389" t="n">
        <x:v>93.6</x:v>
      </x:c>
      <x:c r="N389" t="n">
        <x:v>92.7</x:v>
      </x:c>
      <x:c r="O389" t="n">
        <x:v>61.2</x:v>
      </x:c>
      <x:c r="P389" t="n">
        <x:v>3</x:v>
      </x:c>
      <x:c r="Q389" t="str">
        <x:v>Near miss</x:v>
      </x:c>
      <x:c r="R389" t="str">
        <x:v>In progress</x:v>
      </x:c>
      <x:c r="S389" t="str">
        <x:v>Preventive</x:v>
      </x:c>
      <x:c r="T389" t="n">
        <x:v>1.09</x:v>
      </x:c>
      <x:c r="U389" t="n">
        <x:v>11.3</x:v>
      </x:c>
    </x:row>
    <x:row r="390">
      <x:c r="A390" s="12" t="n">
        <x:v>46156</x:v>
      </x:c>
      <x:c r="B390" t="str">
        <x:v>B</x:v>
      </x:c>
      <x:c r="C390" t="str">
        <x:v>Desiccated Coconut</x:v>
      </x:c>
      <x:c r="D390" t="str">
        <x:v>Dryer 1</x:v>
      </x:c>
      <x:c r="E390" t="str">
        <x:v>Sup 3</x:v>
      </x:c>
      <x:c r="F390" t="n">
        <x:v>420</x:v>
      </x:c>
      <x:c r="G390" t="n">
        <x:v>0</x:v>
      </x:c>
      <x:c r="H390" t="n">
        <x:v>50</x:v>
      </x:c>
      <x:c r="I390" t="n">
        <x:v>1182</x:v>
      </x:c>
      <x:c r="J390" t="n">
        <x:v>1057</x:v>
      </x:c>
      <x:c r="K390" t="n">
        <x:v>19</x:v>
      </x:c>
      <x:c r="L390" t="n">
        <x:v>9</x:v>
      </x:c>
      <x:c r="M390" t="n">
        <x:v>94.5</x:v>
      </x:c>
      <x:c r="N390" t="n">
        <x:v>79.8</x:v>
      </x:c>
      <x:c r="O390" t="n">
        <x:v>71.4</x:v>
      </x:c>
      <x:c r="P390" t="n">
        <x:v>7</x:v>
      </x:c>
      <x:c r="Q390" t="str">
        <x:v>No incident</x:v>
      </x:c>
      <x:c r="R390" t="str">
        <x:v>N/A</x:v>
      </x:c>
      <x:c r="S390" t="str">
        <x:v>Preventive</x:v>
      </x:c>
      <x:c r="T390" t="n">
        <x:v>1.09</x:v>
      </x:c>
      <x:c r="U390" t="n">
        <x:v>9.6</x:v>
      </x:c>
    </x:row>
    <x:row r="391">
      <x:c r="A391" s="12" t="n">
        <x:v>46156</x:v>
      </x:c>
      <x:c r="B391" t="str">
        <x:v>C</x:v>
      </x:c>
      <x:c r="C391" t="str">
        <x:v>Dried Mango</x:v>
      </x:c>
      <x:c r="D391" t="str">
        <x:v>Dryer 1</x:v>
      </x:c>
      <x:c r="E391" t="str">
        <x:v>Sup 3</x:v>
      </x:c>
      <x:c r="F391" t="n">
        <x:v>480</x:v>
      </x:c>
      <x:c r="G391" t="n">
        <x:v>40</x:v>
      </x:c>
      <x:c r="H391" t="n">
        <x:v>53</x:v>
      </x:c>
      <x:c r="I391" t="n">
        <x:v>1748</x:v>
      </x:c>
      <x:c r="J391" t="n">
        <x:v>1560</x:v>
      </x:c>
      <x:c r="K391" t="n">
        <x:v>43</x:v>
      </x:c>
      <x:c r="L391" t="n">
        <x:v>21</x:v>
      </x:c>
      <x:c r="M391" t="n">
        <x:v>92.6</x:v>
      </x:c>
      <x:c r="N391" t="n">
        <x:v>76.3</x:v>
      </x:c>
      <x:c r="O391" t="n">
        <x:v>79.6</x:v>
      </x:c>
      <x:c r="P391" t="n">
        <x:v>3</x:v>
      </x:c>
      <x:c r="Q391" t="str">
        <x:v>No incident</x:v>
      </x:c>
      <x:c r="R391" t="str">
        <x:v>N/A</x:v>
      </x:c>
      <x:c r="S391" t="str">
        <x:v>Inspection</x:v>
      </x:c>
      <x:c r="T391" t="n">
        <x:v>1</x:v>
      </x:c>
      <x:c r="U391" t="n">
        <x:v>14.3</x:v>
      </x:c>
    </x:row>
    <x:row r="392">
      <x:c r="A392" s="12" t="n">
        <x:v>46157</x:v>
      </x:c>
      <x:c r="B392" t="str">
        <x:v>A</x:v>
      </x:c>
      <x:c r="C392" t="str">
        <x:v>Dried Pineapple</x:v>
      </x:c>
      <x:c r="D392" t="str">
        <x:v>Dryer 2</x:v>
      </x:c>
      <x:c r="E392" t="str">
        <x:v>Sup 1</x:v>
      </x:c>
      <x:c r="F392" t="n">
        <x:v>480</x:v>
      </x:c>
      <x:c r="G392" t="n">
        <x:v>0</x:v>
      </x:c>
      <x:c r="H392" t="n">
        <x:v>42</x:v>
      </x:c>
      <x:c r="I392" t="n">
        <x:v>1765</x:v>
      </x:c>
      <x:c r="J392" t="n">
        <x:v>1602</x:v>
      </x:c>
      <x:c r="K392" t="n">
        <x:v>53</x:v>
      </x:c>
      <x:c r="L392" t="n">
        <x:v>17</x:v>
      </x:c>
      <x:c r="M392" t="n">
        <x:v>87.4</x:v>
      </x:c>
      <x:c r="N392" t="n">
        <x:v>78.4</x:v>
      </x:c>
      <x:c r="O392" t="n">
        <x:v>74.4</x:v>
      </x:c>
      <x:c r="P392" t="n">
        <x:v>2</x:v>
      </x:c>
      <x:c r="Q392" t="str">
        <x:v>Near miss</x:v>
      </x:c>
      <x:c r="R392" t="str">
        <x:v>In progress</x:v>
      </x:c>
      <x:c r="S392" t="str">
        <x:v>Corrective</x:v>
      </x:c>
      <x:c r="T392" t="n">
        <x:v>1.62</x:v>
      </x:c>
      <x:c r="U392" t="n">
        <x:v>13</x:v>
      </x:c>
    </x:row>
    <x:row r="393">
      <x:c r="A393" s="12" t="n">
        <x:v>46157</x:v>
      </x:c>
      <x:c r="B393" t="str">
        <x:v>B</x:v>
      </x:c>
      <x:c r="C393" t="str">
        <x:v>Dried Pineapple</x:v>
      </x:c>
      <x:c r="D393" t="str">
        <x:v>Dryer 1</x:v>
      </x:c>
      <x:c r="E393" t="str">
        <x:v>Sup 2</x:v>
      </x:c>
      <x:c r="F393" t="n">
        <x:v>450</x:v>
      </x:c>
      <x:c r="G393" t="n">
        <x:v>30</x:v>
      </x:c>
      <x:c r="H393" t="n">
        <x:v>58</x:v>
      </x:c>
      <x:c r="I393" t="n">
        <x:v>1810</x:v>
      </x:c>
      <x:c r="J393" t="n">
        <x:v>1458</x:v>
      </x:c>
      <x:c r="K393" t="n">
        <x:v>34</x:v>
      </x:c>
      <x:c r="L393" t="n">
        <x:v>15</x:v>
      </x:c>
      <x:c r="M393" t="n">
        <x:v>89.4</x:v>
      </x:c>
      <x:c r="N393" t="n">
        <x:v>77.1</x:v>
      </x:c>
      <x:c r="O393" t="n">
        <x:v>68.8</x:v>
      </x:c>
      <x:c r="P393" t="n">
        <x:v>3</x:v>
      </x:c>
      <x:c r="Q393" t="str">
        <x:v>No incident</x:v>
      </x:c>
      <x:c r="R393" t="str">
        <x:v>N/A</x:v>
      </x:c>
      <x:c r="S393" t="str">
        <x:v>Corrective</x:v>
      </x:c>
      <x:c r="T393" t="n">
        <x:v>1.47</x:v>
      </x:c>
      <x:c r="U393" t="n">
        <x:v>12.5</x:v>
      </x:c>
    </x:row>
    <x:row r="394">
      <x:c r="A394" s="12" t="n">
        <x:v>46157</x:v>
      </x:c>
      <x:c r="B394" t="str">
        <x:v>C</x:v>
      </x:c>
      <x:c r="C394" t="str">
        <x:v>Dried Pineapple</x:v>
      </x:c>
      <x:c r="D394" t="str">
        <x:v>Dryer 1</x:v>
      </x:c>
      <x:c r="E394" t="str">
        <x:v>Sup 3</x:v>
      </x:c>
      <x:c r="F394" t="n">
        <x:v>480</x:v>
      </x:c>
      <x:c r="G394" t="n">
        <x:v>30</x:v>
      </x:c>
      <x:c r="H394" t="n">
        <x:v>40</x:v>
      </x:c>
      <x:c r="I394" t="n">
        <x:v>1680</x:v>
      </x:c>
      <x:c r="J394" t="n">
        <x:v>1565</x:v>
      </x:c>
      <x:c r="K394" t="n">
        <x:v>40</x:v>
      </x:c>
      <x:c r="L394" t="n">
        <x:v>14</x:v>
      </x:c>
      <x:c r="M394" t="n">
        <x:v>91.2</x:v>
      </x:c>
      <x:c r="N394" t="n">
        <x:v>76.4</x:v>
      </x:c>
      <x:c r="O394" t="n">
        <x:v>73.8</x:v>
      </x:c>
      <x:c r="P394" t="n">
        <x:v>5</x:v>
      </x:c>
      <x:c r="Q394" t="str">
        <x:v>Near miss</x:v>
      </x:c>
      <x:c r="R394" t="str">
        <x:v>Closed</x:v>
      </x:c>
      <x:c r="S394" t="str">
        <x:v>Inspection</x:v>
      </x:c>
      <x:c r="T394" t="n">
        <x:v>0.5</x:v>
      </x:c>
      <x:c r="U394" t="n">
        <x:v>14</x:v>
      </x:c>
    </x:row>
    <x:row r="395">
      <x:c r="A395" s="12" t="n">
        <x:v>46158</x:v>
      </x:c>
      <x:c r="B395" t="str">
        <x:v>A</x:v>
      </x:c>
      <x:c r="C395" t="str">
        <x:v>Dried Pineapple</x:v>
      </x:c>
      <x:c r="D395" t="str">
        <x:v>Dryer 1</x:v>
      </x:c>
      <x:c r="E395" t="str">
        <x:v>Sup 3</x:v>
      </x:c>
      <x:c r="F395" t="n">
        <x:v>480</x:v>
      </x:c>
      <x:c r="G395" t="n">
        <x:v>40</x:v>
      </x:c>
      <x:c r="H395" t="n">
        <x:v>50</x:v>
      </x:c>
      <x:c r="I395" t="n">
        <x:v>1841</x:v>
      </x:c>
      <x:c r="J395" t="n">
        <x:v>1438</x:v>
      </x:c>
      <x:c r="K395" t="n">
        <x:v>44</x:v>
      </x:c>
      <x:c r="L395" t="n">
        <x:v>23</x:v>
      </x:c>
      <x:c r="M395" t="n">
        <x:v>86.7</x:v>
      </x:c>
      <x:c r="N395" t="n">
        <x:v>84.4</x:v>
      </x:c>
      <x:c r="O395" t="n">
        <x:v>71.2</x:v>
      </x:c>
      <x:c r="P395" t="n">
        <x:v>4</x:v>
      </x:c>
      <x:c r="Q395" t="str">
        <x:v>No incident</x:v>
      </x:c>
      <x:c r="R395" t="str">
        <x:v>N/A</x:v>
      </x:c>
      <x:c r="S395" t="str">
        <x:v>Preventive</x:v>
      </x:c>
      <x:c r="T395" t="n">
        <x:v>1.17</x:v>
      </x:c>
      <x:c r="U395" t="n">
        <x:v>12.8</x:v>
      </x:c>
    </x:row>
    <x:row r="396">
      <x:c r="A396" s="12" t="n">
        <x:v>46158</x:v>
      </x:c>
      <x:c r="B396" t="str">
        <x:v>B</x:v>
      </x:c>
      <x:c r="C396" t="str">
        <x:v>Dried Pineapple</x:v>
      </x:c>
      <x:c r="D396" t="str">
        <x:v>Dryer 1</x:v>
      </x:c>
      <x:c r="E396" t="str">
        <x:v>Sup 3</x:v>
      </x:c>
      <x:c r="F396" t="n">
        <x:v>450</x:v>
      </x:c>
      <x:c r="G396" t="n">
        <x:v>30</x:v>
      </x:c>
      <x:c r="H396" t="n">
        <x:v>39</x:v>
      </x:c>
      <x:c r="I396" t="n">
        <x:v>1634</x:v>
      </x:c>
      <x:c r="J396" t="n">
        <x:v>1363</x:v>
      </x:c>
      <x:c r="K396" t="n">
        <x:v>46</x:v>
      </x:c>
      <x:c r="L396" t="n">
        <x:v>10</x:v>
      </x:c>
      <x:c r="M396" t="n">
        <x:v>96.9</x:v>
      </x:c>
      <x:c r="N396" t="n">
        <x:v>73.3</x:v>
      </x:c>
      <x:c r="O396" t="n">
        <x:v>74.9</x:v>
      </x:c>
      <x:c r="P396" t="n">
        <x:v>2</x:v>
      </x:c>
      <x:c r="Q396" t="str">
        <x:v>No incident</x:v>
      </x:c>
      <x:c r="R396" t="str">
        <x:v>N/A</x:v>
      </x:c>
      <x:c r="S396" t="str">
        <x:v>Preventive</x:v>
      </x:c>
      <x:c r="T396" t="n">
        <x:v>0.7</x:v>
      </x:c>
      <x:c r="U396" t="n">
        <x:v>10.3</x:v>
      </x:c>
    </x:row>
    <x:row r="397">
      <x:c r="A397" s="12" t="n">
        <x:v>46158</x:v>
      </x:c>
      <x:c r="B397" t="str">
        <x:v>C</x:v>
      </x:c>
      <x:c r="C397" t="str">
        <x:v>Desiccated Coconut</x:v>
      </x:c>
      <x:c r="D397" t="str">
        <x:v>Dryer 2</x:v>
      </x:c>
      <x:c r="E397" t="str">
        <x:v>Sup 2</x:v>
      </x:c>
      <x:c r="F397" t="n">
        <x:v>450</x:v>
      </x:c>
      <x:c r="G397" t="n">
        <x:v>30</x:v>
      </x:c>
      <x:c r="H397" t="n">
        <x:v>51</x:v>
      </x:c>
      <x:c r="I397" t="n">
        <x:v>1236</x:v>
      </x:c>
      <x:c r="J397" t="n">
        <x:v>1113</x:v>
      </x:c>
      <x:c r="K397" t="n">
        <x:v>30</x:v>
      </x:c>
      <x:c r="L397" t="n">
        <x:v>11</x:v>
      </x:c>
      <x:c r="M397" t="n">
        <x:v>82.3</x:v>
      </x:c>
      <x:c r="N397" t="n">
        <x:v>67.3</x:v>
      </x:c>
      <x:c r="O397" t="n">
        <x:v>80.8</x:v>
      </x:c>
      <x:c r="P397" t="n">
        <x:v>3</x:v>
      </x:c>
      <x:c r="Q397" t="str">
        <x:v>No incident</x:v>
      </x:c>
      <x:c r="R397" t="str">
        <x:v>N/A</x:v>
      </x:c>
      <x:c r="S397" t="str">
        <x:v>Inspection</x:v>
      </x:c>
      <x:c r="T397" t="n">
        <x:v>0.52</x:v>
      </x:c>
      <x:c r="U397" t="n">
        <x:v>8.9</x:v>
      </x:c>
    </x:row>
    <x:row r="398">
      <x:c r="A398" s="12" t="n">
        <x:v>46159</x:v>
      </x:c>
      <x:c r="B398" t="str">
        <x:v>A</x:v>
      </x:c>
      <x:c r="C398" t="str">
        <x:v>Desiccated Coconut</x:v>
      </x:c>
      <x:c r="D398" t="str">
        <x:v>Dryer 4</x:v>
      </x:c>
      <x:c r="E398" t="str">
        <x:v>Sup 1</x:v>
      </x:c>
      <x:c r="F398" t="n">
        <x:v>480</x:v>
      </x:c>
      <x:c r="G398" t="n">
        <x:v>40</x:v>
      </x:c>
      <x:c r="H398" t="n">
        <x:v>33</x:v>
      </x:c>
      <x:c r="I398" t="n">
        <x:v>1150</x:v>
      </x:c>
      <x:c r="J398" t="n">
        <x:v>1039</x:v>
      </x:c>
      <x:c r="K398" t="n">
        <x:v>36</x:v>
      </x:c>
      <x:c r="L398" t="n">
        <x:v>9</x:v>
      </x:c>
      <x:c r="M398" t="n">
        <x:v>90.4</x:v>
      </x:c>
      <x:c r="N398" t="n">
        <x:v>79</x:v>
      </x:c>
      <x:c r="O398" t="n">
        <x:v>88.3</x:v>
      </x:c>
      <x:c r="P398" t="n">
        <x:v>2</x:v>
      </x:c>
      <x:c r="Q398" t="str">
        <x:v>No incident</x:v>
      </x:c>
      <x:c r="R398" t="str">
        <x:v>N/A</x:v>
      </x:c>
      <x:c r="S398" t="str">
        <x:v>Corrective</x:v>
      </x:c>
      <x:c r="T398" t="n">
        <x:v>1.4</x:v>
      </x:c>
      <x:c r="U398" t="n">
        <x:v>8</x:v>
      </x:c>
    </x:row>
    <x:row r="399">
      <x:c r="A399" s="12" t="n">
        <x:v>46159</x:v>
      </x:c>
      <x:c r="B399" t="str">
        <x:v>B</x:v>
      </x:c>
      <x:c r="C399" t="str">
        <x:v>Dried Mango</x:v>
      </x:c>
      <x:c r="D399" t="str">
        <x:v>Dryer 2</x:v>
      </x:c>
      <x:c r="E399" t="str">
        <x:v>Sup 2</x:v>
      </x:c>
      <x:c r="F399" t="n">
        <x:v>480</x:v>
      </x:c>
      <x:c r="G399" t="n">
        <x:v>20</x:v>
      </x:c>
      <x:c r="H399" t="n">
        <x:v>50</x:v>
      </x:c>
      <x:c r="I399" t="n">
        <x:v>1748</x:v>
      </x:c>
      <x:c r="J399" t="n">
        <x:v>1417</x:v>
      </x:c>
      <x:c r="K399" t="n">
        <x:v>52</x:v>
      </x:c>
      <x:c r="L399" t="n">
        <x:v>14</x:v>
      </x:c>
      <x:c r="M399" t="n">
        <x:v>96.9</x:v>
      </x:c>
      <x:c r="N399" t="n">
        <x:v>77.8</x:v>
      </x:c>
      <x:c r="O399" t="n">
        <x:v>68</x:v>
      </x:c>
      <x:c r="P399" t="n">
        <x:v>4</x:v>
      </x:c>
      <x:c r="Q399" t="str">
        <x:v>No incident</x:v>
      </x:c>
      <x:c r="R399" t="str">
        <x:v>N/A</x:v>
      </x:c>
      <x:c r="S399" t="str">
        <x:v>Corrective</x:v>
      </x:c>
      <x:c r="T399" t="n">
        <x:v>1.41</x:v>
      </x:c>
      <x:c r="U399" t="n">
        <x:v>13</x:v>
      </x:c>
    </x:row>
    <x:row r="400">
      <x:c r="A400" s="12" t="n">
        <x:v>46159</x:v>
      </x:c>
      <x:c r="B400" t="str">
        <x:v>C</x:v>
      </x:c>
      <x:c r="C400" t="str">
        <x:v>Dried Pineapple</x:v>
      </x:c>
      <x:c r="D400" t="str">
        <x:v>Dryer 1</x:v>
      </x:c>
      <x:c r="E400" t="str">
        <x:v>Sup 1</x:v>
      </x:c>
      <x:c r="F400" t="n">
        <x:v>480</x:v>
      </x:c>
      <x:c r="G400" t="n">
        <x:v>20</x:v>
      </x:c>
      <x:c r="H400" t="n">
        <x:v>29</x:v>
      </x:c>
      <x:c r="I400" t="n">
        <x:v>1692</x:v>
      </x:c>
      <x:c r="J400" t="n">
        <x:v>1613</x:v>
      </x:c>
      <x:c r="K400" t="n">
        <x:v>46</x:v>
      </x:c>
      <x:c r="L400" t="n">
        <x:v>30</x:v>
      </x:c>
      <x:c r="M400" t="n">
        <x:v>86.5</x:v>
      </x:c>
      <x:c r="N400" t="n">
        <x:v>69.4</x:v>
      </x:c>
      <x:c r="O400" t="n">
        <x:v>78.3</x:v>
      </x:c>
      <x:c r="P400" t="n">
        <x:v>2</x:v>
      </x:c>
      <x:c r="Q400" t="str">
        <x:v>No incident</x:v>
      </x:c>
      <x:c r="R400" t="str">
        <x:v>N/A</x:v>
      </x:c>
      <x:c r="S400" t="str">
        <x:v>Inspection</x:v>
      </x:c>
      <x:c r="T400" t="n">
        <x:v>1.29</x:v>
      </x:c>
      <x:c r="U400" t="n">
        <x:v>12.5</x:v>
      </x:c>
    </x:row>
    <x:row r="401">
      <x:c r="A401" s="12" t="n">
        <x:v>46160</x:v>
      </x:c>
      <x:c r="B401" t="str">
        <x:v>A</x:v>
      </x:c>
      <x:c r="C401" t="str">
        <x:v>Dried Mango</x:v>
      </x:c>
      <x:c r="D401" t="str">
        <x:v>Dryer 4</x:v>
      </x:c>
      <x:c r="E401" t="str">
        <x:v>Sup 2</x:v>
      </x:c>
      <x:c r="F401" t="n">
        <x:v>450</x:v>
      </x:c>
      <x:c r="G401" t="n">
        <x:v>40</x:v>
      </x:c>
      <x:c r="H401" t="n">
        <x:v>47</x:v>
      </x:c>
      <x:c r="I401" t="n">
        <x:v>1713</x:v>
      </x:c>
      <x:c r="J401" t="n">
        <x:v>1537</x:v>
      </x:c>
      <x:c r="K401" t="n">
        <x:v>51</x:v>
      </x:c>
      <x:c r="L401" t="n">
        <x:v>16</x:v>
      </x:c>
      <x:c r="M401" t="n">
        <x:v>100</x:v>
      </x:c>
      <x:c r="N401" t="n">
        <x:v>83</x:v>
      </x:c>
      <x:c r="O401" t="n">
        <x:v>68.5</x:v>
      </x:c>
      <x:c r="P401" t="n">
        <x:v>4</x:v>
      </x:c>
      <x:c r="Q401" t="str">
        <x:v>No incident</x:v>
      </x:c>
      <x:c r="R401" t="str">
        <x:v>N/A</x:v>
      </x:c>
      <x:c r="S401" t="str">
        <x:v>Corrective</x:v>
      </x:c>
      <x:c r="T401" t="n">
        <x:v>1.52</x:v>
      </x:c>
      <x:c r="U401" t="n">
        <x:v>14</x:v>
      </x:c>
    </x:row>
    <x:row r="402">
      <x:c r="A402" s="12" t="n">
        <x:v>46160</x:v>
      </x:c>
      <x:c r="B402" t="str">
        <x:v>B</x:v>
      </x:c>
      <x:c r="C402" t="str">
        <x:v>Dried Mango</x:v>
      </x:c>
      <x:c r="D402" t="str">
        <x:v>Dryer 3</x:v>
      </x:c>
      <x:c r="E402" t="str">
        <x:v>Sup 3</x:v>
      </x:c>
      <x:c r="F402" t="n">
        <x:v>450</x:v>
      </x:c>
      <x:c r="G402" t="n">
        <x:v>40</x:v>
      </x:c>
      <x:c r="H402" t="n">
        <x:v>68</x:v>
      </x:c>
      <x:c r="I402" t="n">
        <x:v>1625</x:v>
      </x:c>
      <x:c r="J402" t="n">
        <x:v>1307</x:v>
      </x:c>
      <x:c r="K402" t="n">
        <x:v>56</x:v>
      </x:c>
      <x:c r="L402" t="n">
        <x:v>14</x:v>
      </x:c>
      <x:c r="M402" t="n">
        <x:v>100</x:v>
      </x:c>
      <x:c r="N402" t="n">
        <x:v>69.3</x:v>
      </x:c>
      <x:c r="O402" t="n">
        <x:v>77.9</x:v>
      </x:c>
      <x:c r="P402" t="n">
        <x:v>3</x:v>
      </x:c>
      <x:c r="Q402" t="str">
        <x:v>No incident</x:v>
      </x:c>
      <x:c r="R402" t="str">
        <x:v>N/A</x:v>
      </x:c>
      <x:c r="S402" t="str">
        <x:v>Preventive</x:v>
      </x:c>
      <x:c r="T402" t="n">
        <x:v>1.07</x:v>
      </x:c>
      <x:c r="U402" t="n">
        <x:v>10</x:v>
      </x:c>
    </x:row>
    <x:row r="403">
      <x:c r="A403" s="12" t="n">
        <x:v>46160</x:v>
      </x:c>
      <x:c r="B403" t="str">
        <x:v>C</x:v>
      </x:c>
      <x:c r="C403" t="str">
        <x:v>Dried Pineapple</x:v>
      </x:c>
      <x:c r="D403" t="str">
        <x:v>Dryer 1</x:v>
      </x:c>
      <x:c r="E403" t="str">
        <x:v>Sup 3</x:v>
      </x:c>
      <x:c r="F403" t="n">
        <x:v>420</x:v>
      </x:c>
      <x:c r="G403" t="n">
        <x:v>20</x:v>
      </x:c>
      <x:c r="H403" t="n">
        <x:v>46</x:v>
      </x:c>
      <x:c r="I403" t="n">
        <x:v>1715</x:v>
      </x:c>
      <x:c r="J403" t="n">
        <x:v>1523</x:v>
      </x:c>
      <x:c r="K403" t="n">
        <x:v>52</x:v>
      </x:c>
      <x:c r="L403" t="n">
        <x:v>31</x:v>
      </x:c>
      <x:c r="M403" t="n">
        <x:v>92.3</x:v>
      </x:c>
      <x:c r="N403" t="n">
        <x:v>66.3</x:v>
      </x:c>
      <x:c r="O403" t="n">
        <x:v>94.8</x:v>
      </x:c>
      <x:c r="P403" t="n">
        <x:v>2</x:v>
      </x:c>
      <x:c r="Q403" t="str">
        <x:v>No incident</x:v>
      </x:c>
      <x:c r="R403" t="str">
        <x:v>N/A</x:v>
      </x:c>
      <x:c r="S403" t="str">
        <x:v>Corrective</x:v>
      </x:c>
      <x:c r="T403" t="n">
        <x:v>1.38</x:v>
      </x:c>
      <x:c r="U403" t="n">
        <x:v>13.3</x:v>
      </x:c>
    </x:row>
    <x:row r="404">
      <x:c r="A404" s="12" t="n">
        <x:v>46161</x:v>
      </x:c>
      <x:c r="B404" t="str">
        <x:v>A</x:v>
      </x:c>
      <x:c r="C404" t="str">
        <x:v>Dried Pineapple</x:v>
      </x:c>
      <x:c r="D404" t="str">
        <x:v>Dryer 1</x:v>
      </x:c>
      <x:c r="E404" t="str">
        <x:v>Sup 2</x:v>
      </x:c>
      <x:c r="F404" t="n">
        <x:v>480</x:v>
      </x:c>
      <x:c r="G404" t="n">
        <x:v>20</x:v>
      </x:c>
      <x:c r="H404" t="n">
        <x:v>32</x:v>
      </x:c>
      <x:c r="I404" t="n">
        <x:v>1764</x:v>
      </x:c>
      <x:c r="J404" t="n">
        <x:v>1660</x:v>
      </x:c>
      <x:c r="K404" t="n">
        <x:v>65</x:v>
      </x:c>
      <x:c r="L404" t="n">
        <x:v>38</x:v>
      </x:c>
      <x:c r="M404" t="n">
        <x:v>96.5</x:v>
      </x:c>
      <x:c r="N404" t="n">
        <x:v>84.9</x:v>
      </x:c>
      <x:c r="O404" t="n">
        <x:v>68.9</x:v>
      </x:c>
      <x:c r="P404" t="n">
        <x:v>3</x:v>
      </x:c>
      <x:c r="Q404" t="str">
        <x:v>No incident</x:v>
      </x:c>
      <x:c r="R404" t="str">
        <x:v>N/A</x:v>
      </x:c>
      <x:c r="S404" t="str">
        <x:v>Inspection</x:v>
      </x:c>
      <x:c r="T404" t="n">
        <x:v>0.5</x:v>
      </x:c>
      <x:c r="U404" t="n">
        <x:v>13.9</x:v>
      </x:c>
    </x:row>
    <x:row r="405">
      <x:c r="A405" s="12" t="n">
        <x:v>46161</x:v>
      </x:c>
      <x:c r="B405" t="str">
        <x:v>B</x:v>
      </x:c>
      <x:c r="C405" t="str">
        <x:v>Desiccated Coconut</x:v>
      </x:c>
      <x:c r="D405" t="str">
        <x:v>Dryer 3</x:v>
      </x:c>
      <x:c r="E405" t="str">
        <x:v>Sup 3</x:v>
      </x:c>
      <x:c r="F405" t="n">
        <x:v>450</x:v>
      </x:c>
      <x:c r="G405" t="n">
        <x:v>40</x:v>
      </x:c>
      <x:c r="H405" t="n">
        <x:v>49</x:v>
      </x:c>
      <x:c r="I405" t="n">
        <x:v>1153</x:v>
      </x:c>
      <x:c r="J405" t="n">
        <x:v>1019</x:v>
      </x:c>
      <x:c r="K405" t="n">
        <x:v>43</x:v>
      </x:c>
      <x:c r="L405" t="n">
        <x:v>25</x:v>
      </x:c>
      <x:c r="M405" t="n">
        <x:v>96.5</x:v>
      </x:c>
      <x:c r="N405" t="n">
        <x:v>79.9</x:v>
      </x:c>
      <x:c r="O405" t="n">
        <x:v>77.7</x:v>
      </x:c>
      <x:c r="P405" t="n">
        <x:v>5</x:v>
      </x:c>
      <x:c r="Q405" t="str">
        <x:v>No incident</x:v>
      </x:c>
      <x:c r="R405" t="str">
        <x:v>N/A</x:v>
      </x:c>
      <x:c r="S405" t="str">
        <x:v>Inspection</x:v>
      </x:c>
      <x:c r="T405" t="n">
        <x:v>1.27</x:v>
      </x:c>
      <x:c r="U405" t="n">
        <x:v>8.5</x:v>
      </x:c>
    </x:row>
    <x:row r="406">
      <x:c r="A406" s="12" t="n">
        <x:v>46161</x:v>
      </x:c>
      <x:c r="B406" t="str">
        <x:v>C</x:v>
      </x:c>
      <x:c r="C406" t="str">
        <x:v>Desiccated Coconut</x:v>
      </x:c>
      <x:c r="D406" t="str">
        <x:v>Dryer 1</x:v>
      </x:c>
      <x:c r="E406" t="str">
        <x:v>Sup 3</x:v>
      </x:c>
      <x:c r="F406" t="n">
        <x:v>450</x:v>
      </x:c>
      <x:c r="G406" t="n">
        <x:v>20</x:v>
      </x:c>
      <x:c r="H406" t="n">
        <x:v>27</x:v>
      </x:c>
      <x:c r="I406" t="n">
        <x:v>1118</x:v>
      </x:c>
      <x:c r="J406" t="n">
        <x:v>1035</x:v>
      </x:c>
      <x:c r="K406" t="n">
        <x:v>35</x:v>
      </x:c>
      <x:c r="L406" t="n">
        <x:v>12</x:v>
      </x:c>
      <x:c r="M406" t="n">
        <x:v>90</x:v>
      </x:c>
      <x:c r="N406" t="n">
        <x:v>74.6</x:v>
      </x:c>
      <x:c r="O406" t="n">
        <x:v>90.2</x:v>
      </x:c>
      <x:c r="P406" t="n">
        <x:v>1</x:v>
      </x:c>
      <x:c r="Q406" t="str">
        <x:v>No incident</x:v>
      </x:c>
      <x:c r="R406" t="str">
        <x:v>N/A</x:v>
      </x:c>
      <x:c r="S406" t="str">
        <x:v>Inspection</x:v>
      </x:c>
      <x:c r="T406" t="n">
        <x:v>0.96</x:v>
      </x:c>
      <x:c r="U406" t="n">
        <x:v>8.7</x:v>
      </x:c>
    </x:row>
    <x:row r="407">
      <x:c r="A407" s="12" t="n">
        <x:v>46162</x:v>
      </x:c>
      <x:c r="B407" t="str">
        <x:v>A</x:v>
      </x:c>
      <x:c r="C407" t="str">
        <x:v>Dried Pineapple</x:v>
      </x:c>
      <x:c r="D407" t="str">
        <x:v>Dryer 3</x:v>
      </x:c>
      <x:c r="E407" t="str">
        <x:v>Sup 1</x:v>
      </x:c>
      <x:c r="F407" t="n">
        <x:v>480</x:v>
      </x:c>
      <x:c r="G407" t="n">
        <x:v>30</x:v>
      </x:c>
      <x:c r="H407" t="n">
        <x:v>48</x:v>
      </x:c>
      <x:c r="I407" t="n">
        <x:v>1646</x:v>
      </x:c>
      <x:c r="J407" t="n">
        <x:v>1365</x:v>
      </x:c>
      <x:c r="K407" t="n">
        <x:v>46</x:v>
      </x:c>
      <x:c r="L407" t="n">
        <x:v>14</x:v>
      </x:c>
      <x:c r="M407" t="n">
        <x:v>93.8</x:v>
      </x:c>
      <x:c r="N407" t="n">
        <x:v>76.4</x:v>
      </x:c>
      <x:c r="O407" t="n">
        <x:v>76.2</x:v>
      </x:c>
      <x:c r="P407" t="n">
        <x:v>3</x:v>
      </x:c>
      <x:c r="Q407" t="str">
        <x:v>Near miss</x:v>
      </x:c>
      <x:c r="R407" t="str">
        <x:v>Closed</x:v>
      </x:c>
      <x:c r="S407" t="str">
        <x:v>Corrective</x:v>
      </x:c>
      <x:c r="T407" t="n">
        <x:v>1.05</x:v>
      </x:c>
      <x:c r="U407" t="n">
        <x:v>11.7</x:v>
      </x:c>
    </x:row>
    <x:row r="408">
      <x:c r="A408" s="12" t="n">
        <x:v>46162</x:v>
      </x:c>
      <x:c r="B408" t="str">
        <x:v>B</x:v>
      </x:c>
      <x:c r="C408" t="str">
        <x:v>Desiccated Coconut</x:v>
      </x:c>
      <x:c r="D408" t="str">
        <x:v>Dryer 1</x:v>
      </x:c>
      <x:c r="E408" t="str">
        <x:v>Sup 2</x:v>
      </x:c>
      <x:c r="F408" t="n">
        <x:v>480</x:v>
      </x:c>
      <x:c r="G408" t="n">
        <x:v>30</x:v>
      </x:c>
      <x:c r="H408" t="n">
        <x:v>25</x:v>
      </x:c>
      <x:c r="I408" t="n">
        <x:v>1288</x:v>
      </x:c>
      <x:c r="J408" t="n">
        <x:v>1095</x:v>
      </x:c>
      <x:c r="K408" t="n">
        <x:v>40</x:v>
      </x:c>
      <x:c r="L408" t="n">
        <x:v>14</x:v>
      </x:c>
      <x:c r="M408" t="n">
        <x:v>93.9</x:v>
      </x:c>
      <x:c r="N408" t="n">
        <x:v>79.3</x:v>
      </x:c>
      <x:c r="O408" t="n">
        <x:v>77.4</x:v>
      </x:c>
      <x:c r="P408" t="n">
        <x:v>3</x:v>
      </x:c>
      <x:c r="Q408" t="str">
        <x:v>No incident</x:v>
      </x:c>
      <x:c r="R408" t="str">
        <x:v>N/A</x:v>
      </x:c>
      <x:c r="S408" t="str">
        <x:v>Inspection</x:v>
      </x:c>
      <x:c r="T408" t="n">
        <x:v>0.84</x:v>
      </x:c>
      <x:c r="U408" t="n">
        <x:v>8.5</x:v>
      </x:c>
    </x:row>
    <x:row r="409">
      <x:c r="A409" s="12" t="n">
        <x:v>46162</x:v>
      </x:c>
      <x:c r="B409" t="str">
        <x:v>C</x:v>
      </x:c>
      <x:c r="C409" t="str">
        <x:v>Dried Mango</x:v>
      </x:c>
      <x:c r="D409" t="str">
        <x:v>Dryer 2</x:v>
      </x:c>
      <x:c r="E409" t="str">
        <x:v>Sup 2</x:v>
      </x:c>
      <x:c r="F409" t="n">
        <x:v>480</x:v>
      </x:c>
      <x:c r="G409" t="n">
        <x:v>30</x:v>
      </x:c>
      <x:c r="H409" t="n">
        <x:v>49</x:v>
      </x:c>
      <x:c r="I409" t="n">
        <x:v>1731</x:v>
      </x:c>
      <x:c r="J409" t="n">
        <x:v>1522</x:v>
      </x:c>
      <x:c r="K409" t="n">
        <x:v>52</x:v>
      </x:c>
      <x:c r="L409" t="n">
        <x:v>23</x:v>
      </x:c>
      <x:c r="M409" t="n">
        <x:v>88.6</x:v>
      </x:c>
      <x:c r="N409" t="n">
        <x:v>75.3</x:v>
      </x:c>
      <x:c r="O409" t="n">
        <x:v>66</x:v>
      </x:c>
      <x:c r="P409" t="n">
        <x:v>4</x:v>
      </x:c>
      <x:c r="Q409" t="str">
        <x:v>Near miss</x:v>
      </x:c>
      <x:c r="R409" t="str">
        <x:v>Closed</x:v>
      </x:c>
      <x:c r="S409" t="str">
        <x:v>Corrective</x:v>
      </x:c>
      <x:c r="T409" t="n">
        <x:v>2.09</x:v>
      </x:c>
      <x:c r="U409" t="n">
        <x:v>12.5</x:v>
      </x:c>
    </x:row>
    <x:row r="410">
      <x:c r="A410" s="12" t="n">
        <x:v>46163</x:v>
      </x:c>
      <x:c r="B410" t="str">
        <x:v>A</x:v>
      </x:c>
      <x:c r="C410" t="str">
        <x:v>Desiccated Coconut</x:v>
      </x:c>
      <x:c r="D410" t="str">
        <x:v>Dryer 4</x:v>
      </x:c>
      <x:c r="E410" t="str">
        <x:v>Sup 3</x:v>
      </x:c>
      <x:c r="F410" t="n">
        <x:v>480</x:v>
      </x:c>
      <x:c r="G410" t="n">
        <x:v>20</x:v>
      </x:c>
      <x:c r="H410" t="n">
        <x:v>64</x:v>
      </x:c>
      <x:c r="I410" t="n">
        <x:v>1125</x:v>
      </x:c>
      <x:c r="J410" t="n">
        <x:v>890</x:v>
      </x:c>
      <x:c r="K410" t="n">
        <x:v>21</x:v>
      </x:c>
      <x:c r="L410" t="n">
        <x:v>14</x:v>
      </x:c>
      <x:c r="M410" t="n">
        <x:v>95.5</x:v>
      </x:c>
      <x:c r="N410" t="n">
        <x:v>68.7</x:v>
      </x:c>
      <x:c r="O410" t="n">
        <x:v>77.5</x:v>
      </x:c>
      <x:c r="P410" t="n">
        <x:v>5</x:v>
      </x:c>
      <x:c r="Q410" t="str">
        <x:v>No incident</x:v>
      </x:c>
      <x:c r="R410" t="str">
        <x:v>N/A</x:v>
      </x:c>
      <x:c r="S410" t="str">
        <x:v>Inspection</x:v>
      </x:c>
      <x:c r="T410" t="n">
        <x:v>1.24</x:v>
      </x:c>
      <x:c r="U410" t="n">
        <x:v>6.8</x:v>
      </x:c>
    </x:row>
    <x:row r="411">
      <x:c r="A411" s="12" t="n">
        <x:v>46163</x:v>
      </x:c>
      <x:c r="B411" t="str">
        <x:v>B</x:v>
      </x:c>
      <x:c r="C411" t="str">
        <x:v>Dried Mango</x:v>
      </x:c>
      <x:c r="D411" t="str">
        <x:v>Dryer 4</x:v>
      </x:c>
      <x:c r="E411" t="str">
        <x:v>Sup 1</x:v>
      </x:c>
      <x:c r="F411" t="n">
        <x:v>420</x:v>
      </x:c>
      <x:c r="G411" t="n">
        <x:v>30</x:v>
      </x:c>
      <x:c r="H411" t="n">
        <x:v>56</x:v>
      </x:c>
      <x:c r="I411" t="n">
        <x:v>1603</x:v>
      </x:c>
      <x:c r="J411" t="n">
        <x:v>1251</x:v>
      </x:c>
      <x:c r="K411" t="n">
        <x:v>37</x:v>
      </x:c>
      <x:c r="L411" t="n">
        <x:v>12</x:v>
      </x:c>
      <x:c r="M411" t="n">
        <x:v>83.5</x:v>
      </x:c>
      <x:c r="N411" t="n">
        <x:v>80.4</x:v>
      </x:c>
      <x:c r="O411" t="n">
        <x:v>78.2</x:v>
      </x:c>
      <x:c r="P411" t="n">
        <x:v>4</x:v>
      </x:c>
      <x:c r="Q411" t="str">
        <x:v>First aid</x:v>
      </x:c>
      <x:c r="R411" t="str">
        <x:v>Open</x:v>
      </x:c>
      <x:c r="S411" t="str">
        <x:v>Inspection</x:v>
      </x:c>
      <x:c r="T411" t="n">
        <x:v>0.73</x:v>
      </x:c>
      <x:c r="U411" t="n">
        <x:v>10.1</x:v>
      </x:c>
    </x:row>
    <x:row r="412">
      <x:c r="A412" s="12" t="n">
        <x:v>46163</x:v>
      </x:c>
      <x:c r="B412" t="str">
        <x:v>C</x:v>
      </x:c>
      <x:c r="C412" t="str">
        <x:v>Dried Pineapple</x:v>
      </x:c>
      <x:c r="D412" t="str">
        <x:v>Dryer 3</x:v>
      </x:c>
      <x:c r="E412" t="str">
        <x:v>Sup 1</x:v>
      </x:c>
      <x:c r="F412" t="n">
        <x:v>420</x:v>
      </x:c>
      <x:c r="G412" t="n">
        <x:v>30</x:v>
      </x:c>
      <x:c r="H412" t="n">
        <x:v>99</x:v>
      </x:c>
      <x:c r="I412" t="n">
        <x:v>1856</x:v>
      </x:c>
      <x:c r="J412" t="n">
        <x:v>1380</x:v>
      </x:c>
      <x:c r="K412" t="n">
        <x:v>63</x:v>
      </x:c>
      <x:c r="L412" t="n">
        <x:v>19</x:v>
      </x:c>
      <x:c r="M412" t="n">
        <x:v>88.6</x:v>
      </x:c>
      <x:c r="N412" t="n">
        <x:v>72.1</x:v>
      </x:c>
      <x:c r="O412" t="n">
        <x:v>66.5</x:v>
      </x:c>
      <x:c r="P412" t="n">
        <x:v>6</x:v>
      </x:c>
      <x:c r="Q412" t="str">
        <x:v>No incident</x:v>
      </x:c>
      <x:c r="R412" t="str">
        <x:v>N/A</x:v>
      </x:c>
      <x:c r="S412" t="str">
        <x:v>Inspection</x:v>
      </x:c>
      <x:c r="T412" t="n">
        <x:v>1.03</x:v>
      </x:c>
      <x:c r="U412" t="n">
        <x:v>12.7</x:v>
      </x:c>
    </x:row>
    <x:row r="413">
      <x:c r="A413" s="12" t="n">
        <x:v>46164</x:v>
      </x:c>
      <x:c r="B413" t="str">
        <x:v>A</x:v>
      </x:c>
      <x:c r="C413" t="str">
        <x:v>Desiccated Coconut</x:v>
      </x:c>
      <x:c r="D413" t="str">
        <x:v>Dryer 3</x:v>
      </x:c>
      <x:c r="E413" t="str">
        <x:v>Sup 2</x:v>
      </x:c>
      <x:c r="F413" t="n">
        <x:v>480</x:v>
      </x:c>
      <x:c r="G413" t="n">
        <x:v>20</x:v>
      </x:c>
      <x:c r="H413" t="n">
        <x:v>59</x:v>
      </x:c>
      <x:c r="I413" t="n">
        <x:v>1158</x:v>
      </x:c>
      <x:c r="J413" t="n">
        <x:v>953</x:v>
      </x:c>
      <x:c r="K413" t="n">
        <x:v>41</x:v>
      </x:c>
      <x:c r="L413" t="n">
        <x:v>18</x:v>
      </x:c>
      <x:c r="M413" t="n">
        <x:v>89.6</x:v>
      </x:c>
      <x:c r="N413" t="n">
        <x:v>86.5</x:v>
      </x:c>
      <x:c r="O413" t="n">
        <x:v>68.4</x:v>
      </x:c>
      <x:c r="P413" t="n">
        <x:v>1</x:v>
      </x:c>
      <x:c r="Q413" t="str">
        <x:v>Near miss</x:v>
      </x:c>
      <x:c r="R413" t="str">
        <x:v>Closed</x:v>
      </x:c>
      <x:c r="S413" t="str">
        <x:v>Inspection</x:v>
      </x:c>
      <x:c r="T413" t="n">
        <x:v>0.52</x:v>
      </x:c>
      <x:c r="U413" t="n">
        <x:v>7.7</x:v>
      </x:c>
    </x:row>
    <x:row r="414">
      <x:c r="A414" s="12" t="n">
        <x:v>46164</x:v>
      </x:c>
      <x:c r="B414" t="str">
        <x:v>B</x:v>
      </x:c>
      <x:c r="C414" t="str">
        <x:v>Desiccated Coconut</x:v>
      </x:c>
      <x:c r="D414" t="str">
        <x:v>Dryer 1</x:v>
      </x:c>
      <x:c r="E414" t="str">
        <x:v>Sup 3</x:v>
      </x:c>
      <x:c r="F414" t="n">
        <x:v>480</x:v>
      </x:c>
      <x:c r="G414" t="n">
        <x:v>0</x:v>
      </x:c>
      <x:c r="H414" t="n">
        <x:v>20</x:v>
      </x:c>
      <x:c r="I414" t="n">
        <x:v>1255</x:v>
      </x:c>
      <x:c r="J414" t="n">
        <x:v>1140</x:v>
      </x:c>
      <x:c r="K414" t="n">
        <x:v>41</x:v>
      </x:c>
      <x:c r="L414" t="n">
        <x:v>19</x:v>
      </x:c>
      <x:c r="M414" t="n">
        <x:v>89.8</x:v>
      </x:c>
      <x:c r="N414" t="n">
        <x:v>73.9</x:v>
      </x:c>
      <x:c r="O414" t="n">
        <x:v>72.9</x:v>
      </x:c>
      <x:c r="P414" t="n">
        <x:v>2</x:v>
      </x:c>
      <x:c r="Q414" t="str">
        <x:v>No incident</x:v>
      </x:c>
      <x:c r="R414" t="str">
        <x:v>N/A</x:v>
      </x:c>
      <x:c r="S414" t="str">
        <x:v>Preventive</x:v>
      </x:c>
      <x:c r="T414" t="n">
        <x:v>0.5</x:v>
      </x:c>
      <x:c r="U414" t="n">
        <x:v>9.7</x:v>
      </x:c>
    </x:row>
    <x:row r="415">
      <x:c r="A415" s="12" t="n">
        <x:v>46164</x:v>
      </x:c>
      <x:c r="B415" t="str">
        <x:v>C</x:v>
      </x:c>
      <x:c r="C415" t="str">
        <x:v>Dried Mango</x:v>
      </x:c>
      <x:c r="D415" t="str">
        <x:v>Dryer 1</x:v>
      </x:c>
      <x:c r="E415" t="str">
        <x:v>Sup 3</x:v>
      </x:c>
      <x:c r="F415" t="n">
        <x:v>480</x:v>
      </x:c>
      <x:c r="G415" t="n">
        <x:v>20</x:v>
      </x:c>
      <x:c r="H415" t="n">
        <x:v>71</x:v>
      </x:c>
      <x:c r="I415" t="n">
        <x:v>1724</x:v>
      </x:c>
      <x:c r="J415" t="n">
        <x:v>1353</x:v>
      </x:c>
      <x:c r="K415" t="n">
        <x:v>43</x:v>
      </x:c>
      <x:c r="L415" t="n">
        <x:v>10</x:v>
      </x:c>
      <x:c r="M415" t="n">
        <x:v>86.1</x:v>
      </x:c>
      <x:c r="N415" t="n">
        <x:v>87.7</x:v>
      </x:c>
      <x:c r="O415" t="n">
        <x:v>72.6</x:v>
      </x:c>
      <x:c r="P415" t="n">
        <x:v>5</x:v>
      </x:c>
      <x:c r="Q415" t="str">
        <x:v>No incident</x:v>
      </x:c>
      <x:c r="R415" t="str">
        <x:v>N/A</x:v>
      </x:c>
      <x:c r="S415" t="str">
        <x:v>Corrective</x:v>
      </x:c>
      <x:c r="T415" t="n">
        <x:v>1.69</x:v>
      </x:c>
      <x:c r="U415" t="n">
        <x:v>10.7</x:v>
      </x:c>
    </x:row>
    <x:row r="416">
      <x:c r="A416" s="12" t="n">
        <x:v>46165</x:v>
      </x:c>
      <x:c r="B416" t="str">
        <x:v>A</x:v>
      </x:c>
      <x:c r="C416" t="str">
        <x:v>Dried Pineapple</x:v>
      </x:c>
      <x:c r="D416" t="str">
        <x:v>Dryer 2</x:v>
      </x:c>
      <x:c r="E416" t="str">
        <x:v>Sup 3</x:v>
      </x:c>
      <x:c r="F416" t="n">
        <x:v>480</x:v>
      </x:c>
      <x:c r="G416" t="n">
        <x:v>30</x:v>
      </x:c>
      <x:c r="H416" t="n">
        <x:v>54</x:v>
      </x:c>
      <x:c r="I416" t="n">
        <x:v>1843</x:v>
      </x:c>
      <x:c r="J416" t="n">
        <x:v>1631</x:v>
      </x:c>
      <x:c r="K416" t="n">
        <x:v>46</x:v>
      </x:c>
      <x:c r="L416" t="n">
        <x:v>25</x:v>
      </x:c>
      <x:c r="M416" t="n">
        <x:v>86.6</x:v>
      </x:c>
      <x:c r="N416" t="n">
        <x:v>59.2</x:v>
      </x:c>
      <x:c r="O416" t="n">
        <x:v>77.4</x:v>
      </x:c>
      <x:c r="P416" t="n">
        <x:v>3</x:v>
      </x:c>
      <x:c r="Q416" t="str">
        <x:v>No incident</x:v>
      </x:c>
      <x:c r="R416" t="str">
        <x:v>N/A</x:v>
      </x:c>
      <x:c r="S416" t="str">
        <x:v>Corrective</x:v>
      </x:c>
      <x:c r="T416" t="n">
        <x:v>0.74</x:v>
      </x:c>
      <x:c r="U416" t="n">
        <x:v>14.2</x:v>
      </x:c>
    </x:row>
    <x:row r="417">
      <x:c r="A417" s="12" t="n">
        <x:v>46165</x:v>
      </x:c>
      <x:c r="B417" t="str">
        <x:v>B</x:v>
      </x:c>
      <x:c r="C417" t="str">
        <x:v>Desiccated Coconut</x:v>
      </x:c>
      <x:c r="D417" t="str">
        <x:v>Dryer 3</x:v>
      </x:c>
      <x:c r="E417" t="str">
        <x:v>Sup 1</x:v>
      </x:c>
      <x:c r="F417" t="n">
        <x:v>450</x:v>
      </x:c>
      <x:c r="G417" t="n">
        <x:v>0</x:v>
      </x:c>
      <x:c r="H417" t="n">
        <x:v>56</x:v>
      </x:c>
      <x:c r="I417" t="n">
        <x:v>1139</x:v>
      </x:c>
      <x:c r="J417" t="n">
        <x:v>978</x:v>
      </x:c>
      <x:c r="K417" t="n">
        <x:v>30</x:v>
      </x:c>
      <x:c r="L417" t="n">
        <x:v>12</x:v>
      </x:c>
      <x:c r="M417" t="n">
        <x:v>88.1</x:v>
      </x:c>
      <x:c r="N417" t="n">
        <x:v>86.4</x:v>
      </x:c>
      <x:c r="O417" t="n">
        <x:v>68.3</x:v>
      </x:c>
      <x:c r="P417" t="n">
        <x:v>1</x:v>
      </x:c>
      <x:c r="Q417" t="str">
        <x:v>No incident</x:v>
      </x:c>
      <x:c r="R417" t="str">
        <x:v>N/A</x:v>
      </x:c>
      <x:c r="S417" t="str">
        <x:v>Corrective</x:v>
      </x:c>
      <x:c r="T417" t="n">
        <x:v>0.86</x:v>
      </x:c>
      <x:c r="U417" t="n">
        <x:v>8.9</x:v>
      </x:c>
    </x:row>
    <x:row r="418">
      <x:c r="A418" s="12" t="n">
        <x:v>46165</x:v>
      </x:c>
      <x:c r="B418" t="str">
        <x:v>C</x:v>
      </x:c>
      <x:c r="C418" t="str">
        <x:v>Desiccated Coconut</x:v>
      </x:c>
      <x:c r="D418" t="str">
        <x:v>Dryer 1</x:v>
      </x:c>
      <x:c r="E418" t="str">
        <x:v>Sup 2</x:v>
      </x:c>
      <x:c r="F418" t="n">
        <x:v>420</x:v>
      </x:c>
      <x:c r="G418" t="n">
        <x:v>30</x:v>
      </x:c>
      <x:c r="H418" t="n">
        <x:v>36</x:v>
      </x:c>
      <x:c r="I418" t="n">
        <x:v>1233</x:v>
      </x:c>
      <x:c r="J418" t="n">
        <x:v>1084</x:v>
      </x:c>
      <x:c r="K418" t="n">
        <x:v>21</x:v>
      </x:c>
      <x:c r="L418" t="n">
        <x:v>7</x:v>
      </x:c>
      <x:c r="M418" t="n">
        <x:v>82.4</x:v>
      </x:c>
      <x:c r="N418" t="n">
        <x:v>65</x:v>
      </x:c>
      <x:c r="O418" t="n">
        <x:v>81.2</x:v>
      </x:c>
      <x:c r="P418" t="n">
        <x:v>5</x:v>
      </x:c>
      <x:c r="Q418" t="str">
        <x:v>No incident</x:v>
      </x:c>
      <x:c r="R418" t="str">
        <x:v>N/A</x:v>
      </x:c>
      <x:c r="S418" t="str">
        <x:v>Preventive</x:v>
      </x:c>
      <x:c r="T418" t="n">
        <x:v>0.5</x:v>
      </x:c>
      <x:c r="U418" t="n">
        <x:v>8.8</x:v>
      </x:c>
    </x:row>
    <x:row r="419">
      <x:c r="A419" s="12" t="n">
        <x:v>46166</x:v>
      </x:c>
      <x:c r="B419" t="str">
        <x:v>A</x:v>
      </x:c>
      <x:c r="C419" t="str">
        <x:v>Dried Mango</x:v>
      </x:c>
      <x:c r="D419" t="str">
        <x:v>Dryer 1</x:v>
      </x:c>
      <x:c r="E419" t="str">
        <x:v>Sup 2</x:v>
      </x:c>
      <x:c r="F419" t="n">
        <x:v>450</x:v>
      </x:c>
      <x:c r="G419" t="n">
        <x:v>0</x:v>
      </x:c>
      <x:c r="H419" t="n">
        <x:v>37</x:v>
      </x:c>
      <x:c r="I419" t="n">
        <x:v>1654</x:v>
      </x:c>
      <x:c r="J419" t="n">
        <x:v>1465</x:v>
      </x:c>
      <x:c r="K419" t="n">
        <x:v>41</x:v>
      </x:c>
      <x:c r="L419" t="n">
        <x:v>8</x:v>
      </x:c>
      <x:c r="M419" t="n">
        <x:v>85.4</x:v>
      </x:c>
      <x:c r="N419" t="n">
        <x:v>79.6</x:v>
      </x:c>
      <x:c r="O419" t="n">
        <x:v>76.9</x:v>
      </x:c>
      <x:c r="P419" t="n">
        <x:v>2</x:v>
      </x:c>
      <x:c r="Q419" t="str">
        <x:v>Near miss</x:v>
      </x:c>
      <x:c r="R419" t="str">
        <x:v>In progress</x:v>
      </x:c>
      <x:c r="S419" t="str">
        <x:v>Inspection</x:v>
      </x:c>
      <x:c r="T419" t="n">
        <x:v>0.52</x:v>
      </x:c>
      <x:c r="U419" t="n">
        <x:v>12.8</x:v>
      </x:c>
    </x:row>
    <x:row r="420">
      <x:c r="A420" s="12" t="n">
        <x:v>46166</x:v>
      </x:c>
      <x:c r="B420" t="str">
        <x:v>B</x:v>
      </x:c>
      <x:c r="C420" t="str">
        <x:v>Dried Pineapple</x:v>
      </x:c>
      <x:c r="D420" t="str">
        <x:v>Dryer 2</x:v>
      </x:c>
      <x:c r="E420" t="str">
        <x:v>Sup 3</x:v>
      </x:c>
      <x:c r="F420" t="n">
        <x:v>450</x:v>
      </x:c>
      <x:c r="G420" t="n">
        <x:v>30</x:v>
      </x:c>
      <x:c r="H420" t="n">
        <x:v>37</x:v>
      </x:c>
      <x:c r="I420" t="n">
        <x:v>1873</x:v>
      </x:c>
      <x:c r="J420" t="n">
        <x:v>1534</x:v>
      </x:c>
      <x:c r="K420" t="n">
        <x:v>60</x:v>
      </x:c>
      <x:c r="L420" t="n">
        <x:v>37</x:v>
      </x:c>
      <x:c r="M420" t="n">
        <x:v>100</x:v>
      </x:c>
      <x:c r="N420" t="n">
        <x:v>87</x:v>
      </x:c>
      <x:c r="O420" t="n">
        <x:v>79.6</x:v>
      </x:c>
      <x:c r="P420" t="n">
        <x:v>4</x:v>
      </x:c>
      <x:c r="Q420" t="str">
        <x:v>No incident</x:v>
      </x:c>
      <x:c r="R420" t="str">
        <x:v>N/A</x:v>
      </x:c>
      <x:c r="S420" t="str">
        <x:v>Inspection</x:v>
      </x:c>
      <x:c r="T420" t="n">
        <x:v>0.5</x:v>
      </x:c>
      <x:c r="U420" t="n">
        <x:v>13.6</x:v>
      </x:c>
    </x:row>
    <x:row r="421">
      <x:c r="A421" s="12" t="n">
        <x:v>46166</x:v>
      </x:c>
      <x:c r="B421" t="str">
        <x:v>C</x:v>
      </x:c>
      <x:c r="C421" t="str">
        <x:v>Desiccated Coconut</x:v>
      </x:c>
      <x:c r="D421" t="str">
        <x:v>Dryer 4</x:v>
      </x:c>
      <x:c r="E421" t="str">
        <x:v>Sup 2</x:v>
      </x:c>
      <x:c r="F421" t="n">
        <x:v>450</x:v>
      </x:c>
      <x:c r="G421" t="n">
        <x:v>0</x:v>
      </x:c>
      <x:c r="H421" t="n">
        <x:v>62</x:v>
      </x:c>
      <x:c r="I421" t="n">
        <x:v>1275</x:v>
      </x:c>
      <x:c r="J421" t="n">
        <x:v>1063</x:v>
      </x:c>
      <x:c r="K421" t="n">
        <x:v>27</x:v>
      </x:c>
      <x:c r="L421" t="n">
        <x:v>16</x:v>
      </x:c>
      <x:c r="M421" t="n">
        <x:v>87.5</x:v>
      </x:c>
      <x:c r="N421" t="n">
        <x:v>63.2</x:v>
      </x:c>
      <x:c r="O421" t="n">
        <x:v>67.9</x:v>
      </x:c>
      <x:c r="P421" t="n">
        <x:v>5</x:v>
      </x:c>
      <x:c r="Q421" t="str">
        <x:v>No incident</x:v>
      </x:c>
      <x:c r="R421" t="str">
        <x:v>N/A</x:v>
      </x:c>
      <x:c r="S421" t="str">
        <x:v>Preventive</x:v>
      </x:c>
      <x:c r="T421" t="n">
        <x:v>0.5</x:v>
      </x:c>
      <x:c r="U421" t="n">
        <x:v>8.7</x:v>
      </x:c>
    </x:row>
    <x:row r="422">
      <x:c r="A422" s="12" t="n">
        <x:v>46167</x:v>
      </x:c>
      <x:c r="B422" t="str">
        <x:v>A</x:v>
      </x:c>
      <x:c r="C422" t="str">
        <x:v>Desiccated Coconut</x:v>
      </x:c>
      <x:c r="D422" t="str">
        <x:v>Dryer 2</x:v>
      </x:c>
      <x:c r="E422" t="str">
        <x:v>Sup 2</x:v>
      </x:c>
      <x:c r="F422" t="n">
        <x:v>450</x:v>
      </x:c>
      <x:c r="G422" t="n">
        <x:v>40</x:v>
      </x:c>
      <x:c r="H422" t="n">
        <x:v>28</x:v>
      </x:c>
      <x:c r="I422" t="n">
        <x:v>1159</x:v>
      </x:c>
      <x:c r="J422" t="n">
        <x:v>1116</x:v>
      </x:c>
      <x:c r="K422" t="n">
        <x:v>22</x:v>
      </x:c>
      <x:c r="L422" t="n">
        <x:v>9</x:v>
      </x:c>
      <x:c r="M422" t="n">
        <x:v>89.5</x:v>
      </x:c>
      <x:c r="N422" t="n">
        <x:v>94.3</x:v>
      </x:c>
      <x:c r="O422" t="n">
        <x:v>69.7</x:v>
      </x:c>
      <x:c r="P422" t="n">
        <x:v>3</x:v>
      </x:c>
      <x:c r="Q422" t="str">
        <x:v>No incident</x:v>
      </x:c>
      <x:c r="R422" t="str">
        <x:v>N/A</x:v>
      </x:c>
      <x:c r="S422" t="str">
        <x:v>Preventive</x:v>
      </x:c>
      <x:c r="T422" t="n">
        <x:v>0.5</x:v>
      </x:c>
      <x:c r="U422" t="n">
        <x:v>9.3</x:v>
      </x:c>
    </x:row>
    <x:row r="423">
      <x:c r="A423" s="12" t="n">
        <x:v>46167</x:v>
      </x:c>
      <x:c r="B423" t="str">
        <x:v>B</x:v>
      </x:c>
      <x:c r="C423" t="str">
        <x:v>Desiccated Coconut</x:v>
      </x:c>
      <x:c r="D423" t="str">
        <x:v>Dryer 3</x:v>
      </x:c>
      <x:c r="E423" t="str">
        <x:v>Sup 1</x:v>
      </x:c>
      <x:c r="F423" t="n">
        <x:v>450</x:v>
      </x:c>
      <x:c r="G423" t="n">
        <x:v>30</x:v>
      </x:c>
      <x:c r="H423" t="n">
        <x:v>56</x:v>
      </x:c>
      <x:c r="I423" t="n">
        <x:v>1257</x:v>
      </x:c>
      <x:c r="J423" t="n">
        <x:v>1056</x:v>
      </x:c>
      <x:c r="K423" t="n">
        <x:v>47</x:v>
      </x:c>
      <x:c r="L423" t="n">
        <x:v>13</x:v>
      </x:c>
      <x:c r="M423" t="n">
        <x:v>89.2</x:v>
      </x:c>
      <x:c r="N423" t="n">
        <x:v>83.5</x:v>
      </x:c>
      <x:c r="O423" t="n">
        <x:v>58.1</x:v>
      </x:c>
      <x:c r="P423" t="n">
        <x:v>2</x:v>
      </x:c>
      <x:c r="Q423" t="str">
        <x:v>No incident</x:v>
      </x:c>
      <x:c r="R423" t="str">
        <x:v>N/A</x:v>
      </x:c>
      <x:c r="S423" t="str">
        <x:v>Corrective</x:v>
      </x:c>
      <x:c r="T423" t="n">
        <x:v>1.18</x:v>
      </x:c>
      <x:c r="U423" t="n">
        <x:v>9.5</x:v>
      </x:c>
    </x:row>
    <x:row r="424">
      <x:c r="A424" s="12" t="n">
        <x:v>46167</x:v>
      </x:c>
      <x:c r="B424" t="str">
        <x:v>C</x:v>
      </x:c>
      <x:c r="C424" t="str">
        <x:v>Dried Pineapple</x:v>
      </x:c>
      <x:c r="D424" t="str">
        <x:v>Dryer 3</x:v>
      </x:c>
      <x:c r="E424" t="str">
        <x:v>Sup 2</x:v>
      </x:c>
      <x:c r="F424" t="n">
        <x:v>420</x:v>
      </x:c>
      <x:c r="G424" t="n">
        <x:v>20</x:v>
      </x:c>
      <x:c r="H424" t="n">
        <x:v>51</x:v>
      </x:c>
      <x:c r="I424" t="n">
        <x:v>1639</x:v>
      </x:c>
      <x:c r="J424" t="n">
        <x:v>1300</x:v>
      </x:c>
      <x:c r="K424" t="n">
        <x:v>68</x:v>
      </x:c>
      <x:c r="L424" t="n">
        <x:v>37</x:v>
      </x:c>
      <x:c r="M424" t="n">
        <x:v>85.4</x:v>
      </x:c>
      <x:c r="N424" t="n">
        <x:v>79.4</x:v>
      </x:c>
      <x:c r="O424" t="n">
        <x:v>84.5</x:v>
      </x:c>
      <x:c r="P424" t="n">
        <x:v>6</x:v>
      </x:c>
      <x:c r="Q424" t="str">
        <x:v>Near miss</x:v>
      </x:c>
      <x:c r="R424" t="str">
        <x:v>Closed</x:v>
      </x:c>
      <x:c r="S424" t="str">
        <x:v>Corrective</x:v>
      </x:c>
      <x:c r="T424" t="n">
        <x:v>1.95</x:v>
      </x:c>
      <x:c r="U424" t="n">
        <x:v>10.5</x:v>
      </x:c>
    </x:row>
    <x:row r="425">
      <x:c r="A425" s="12" t="n">
        <x:v>46168</x:v>
      </x:c>
      <x:c r="B425" t="str">
        <x:v>A</x:v>
      </x:c>
      <x:c r="C425" t="str">
        <x:v>Dried Mango</x:v>
      </x:c>
      <x:c r="D425" t="str">
        <x:v>Dryer 1</x:v>
      </x:c>
      <x:c r="E425" t="str">
        <x:v>Sup 3</x:v>
      </x:c>
      <x:c r="F425" t="n">
        <x:v>480</x:v>
      </x:c>
      <x:c r="G425" t="n">
        <x:v>20</x:v>
      </x:c>
      <x:c r="H425" t="n">
        <x:v>46</x:v>
      </x:c>
      <x:c r="I425" t="n">
        <x:v>1536</x:v>
      </x:c>
      <x:c r="J425" t="n">
        <x:v>1317</x:v>
      </x:c>
      <x:c r="K425" t="n">
        <x:v>49</x:v>
      </x:c>
      <x:c r="L425" t="n">
        <x:v>24</x:v>
      </x:c>
      <x:c r="M425" t="n">
        <x:v>93.6</x:v>
      </x:c>
      <x:c r="N425" t="n">
        <x:v>88.5</x:v>
      </x:c>
      <x:c r="O425" t="n">
        <x:v>82.9</x:v>
      </x:c>
      <x:c r="P425" t="n">
        <x:v>3</x:v>
      </x:c>
      <x:c r="Q425" t="str">
        <x:v>No incident</x:v>
      </x:c>
      <x:c r="R425" t="str">
        <x:v>N/A</x:v>
      </x:c>
      <x:c r="S425" t="str">
        <x:v>Corrective</x:v>
      </x:c>
      <x:c r="T425" t="n">
        <x:v>1.13</x:v>
      </x:c>
      <x:c r="U425" t="n">
        <x:v>11.4</x:v>
      </x:c>
    </x:row>
    <x:row r="426">
      <x:c r="A426" s="12" t="n">
        <x:v>46168</x:v>
      </x:c>
      <x:c r="B426" t="str">
        <x:v>B</x:v>
      </x:c>
      <x:c r="C426" t="str">
        <x:v>Desiccated Coconut</x:v>
      </x:c>
      <x:c r="D426" t="str">
        <x:v>Dryer 4</x:v>
      </x:c>
      <x:c r="E426" t="str">
        <x:v>Sup 1</x:v>
      </x:c>
      <x:c r="F426" t="n">
        <x:v>480</x:v>
      </x:c>
      <x:c r="G426" t="n">
        <x:v>0</x:v>
      </x:c>
      <x:c r="H426" t="n">
        <x:v>63</x:v>
      </x:c>
      <x:c r="I426" t="n">
        <x:v>1106</x:v>
      </x:c>
      <x:c r="J426" t="n">
        <x:v>967</x:v>
      </x:c>
      <x:c r="K426" t="n">
        <x:v>34</x:v>
      </x:c>
      <x:c r="L426" t="n">
        <x:v>10</x:v>
      </x:c>
      <x:c r="M426" t="n">
        <x:v>83.6</x:v>
      </x:c>
      <x:c r="N426" t="n">
        <x:v>88.1</x:v>
      </x:c>
      <x:c r="O426" t="n">
        <x:v>76.4</x:v>
      </x:c>
      <x:c r="P426" t="n">
        <x:v>3</x:v>
      </x:c>
      <x:c r="Q426" t="str">
        <x:v>No incident</x:v>
      </x:c>
      <x:c r="R426" t="str">
        <x:v>N/A</x:v>
      </x:c>
      <x:c r="S426" t="str">
        <x:v>Preventive</x:v>
      </x:c>
      <x:c r="T426" t="n">
        <x:v>1.09</x:v>
      </x:c>
      <x:c r="U426" t="n">
        <x:v>8.3</x:v>
      </x:c>
    </x:row>
    <x:row r="427">
      <x:c r="A427" s="12" t="n">
        <x:v>46168</x:v>
      </x:c>
      <x:c r="B427" t="str">
        <x:v>C</x:v>
      </x:c>
      <x:c r="C427" t="str">
        <x:v>Dried Mango</x:v>
      </x:c>
      <x:c r="D427" t="str">
        <x:v>Dryer 4</x:v>
      </x:c>
      <x:c r="E427" t="str">
        <x:v>Sup 3</x:v>
      </x:c>
      <x:c r="F427" t="n">
        <x:v>450</x:v>
      </x:c>
      <x:c r="G427" t="n">
        <x:v>40</x:v>
      </x:c>
      <x:c r="H427" t="n">
        <x:v>27</x:v>
      </x:c>
      <x:c r="I427" t="n">
        <x:v>1775</x:v>
      </x:c>
      <x:c r="J427" t="n">
        <x:v>1640</x:v>
      </x:c>
      <x:c r="K427" t="n">
        <x:v>50</x:v>
      </x:c>
      <x:c r="L427" t="n">
        <x:v>18</x:v>
      </x:c>
      <x:c r="M427" t="n">
        <x:v>86.7</x:v>
      </x:c>
      <x:c r="N427" t="n">
        <x:v>63.9</x:v>
      </x:c>
      <x:c r="O427" t="n">
        <x:v>82.4</x:v>
      </x:c>
      <x:c r="P427" t="n">
        <x:v>1</x:v>
      </x:c>
      <x:c r="Q427" t="str">
        <x:v>No incident</x:v>
      </x:c>
      <x:c r="R427" t="str">
        <x:v>N/A</x:v>
      </x:c>
      <x:c r="S427" t="str">
        <x:v>Corrective</x:v>
      </x:c>
      <x:c r="T427" t="n">
        <x:v>1.56</x:v>
      </x:c>
      <x:c r="U427" t="n">
        <x:v>13</x:v>
      </x:c>
    </x:row>
    <x:row r="428">
      <x:c r="A428" s="12" t="n">
        <x:v>46169</x:v>
      </x:c>
      <x:c r="B428" t="str">
        <x:v>A</x:v>
      </x:c>
      <x:c r="C428" t="str">
        <x:v>Dried Pineapple</x:v>
      </x:c>
      <x:c r="D428" t="str">
        <x:v>Dryer 3</x:v>
      </x:c>
      <x:c r="E428" t="str">
        <x:v>Sup 1</x:v>
      </x:c>
      <x:c r="F428" t="n">
        <x:v>480</x:v>
      </x:c>
      <x:c r="G428" t="n">
        <x:v>40</x:v>
      </x:c>
      <x:c r="H428" t="n">
        <x:v>37</x:v>
      </x:c>
      <x:c r="I428" t="n">
        <x:v>1777</x:v>
      </x:c>
      <x:c r="J428" t="n">
        <x:v>1442</x:v>
      </x:c>
      <x:c r="K428" t="n">
        <x:v>76</x:v>
      </x:c>
      <x:c r="L428" t="n">
        <x:v>20</x:v>
      </x:c>
      <x:c r="M428" t="n">
        <x:v>94.7</x:v>
      </x:c>
      <x:c r="N428" t="n">
        <x:v>73.1</x:v>
      </x:c>
      <x:c r="O428" t="n">
        <x:v>73.6</x:v>
      </x:c>
      <x:c r="P428" t="n">
        <x:v>1</x:v>
      </x:c>
      <x:c r="Q428" t="str">
        <x:v>No incident</x:v>
      </x:c>
      <x:c r="R428" t="str">
        <x:v>N/A</x:v>
      </x:c>
      <x:c r="S428" t="str">
        <x:v>Inspection</x:v>
      </x:c>
      <x:c r="T428" t="n">
        <x:v>0.86</x:v>
      </x:c>
      <x:c r="U428" t="n">
        <x:v>12.2</x:v>
      </x:c>
    </x:row>
    <x:row r="429">
      <x:c r="A429" s="12" t="n">
        <x:v>46169</x:v>
      </x:c>
      <x:c r="B429" t="str">
        <x:v>B</x:v>
      </x:c>
      <x:c r="C429" t="str">
        <x:v>Dried Mango</x:v>
      </x:c>
      <x:c r="D429" t="str">
        <x:v>Dryer 3</x:v>
      </x:c>
      <x:c r="E429" t="str">
        <x:v>Sup 2</x:v>
      </x:c>
      <x:c r="F429" t="n">
        <x:v>420</x:v>
      </x:c>
      <x:c r="G429" t="n">
        <x:v>0</x:v>
      </x:c>
      <x:c r="H429" t="n">
        <x:v>31</x:v>
      </x:c>
      <x:c r="I429" t="n">
        <x:v>1742</x:v>
      </x:c>
      <x:c r="J429" t="n">
        <x:v>1518</x:v>
      </x:c>
      <x:c r="K429" t="n">
        <x:v>79</x:v>
      </x:c>
      <x:c r="L429" t="n">
        <x:v>52</x:v>
      </x:c>
      <x:c r="M429" t="n">
        <x:v>91.6</x:v>
      </x:c>
      <x:c r="N429" t="n">
        <x:v>65.6</x:v>
      </x:c>
      <x:c r="O429" t="n">
        <x:v>82</x:v>
      </x:c>
      <x:c r="P429" t="n">
        <x:v>7</x:v>
      </x:c>
      <x:c r="Q429" t="str">
        <x:v>No incident</x:v>
      </x:c>
      <x:c r="R429" t="str">
        <x:v>N/A</x:v>
      </x:c>
      <x:c r="S429" t="str">
        <x:v>Inspection</x:v>
      </x:c>
      <x:c r="T429" t="n">
        <x:v>0.5</x:v>
      </x:c>
      <x:c r="U429" t="n">
        <x:v>12.2</x:v>
      </x:c>
    </x:row>
    <x:row r="430">
      <x:c r="A430" s="12" t="n">
        <x:v>46169</x:v>
      </x:c>
      <x:c r="B430" t="str">
        <x:v>C</x:v>
      </x:c>
      <x:c r="C430" t="str">
        <x:v>Dried Mango</x:v>
      </x:c>
      <x:c r="D430" t="str">
        <x:v>Dryer 2</x:v>
      </x:c>
      <x:c r="E430" t="str">
        <x:v>Sup 2</x:v>
      </x:c>
      <x:c r="F430" t="n">
        <x:v>480</x:v>
      </x:c>
      <x:c r="G430" t="n">
        <x:v>20</x:v>
      </x:c>
      <x:c r="H430" t="n">
        <x:v>47</x:v>
      </x:c>
      <x:c r="I430" t="n">
        <x:v>1585</x:v>
      </x:c>
      <x:c r="J430" t="n">
        <x:v>1353</x:v>
      </x:c>
      <x:c r="K430" t="n">
        <x:v>56</x:v>
      </x:c>
      <x:c r="L430" t="n">
        <x:v>30</x:v>
      </x:c>
      <x:c r="M430" t="n">
        <x:v>89.7</x:v>
      </x:c>
      <x:c r="N430" t="n">
        <x:v>73</x:v>
      </x:c>
      <x:c r="O430" t="n">
        <x:v>67.7</x:v>
      </x:c>
      <x:c r="P430" t="n">
        <x:v>4</x:v>
      </x:c>
      <x:c r="Q430" t="str">
        <x:v>No incident</x:v>
      </x:c>
      <x:c r="R430" t="str">
        <x:v>N/A</x:v>
      </x:c>
      <x:c r="S430" t="str">
        <x:v>Corrective</x:v>
      </x:c>
      <x:c r="T430" t="n">
        <x:v>1.47</x:v>
      </x:c>
      <x:c r="U430" t="n">
        <x:v>10.8</x:v>
      </x:c>
    </x:row>
    <x:row r="431">
      <x:c r="A431" s="12" t="n">
        <x:v>46170</x:v>
      </x:c>
      <x:c r="B431" t="str">
        <x:v>A</x:v>
      </x:c>
      <x:c r="C431" t="str">
        <x:v>Dried Mango</x:v>
      </x:c>
      <x:c r="D431" t="str">
        <x:v>Dryer 1</x:v>
      </x:c>
      <x:c r="E431" t="str">
        <x:v>Sup 3</x:v>
      </x:c>
      <x:c r="F431" t="n">
        <x:v>480</x:v>
      </x:c>
      <x:c r="G431" t="n">
        <x:v>40</x:v>
      </x:c>
      <x:c r="H431" t="n">
        <x:v>37</x:v>
      </x:c>
      <x:c r="I431" t="n">
        <x:v>1712</x:v>
      </x:c>
      <x:c r="J431" t="n">
        <x:v>1523</x:v>
      </x:c>
      <x:c r="K431" t="n">
        <x:v>57</x:v>
      </x:c>
      <x:c r="L431" t="n">
        <x:v>35</x:v>
      </x:c>
      <x:c r="M431" t="n">
        <x:v>87.5</x:v>
      </x:c>
      <x:c r="N431" t="n">
        <x:v>88.2</x:v>
      </x:c>
      <x:c r="O431" t="n">
        <x:v>73.1</x:v>
      </x:c>
      <x:c r="P431" t="n">
        <x:v>3</x:v>
      </x:c>
      <x:c r="Q431" t="str">
        <x:v>No incident</x:v>
      </x:c>
      <x:c r="R431" t="str">
        <x:v>N/A</x:v>
      </x:c>
      <x:c r="S431" t="str">
        <x:v>Corrective</x:v>
      </x:c>
      <x:c r="T431" t="n">
        <x:v>1.36</x:v>
      </x:c>
      <x:c r="U431" t="n">
        <x:v>13.1</x:v>
      </x:c>
    </x:row>
    <x:row r="432">
      <x:c r="A432" s="12" t="n">
        <x:v>46170</x:v>
      </x:c>
      <x:c r="B432" t="str">
        <x:v>B</x:v>
      </x:c>
      <x:c r="C432" t="str">
        <x:v>Dried Mango</x:v>
      </x:c>
      <x:c r="D432" t="str">
        <x:v>Dryer 3</x:v>
      </x:c>
      <x:c r="E432" t="str">
        <x:v>Sup 3</x:v>
      </x:c>
      <x:c r="F432" t="n">
        <x:v>450</x:v>
      </x:c>
      <x:c r="G432" t="n">
        <x:v>20</x:v>
      </x:c>
      <x:c r="H432" t="n">
        <x:v>59</x:v>
      </x:c>
      <x:c r="I432" t="n">
        <x:v>1540</x:v>
      </x:c>
      <x:c r="J432" t="n">
        <x:v>1350</x:v>
      </x:c>
      <x:c r="K432" t="n">
        <x:v>77</x:v>
      </x:c>
      <x:c r="L432" t="n">
        <x:v>50</x:v>
      </x:c>
      <x:c r="M432" t="n">
        <x:v>90.8</x:v>
      </x:c>
      <x:c r="N432" t="n">
        <x:v>74.5</x:v>
      </x:c>
      <x:c r="O432" t="n">
        <x:v>71.6</x:v>
      </x:c>
      <x:c r="P432" t="n">
        <x:v>2</x:v>
      </x:c>
      <x:c r="Q432" t="str">
        <x:v>Near miss</x:v>
      </x:c>
      <x:c r="R432" t="str">
        <x:v>Closed</x:v>
      </x:c>
      <x:c r="S432" t="str">
        <x:v>Corrective</x:v>
      </x:c>
      <x:c r="T432" t="n">
        <x:v>0.93</x:v>
      </x:c>
      <x:c r="U432" t="n">
        <x:v>12.1</x:v>
      </x:c>
    </x:row>
    <x:row r="433">
      <x:c r="A433" s="12" t="n">
        <x:v>46170</x:v>
      </x:c>
      <x:c r="B433" t="str">
        <x:v>C</x:v>
      </x:c>
      <x:c r="C433" t="str">
        <x:v>Dried Pineapple</x:v>
      </x:c>
      <x:c r="D433" t="str">
        <x:v>Dryer 4</x:v>
      </x:c>
      <x:c r="E433" t="str">
        <x:v>Sup 3</x:v>
      </x:c>
      <x:c r="F433" t="n">
        <x:v>450</x:v>
      </x:c>
      <x:c r="G433" t="n">
        <x:v>20</x:v>
      </x:c>
      <x:c r="H433" t="n">
        <x:v>60</x:v>
      </x:c>
      <x:c r="I433" t="n">
        <x:v>1686</x:v>
      </x:c>
      <x:c r="J433" t="n">
        <x:v>1407</x:v>
      </x:c>
      <x:c r="K433" t="n">
        <x:v>57</x:v>
      </x:c>
      <x:c r="L433" t="n">
        <x:v>26</x:v>
      </x:c>
      <x:c r="M433" t="n">
        <x:v>86.8</x:v>
      </x:c>
      <x:c r="N433" t="n">
        <x:v>83.8</x:v>
      </x:c>
      <x:c r="O433" t="n">
        <x:v>71.9</x:v>
      </x:c>
      <x:c r="P433" t="n">
        <x:v>4</x:v>
      </x:c>
      <x:c r="Q433" t="str">
        <x:v>Near miss</x:v>
      </x:c>
      <x:c r="R433" t="str">
        <x:v>In progress</x:v>
      </x:c>
      <x:c r="S433" t="str">
        <x:v>Inspection</x:v>
      </x:c>
      <x:c r="T433" t="n">
        <x:v>0.79</x:v>
      </x:c>
      <x:c r="U433" t="n">
        <x:v>12.5</x:v>
      </x:c>
    </x:row>
    <x:row r="434">
      <x:c r="A434" s="12" t="n">
        <x:v>46171</x:v>
      </x:c>
      <x:c r="B434" t="str">
        <x:v>A</x:v>
      </x:c>
      <x:c r="C434" t="str">
        <x:v>Desiccated Coconut</x:v>
      </x:c>
      <x:c r="D434" t="str">
        <x:v>Dryer 2</x:v>
      </x:c>
      <x:c r="E434" t="str">
        <x:v>Sup 2</x:v>
      </x:c>
      <x:c r="F434" t="n">
        <x:v>450</x:v>
      </x:c>
      <x:c r="G434" t="n">
        <x:v>30</x:v>
      </x:c>
      <x:c r="H434" t="n">
        <x:v>41</x:v>
      </x:c>
      <x:c r="I434" t="n">
        <x:v>1141</x:v>
      </x:c>
      <x:c r="J434" t="n">
        <x:v>963</x:v>
      </x:c>
      <x:c r="K434" t="n">
        <x:v>27</x:v>
      </x:c>
      <x:c r="L434" t="n">
        <x:v>17</x:v>
      </x:c>
      <x:c r="M434" t="n">
        <x:v>96.2</x:v>
      </x:c>
      <x:c r="N434" t="n">
        <x:v>77.9</x:v>
      </x:c>
      <x:c r="O434" t="n">
        <x:v>81</x:v>
      </x:c>
      <x:c r="P434" t="n">
        <x:v>3</x:v>
      </x:c>
      <x:c r="Q434" t="str">
        <x:v>No incident</x:v>
      </x:c>
      <x:c r="R434" t="str">
        <x:v>N/A</x:v>
      </x:c>
      <x:c r="S434" t="str">
        <x:v>Inspection</x:v>
      </x:c>
      <x:c r="T434" t="n">
        <x:v>0.99</x:v>
      </x:c>
      <x:c r="U434" t="n">
        <x:v>7.9</x:v>
      </x:c>
    </x:row>
    <x:row r="435">
      <x:c r="A435" s="12" t="n">
        <x:v>46171</x:v>
      </x:c>
      <x:c r="B435" t="str">
        <x:v>B</x:v>
      </x:c>
      <x:c r="C435" t="str">
        <x:v>Desiccated Coconut</x:v>
      </x:c>
      <x:c r="D435" t="str">
        <x:v>Dryer 3</x:v>
      </x:c>
      <x:c r="E435" t="str">
        <x:v>Sup 3</x:v>
      </x:c>
      <x:c r="F435" t="n">
        <x:v>450</x:v>
      </x:c>
      <x:c r="G435" t="n">
        <x:v>20</x:v>
      </x:c>
      <x:c r="H435" t="n">
        <x:v>46</x:v>
      </x:c>
      <x:c r="I435" t="n">
        <x:v>1284</x:v>
      </x:c>
      <x:c r="J435" t="n">
        <x:v>1167</x:v>
      </x:c>
      <x:c r="K435" t="n">
        <x:v>51</x:v>
      </x:c>
      <x:c r="L435" t="n">
        <x:v>33</x:v>
      </x:c>
      <x:c r="M435" t="n">
        <x:v>93.9</x:v>
      </x:c>
      <x:c r="N435" t="n">
        <x:v>82.4</x:v>
      </x:c>
      <x:c r="O435" t="n">
        <x:v>79.1</x:v>
      </x:c>
      <x:c r="P435" t="n">
        <x:v>0</x:v>
      </x:c>
      <x:c r="Q435" t="str">
        <x:v>No incident</x:v>
      </x:c>
      <x:c r="R435" t="str">
        <x:v>N/A</x:v>
      </x:c>
      <x:c r="S435" t="str">
        <x:v>Inspection</x:v>
      </x:c>
      <x:c r="T435" t="n">
        <x:v>0.95</x:v>
      </x:c>
      <x:c r="U435" t="n">
        <x:v>10.4</x:v>
      </x:c>
    </x:row>
    <x:row r="436">
      <x:c r="A436" s="12" t="n">
        <x:v>46171</x:v>
      </x:c>
      <x:c r="B436" t="str">
        <x:v>C</x:v>
      </x:c>
      <x:c r="C436" t="str">
        <x:v>Dried Pineapple</x:v>
      </x:c>
      <x:c r="D436" t="str">
        <x:v>Dryer 2</x:v>
      </x:c>
      <x:c r="E436" t="str">
        <x:v>Sup 1</x:v>
      </x:c>
      <x:c r="F436" t="n">
        <x:v>450</x:v>
      </x:c>
      <x:c r="G436" t="n">
        <x:v>20</x:v>
      </x:c>
      <x:c r="H436" t="n">
        <x:v>43</x:v>
      </x:c>
      <x:c r="I436" t="n">
        <x:v>1616</x:v>
      </x:c>
      <x:c r="J436" t="n">
        <x:v>1400</x:v>
      </x:c>
      <x:c r="K436" t="n">
        <x:v>33</x:v>
      </x:c>
      <x:c r="L436" t="n">
        <x:v>16</x:v>
      </x:c>
      <x:c r="M436" t="n">
        <x:v>92</x:v>
      </x:c>
      <x:c r="N436" t="n">
        <x:v>72.9</x:v>
      </x:c>
      <x:c r="O436" t="n">
        <x:v>76.7</x:v>
      </x:c>
      <x:c r="P436" t="n">
        <x:v>3</x:v>
      </x:c>
      <x:c r="Q436" t="str">
        <x:v>Near miss</x:v>
      </x:c>
      <x:c r="R436" t="str">
        <x:v>In progress</x:v>
      </x:c>
      <x:c r="S436" t="str">
        <x:v>Preventive</x:v>
      </x:c>
      <x:c r="T436" t="n">
        <x:v>0.58</x:v>
      </x:c>
      <x:c r="U436" t="n">
        <x:v>12.6</x:v>
      </x:c>
    </x:row>
    <x:row r="437">
      <x:c r="A437" s="12" t="n">
        <x:v>46172</x:v>
      </x:c>
      <x:c r="B437" t="str">
        <x:v>A</x:v>
      </x:c>
      <x:c r="C437" t="str">
        <x:v>Dried Mango</x:v>
      </x:c>
      <x:c r="D437" t="str">
        <x:v>Dryer 1</x:v>
      </x:c>
      <x:c r="E437" t="str">
        <x:v>Sup 2</x:v>
      </x:c>
      <x:c r="F437" t="n">
        <x:v>480</x:v>
      </x:c>
      <x:c r="G437" t="n">
        <x:v>40</x:v>
      </x:c>
      <x:c r="H437" t="n">
        <x:v>31</x:v>
      </x:c>
      <x:c r="I437" t="n">
        <x:v>1602</x:v>
      </x:c>
      <x:c r="J437" t="n">
        <x:v>1515</x:v>
      </x:c>
      <x:c r="K437" t="n">
        <x:v>60</x:v>
      </x:c>
      <x:c r="L437" t="n">
        <x:v>18</x:v>
      </x:c>
      <x:c r="M437" t="n">
        <x:v>94</x:v>
      </x:c>
      <x:c r="N437" t="n">
        <x:v>79.5</x:v>
      </x:c>
      <x:c r="O437" t="n">
        <x:v>70.8</x:v>
      </x:c>
      <x:c r="P437" t="n">
        <x:v>4</x:v>
      </x:c>
      <x:c r="Q437" t="str">
        <x:v>Near miss</x:v>
      </x:c>
      <x:c r="R437" t="str">
        <x:v>In progress</x:v>
      </x:c>
      <x:c r="S437" t="str">
        <x:v>Corrective</x:v>
      </x:c>
      <x:c r="T437" t="n">
        <x:v>1.37</x:v>
      </x:c>
      <x:c r="U437" t="n">
        <x:v>11.8</x:v>
      </x:c>
    </x:row>
    <x:row r="438">
      <x:c r="A438" s="12" t="n">
        <x:v>46172</x:v>
      </x:c>
      <x:c r="B438" t="str">
        <x:v>B</x:v>
      </x:c>
      <x:c r="C438" t="str">
        <x:v>Dried Mango</x:v>
      </x:c>
      <x:c r="D438" t="str">
        <x:v>Dryer 3</x:v>
      </x:c>
      <x:c r="E438" t="str">
        <x:v>Sup 3</x:v>
      </x:c>
      <x:c r="F438" t="n">
        <x:v>450</x:v>
      </x:c>
      <x:c r="G438" t="n">
        <x:v>20</x:v>
      </x:c>
      <x:c r="H438" t="n">
        <x:v>62</x:v>
      </x:c>
      <x:c r="I438" t="n">
        <x:v>1761</x:v>
      </x:c>
      <x:c r="J438" t="n">
        <x:v>1553</x:v>
      </x:c>
      <x:c r="K438" t="n">
        <x:v>77</x:v>
      </x:c>
      <x:c r="L438" t="n">
        <x:v>16</x:v>
      </x:c>
      <x:c r="M438" t="n">
        <x:v>100</x:v>
      </x:c>
      <x:c r="N438" t="n">
        <x:v>78.3</x:v>
      </x:c>
      <x:c r="O438" t="n">
        <x:v>73.4</x:v>
      </x:c>
      <x:c r="P438" t="n">
        <x:v>1</x:v>
      </x:c>
      <x:c r="Q438" t="str">
        <x:v>No incident</x:v>
      </x:c>
      <x:c r="R438" t="str">
        <x:v>N/A</x:v>
      </x:c>
      <x:c r="S438" t="str">
        <x:v>Corrective</x:v>
      </x:c>
      <x:c r="T438" t="n">
        <x:v>0.81</x:v>
      </x:c>
      <x:c r="U438" t="n">
        <x:v>13.8</x:v>
      </x:c>
    </x:row>
    <x:row r="439">
      <x:c r="A439" s="12" t="n">
        <x:v>46172</x:v>
      </x:c>
      <x:c r="B439" t="str">
        <x:v>C</x:v>
      </x:c>
      <x:c r="C439" t="str">
        <x:v>Dried Mango</x:v>
      </x:c>
      <x:c r="D439" t="str">
        <x:v>Dryer 3</x:v>
      </x:c>
      <x:c r="E439" t="str">
        <x:v>Sup 3</x:v>
      </x:c>
      <x:c r="F439" t="n">
        <x:v>450</x:v>
      </x:c>
      <x:c r="G439" t="n">
        <x:v>30</x:v>
      </x:c>
      <x:c r="H439" t="n">
        <x:v>70</x:v>
      </x:c>
      <x:c r="I439" t="n">
        <x:v>1734</x:v>
      </x:c>
      <x:c r="J439" t="n">
        <x:v>1478</x:v>
      </x:c>
      <x:c r="K439" t="n">
        <x:v>67</x:v>
      </x:c>
      <x:c r="L439" t="n">
        <x:v>31</x:v>
      </x:c>
      <x:c r="M439" t="n">
        <x:v>84.9</x:v>
      </x:c>
      <x:c r="N439" t="n">
        <x:v>70.8</x:v>
      </x:c>
      <x:c r="O439" t="n">
        <x:v>83.8</x:v>
      </x:c>
      <x:c r="P439" t="n">
        <x:v>5</x:v>
      </x:c>
      <x:c r="Q439" t="str">
        <x:v>No incident</x:v>
      </x:c>
      <x:c r="R439" t="str">
        <x:v>N/A</x:v>
      </x:c>
      <x:c r="S439" t="str">
        <x:v>Inspection</x:v>
      </x:c>
      <x:c r="T439" t="n">
        <x:v>1.07</x:v>
      </x:c>
      <x:c r="U439" t="n">
        <x:v>12.9</x:v>
      </x:c>
    </x:row>
    <x:row r="440">
      <x:c r="A440" s="12" t="n">
        <x:v>46173</x:v>
      </x:c>
      <x:c r="B440" t="str">
        <x:v>A</x:v>
      </x:c>
      <x:c r="C440" t="str">
        <x:v>Desiccated Coconut</x:v>
      </x:c>
      <x:c r="D440" t="str">
        <x:v>Dryer 1</x:v>
      </x:c>
      <x:c r="E440" t="str">
        <x:v>Sup 1</x:v>
      </x:c>
      <x:c r="F440" t="n">
        <x:v>420</x:v>
      </x:c>
      <x:c r="G440" t="n">
        <x:v>30</x:v>
      </x:c>
      <x:c r="H440" t="n">
        <x:v>44</x:v>
      </x:c>
      <x:c r="I440" t="n">
        <x:v>1105</x:v>
      </x:c>
      <x:c r="J440" t="n">
        <x:v>896</x:v>
      </x:c>
      <x:c r="K440" t="n">
        <x:v>24</x:v>
      </x:c>
      <x:c r="L440" t="n">
        <x:v>10</x:v>
      </x:c>
      <x:c r="M440" t="n">
        <x:v>85.1</x:v>
      </x:c>
      <x:c r="N440" t="n">
        <x:v>69.5</x:v>
      </x:c>
      <x:c r="O440" t="n">
        <x:v>76.3</x:v>
      </x:c>
      <x:c r="P440" t="n">
        <x:v>4</x:v>
      </x:c>
      <x:c r="Q440" t="str">
        <x:v>No incident</x:v>
      </x:c>
      <x:c r="R440" t="str">
        <x:v>N/A</x:v>
      </x:c>
      <x:c r="S440" t="str">
        <x:v>Corrective</x:v>
      </x:c>
      <x:c r="T440" t="n">
        <x:v>0.74</x:v>
      </x:c>
      <x:c r="U440" t="n">
        <x:v>8.2</x:v>
      </x:c>
    </x:row>
    <x:row r="441">
      <x:c r="A441" s="12" t="n">
        <x:v>46173</x:v>
      </x:c>
      <x:c r="B441" t="str">
        <x:v>B</x:v>
      </x:c>
      <x:c r="C441" t="str">
        <x:v>Dried Mango</x:v>
      </x:c>
      <x:c r="D441" t="str">
        <x:v>Dryer 1</x:v>
      </x:c>
      <x:c r="E441" t="str">
        <x:v>Sup 2</x:v>
      </x:c>
      <x:c r="F441" t="n">
        <x:v>450</x:v>
      </x:c>
      <x:c r="G441" t="n">
        <x:v>30</x:v>
      </x:c>
      <x:c r="H441" t="n">
        <x:v>55</x:v>
      </x:c>
      <x:c r="I441" t="n">
        <x:v>1528</x:v>
      </x:c>
      <x:c r="J441" t="n">
        <x:v>1229</x:v>
      </x:c>
      <x:c r="K441" t="n">
        <x:v>40</x:v>
      </x:c>
      <x:c r="L441" t="n">
        <x:v>11</x:v>
      </x:c>
      <x:c r="M441" t="n">
        <x:v>97.4</x:v>
      </x:c>
      <x:c r="N441" t="n">
        <x:v>69.1</x:v>
      </x:c>
      <x:c r="O441" t="n">
        <x:v>73.7</x:v>
      </x:c>
      <x:c r="P441" t="n">
        <x:v>3</x:v>
      </x:c>
      <x:c r="Q441" t="str">
        <x:v>No incident</x:v>
      </x:c>
      <x:c r="R441" t="str">
        <x:v>N/A</x:v>
      </x:c>
      <x:c r="S441" t="str">
        <x:v>Preventive</x:v>
      </x:c>
      <x:c r="T441" t="n">
        <x:v>0.83</x:v>
      </x:c>
      <x:c r="U441" t="n">
        <x:v>10.7</x:v>
      </x:c>
    </x:row>
    <x:row r="442">
      <x:c r="A442" s="12" t="n">
        <x:v>46173</x:v>
      </x:c>
      <x:c r="B442" t="str">
        <x:v>C</x:v>
      </x:c>
      <x:c r="C442" t="str">
        <x:v>Desiccated Coconut</x:v>
      </x:c>
      <x:c r="D442" t="str">
        <x:v>Dryer 3</x:v>
      </x:c>
      <x:c r="E442" t="str">
        <x:v>Sup 1</x:v>
      </x:c>
      <x:c r="F442" t="n">
        <x:v>420</x:v>
      </x:c>
      <x:c r="G442" t="n">
        <x:v>20</x:v>
      </x:c>
      <x:c r="H442" t="n">
        <x:v>77</x:v>
      </x:c>
      <x:c r="I442" t="n">
        <x:v>1193</x:v>
      </x:c>
      <x:c r="J442" t="n">
        <x:v>893</x:v>
      </x:c>
      <x:c r="K442" t="n">
        <x:v>34</x:v>
      </x:c>
      <x:c r="L442" t="n">
        <x:v>22</x:v>
      </x:c>
      <x:c r="M442" t="n">
        <x:v>91.8</x:v>
      </x:c>
      <x:c r="N442" t="n">
        <x:v>98</x:v>
      </x:c>
      <x:c r="O442" t="n">
        <x:v>74.3</x:v>
      </x:c>
      <x:c r="P442" t="n">
        <x:v>2</x:v>
      </x:c>
      <x:c r="Q442" t="str">
        <x:v>No incident</x:v>
      </x:c>
      <x:c r="R442" t="str">
        <x:v>N/A</x:v>
      </x:c>
      <x:c r="S442" t="str">
        <x:v>Preventive</x:v>
      </x:c>
      <x:c r="T442" t="n">
        <x:v>1.23</x:v>
      </x:c>
      <x:c r="U442" t="n">
        <x:v>7.9</x:v>
      </x:c>
    </x:row>
    <x:row r="443">
      <x:c r="A443" s="12" t="n">
        <x:v>46174</x:v>
      </x:c>
      <x:c r="B443" t="str">
        <x:v>A</x:v>
      </x:c>
      <x:c r="C443" t="str">
        <x:v>Dried Mango</x:v>
      </x:c>
      <x:c r="D443" t="str">
        <x:v>Dryer 3</x:v>
      </x:c>
      <x:c r="E443" t="str">
        <x:v>Sup 1</x:v>
      </x:c>
      <x:c r="F443" t="n">
        <x:v>480</x:v>
      </x:c>
      <x:c r="G443" t="n">
        <x:v>30</x:v>
      </x:c>
      <x:c r="H443" t="n">
        <x:v>47</x:v>
      </x:c>
      <x:c r="I443" t="n">
        <x:v>1542</x:v>
      </x:c>
      <x:c r="J443" t="n">
        <x:v>1265</x:v>
      </x:c>
      <x:c r="K443" t="n">
        <x:v>49</x:v>
      </x:c>
      <x:c r="L443" t="n">
        <x:v>10</x:v>
      </x:c>
      <x:c r="M443" t="n">
        <x:v>99.7</x:v>
      </x:c>
      <x:c r="N443" t="n">
        <x:v>78.5</x:v>
      </x:c>
      <x:c r="O443" t="n">
        <x:v>78.9</x:v>
      </x:c>
      <x:c r="P443" t="n">
        <x:v>5</x:v>
      </x:c>
      <x:c r="Q443" t="str">
        <x:v>No incident</x:v>
      </x:c>
      <x:c r="R443" t="str">
        <x:v>N/A</x:v>
      </x:c>
      <x:c r="S443" t="str">
        <x:v>Preventive</x:v>
      </x:c>
      <x:c r="T443" t="n">
        <x:v>1.05</x:v>
      </x:c>
      <x:c r="U443" t="n">
        <x:v>10.3</x:v>
      </x:c>
    </x:row>
    <x:row r="444">
      <x:c r="A444" s="12" t="n">
        <x:v>46174</x:v>
      </x:c>
      <x:c r="B444" t="str">
        <x:v>B</x:v>
      </x:c>
      <x:c r="C444" t="str">
        <x:v>Dried Pineapple</x:v>
      </x:c>
      <x:c r="D444" t="str">
        <x:v>Dryer 2</x:v>
      </x:c>
      <x:c r="E444" t="str">
        <x:v>Sup 2</x:v>
      </x:c>
      <x:c r="F444" t="n">
        <x:v>480</x:v>
      </x:c>
      <x:c r="G444" t="n">
        <x:v>0</x:v>
      </x:c>
      <x:c r="H444" t="n">
        <x:v>42</x:v>
      </x:c>
      <x:c r="I444" t="n">
        <x:v>1788</x:v>
      </x:c>
      <x:c r="J444" t="n">
        <x:v>1454</x:v>
      </x:c>
      <x:c r="K444" t="n">
        <x:v>48</x:v>
      </x:c>
      <x:c r="L444" t="n">
        <x:v>28</x:v>
      </x:c>
      <x:c r="M444" t="n">
        <x:v>83.8</x:v>
      </x:c>
      <x:c r="N444" t="n">
        <x:v>84.5</x:v>
      </x:c>
      <x:c r="O444" t="n">
        <x:v>86.7</x:v>
      </x:c>
      <x:c r="P444" t="n">
        <x:v>4</x:v>
      </x:c>
      <x:c r="Q444" t="str">
        <x:v>No incident</x:v>
      </x:c>
      <x:c r="R444" t="str">
        <x:v>N/A</x:v>
      </x:c>
      <x:c r="S444" t="str">
        <x:v>Preventive</x:v>
      </x:c>
      <x:c r="T444" t="n">
        <x:v>0.66</x:v>
      </x:c>
      <x:c r="U444" t="n">
        <x:v>12.7</x:v>
      </x:c>
    </x:row>
    <x:row r="445">
      <x:c r="A445" s="12" t="n">
        <x:v>46174</x:v>
      </x:c>
      <x:c r="B445" t="str">
        <x:v>C</x:v>
      </x:c>
      <x:c r="C445" t="str">
        <x:v>Dried Mango</x:v>
      </x:c>
      <x:c r="D445" t="str">
        <x:v>Dryer 1</x:v>
      </x:c>
      <x:c r="E445" t="str">
        <x:v>Sup 3</x:v>
      </x:c>
      <x:c r="F445" t="n">
        <x:v>450</x:v>
      </x:c>
      <x:c r="G445" t="n">
        <x:v>20</x:v>
      </x:c>
      <x:c r="H445" t="n">
        <x:v>55</x:v>
      </x:c>
      <x:c r="I445" t="n">
        <x:v>1670</x:v>
      </x:c>
      <x:c r="J445" t="n">
        <x:v>1396</x:v>
      </x:c>
      <x:c r="K445" t="n">
        <x:v>45</x:v>
      </x:c>
      <x:c r="L445" t="n">
        <x:v>9</x:v>
      </x:c>
      <x:c r="M445" t="n">
        <x:v>87.7</x:v>
      </x:c>
      <x:c r="N445" t="n">
        <x:v>55.8</x:v>
      </x:c>
      <x:c r="O445" t="n">
        <x:v>74.1</x:v>
      </x:c>
      <x:c r="P445" t="n">
        <x:v>1</x:v>
      </x:c>
      <x:c r="Q445" t="str">
        <x:v>No incident</x:v>
      </x:c>
      <x:c r="R445" t="str">
        <x:v>N/A</x:v>
      </x:c>
      <x:c r="S445" t="str">
        <x:v>Inspection</x:v>
      </x:c>
      <x:c r="T445" t="n">
        <x:v>0.77</x:v>
      </x:c>
      <x:c r="U445" t="n">
        <x:v>12.6</x:v>
      </x:c>
    </x:row>
    <x:row r="446">
      <x:c r="A446" s="12" t="n">
        <x:v>46175</x:v>
      </x:c>
      <x:c r="B446" t="str">
        <x:v>A</x:v>
      </x:c>
      <x:c r="C446" t="str">
        <x:v>Dried Pineapple</x:v>
      </x:c>
      <x:c r="D446" t="str">
        <x:v>Dryer 2</x:v>
      </x:c>
      <x:c r="E446" t="str">
        <x:v>Sup 1</x:v>
      </x:c>
      <x:c r="F446" t="n">
        <x:v>420</x:v>
      </x:c>
      <x:c r="G446" t="n">
        <x:v>30</x:v>
      </x:c>
      <x:c r="H446" t="n">
        <x:v>30</x:v>
      </x:c>
      <x:c r="I446" t="n">
        <x:v>1628</x:v>
      </x:c>
      <x:c r="J446" t="n">
        <x:v>1494</x:v>
      </x:c>
      <x:c r="K446" t="n">
        <x:v>50</x:v>
      </x:c>
      <x:c r="L446" t="n">
        <x:v>33</x:v>
      </x:c>
      <x:c r="M446" t="n">
        <x:v>82.1</x:v>
      </x:c>
      <x:c r="N446" t="n">
        <x:v>69.8</x:v>
      </x:c>
      <x:c r="O446" t="n">
        <x:v>77</x:v>
      </x:c>
      <x:c r="P446" t="n">
        <x:v>3</x:v>
      </x:c>
      <x:c r="Q446" t="str">
        <x:v>First aid</x:v>
      </x:c>
      <x:c r="R446" t="str">
        <x:v>Closed</x:v>
      </x:c>
      <x:c r="S446" t="str">
        <x:v>Corrective</x:v>
      </x:c>
      <x:c r="T446" t="n">
        <x:v>1.31</x:v>
      </x:c>
      <x:c r="U446" t="n">
        <x:v>12.1</x:v>
      </x:c>
    </x:row>
    <x:row r="447">
      <x:c r="A447" s="12" t="n">
        <x:v>46175</x:v>
      </x:c>
      <x:c r="B447" t="str">
        <x:v>B</x:v>
      </x:c>
      <x:c r="C447" t="str">
        <x:v>Dried Mango</x:v>
      </x:c>
      <x:c r="D447" t="str">
        <x:v>Dryer 3</x:v>
      </x:c>
      <x:c r="E447" t="str">
        <x:v>Sup 3</x:v>
      </x:c>
      <x:c r="F447" t="n">
        <x:v>450</x:v>
      </x:c>
      <x:c r="G447" t="n">
        <x:v>20</x:v>
      </x:c>
      <x:c r="H447" t="n">
        <x:v>72</x:v>
      </x:c>
      <x:c r="I447" t="n">
        <x:v>1543</x:v>
      </x:c>
      <x:c r="J447" t="n">
        <x:v>1245</x:v>
      </x:c>
      <x:c r="K447" t="n">
        <x:v>59</x:v>
      </x:c>
      <x:c r="L447" t="n">
        <x:v>21</x:v>
      </x:c>
      <x:c r="M447" t="n">
        <x:v>96.3</x:v>
      </x:c>
      <x:c r="N447" t="n">
        <x:v>72.7</x:v>
      </x:c>
      <x:c r="O447" t="n">
        <x:v>72.6</x:v>
      </x:c>
      <x:c r="P447" t="n">
        <x:v>5</x:v>
      </x:c>
      <x:c r="Q447" t="str">
        <x:v>No incident</x:v>
      </x:c>
      <x:c r="R447" t="str">
        <x:v>N/A</x:v>
      </x:c>
      <x:c r="S447" t="str">
        <x:v>Corrective</x:v>
      </x:c>
      <x:c r="T447" t="n">
        <x:v>1.34</x:v>
      </x:c>
      <x:c r="U447" t="n">
        <x:v>11.3</x:v>
      </x:c>
    </x:row>
    <x:row r="448">
      <x:c r="A448" s="12" t="n">
        <x:v>46175</x:v>
      </x:c>
      <x:c r="B448" t="str">
        <x:v>C</x:v>
      </x:c>
      <x:c r="C448" t="str">
        <x:v>Dried Mango</x:v>
      </x:c>
      <x:c r="D448" t="str">
        <x:v>Dryer 1</x:v>
      </x:c>
      <x:c r="E448" t="str">
        <x:v>Sup 1</x:v>
      </x:c>
      <x:c r="F448" t="n">
        <x:v>450</x:v>
      </x:c>
      <x:c r="G448" t="n">
        <x:v>30</x:v>
      </x:c>
      <x:c r="H448" t="n">
        <x:v>59</x:v>
      </x:c>
      <x:c r="I448" t="n">
        <x:v>1655</x:v>
      </x:c>
      <x:c r="J448" t="n">
        <x:v>1313</x:v>
      </x:c>
      <x:c r="K448" t="n">
        <x:v>56</x:v>
      </x:c>
      <x:c r="L448" t="n">
        <x:v>19</x:v>
      </x:c>
      <x:c r="M448" t="n">
        <x:v>88.3</x:v>
      </x:c>
      <x:c r="N448" t="n">
        <x:v>59.3</x:v>
      </x:c>
      <x:c r="O448" t="n">
        <x:v>74.4</x:v>
      </x:c>
      <x:c r="P448" t="n">
        <x:v>2</x:v>
      </x:c>
      <x:c r="Q448" t="str">
        <x:v>No incident</x:v>
      </x:c>
      <x:c r="R448" t="str">
        <x:v>N/A</x:v>
      </x:c>
      <x:c r="S448" t="str">
        <x:v>Corrective</x:v>
      </x:c>
      <x:c r="T448" t="n">
        <x:v>1.56</x:v>
      </x:c>
      <x:c r="U448" t="n">
        <x:v>12.1</x:v>
      </x:c>
    </x:row>
    <x:row r="449">
      <x:c r="A449" s="12" t="n">
        <x:v>46176</x:v>
      </x:c>
      <x:c r="B449" t="str">
        <x:v>A</x:v>
      </x:c>
      <x:c r="C449" t="str">
        <x:v>Desiccated Coconut</x:v>
      </x:c>
      <x:c r="D449" t="str">
        <x:v>Dryer 1</x:v>
      </x:c>
      <x:c r="E449" t="str">
        <x:v>Sup 2</x:v>
      </x:c>
      <x:c r="F449" t="n">
        <x:v>480</x:v>
      </x:c>
      <x:c r="G449" t="n">
        <x:v>30</x:v>
      </x:c>
      <x:c r="H449" t="n">
        <x:v>66</x:v>
      </x:c>
      <x:c r="I449" t="n">
        <x:v>1235</x:v>
      </x:c>
      <x:c r="J449" t="n">
        <x:v>931</x:v>
      </x:c>
      <x:c r="K449" t="n">
        <x:v>31</x:v>
      </x:c>
      <x:c r="L449" t="n">
        <x:v>20</x:v>
      </x:c>
      <x:c r="M449" t="n">
        <x:v>83.6</x:v>
      </x:c>
      <x:c r="N449" t="n">
        <x:v>82.9</x:v>
      </x:c>
      <x:c r="O449" t="n">
        <x:v>68.8</x:v>
      </x:c>
      <x:c r="P449" t="n">
        <x:v>4</x:v>
      </x:c>
      <x:c r="Q449" t="str">
        <x:v>No incident</x:v>
      </x:c>
      <x:c r="R449" t="str">
        <x:v>N/A</x:v>
      </x:c>
      <x:c r="S449" t="str">
        <x:v>Inspection</x:v>
      </x:c>
      <x:c r="T449" t="n">
        <x:v>0.56</x:v>
      </x:c>
      <x:c r="U449" t="n">
        <x:v>7.7</x:v>
      </x:c>
    </x:row>
    <x:row r="450">
      <x:c r="A450" s="12" t="n">
        <x:v>46176</x:v>
      </x:c>
      <x:c r="B450" t="str">
        <x:v>B</x:v>
      </x:c>
      <x:c r="C450" t="str">
        <x:v>Dried Mango</x:v>
      </x:c>
      <x:c r="D450" t="str">
        <x:v>Dryer 3</x:v>
      </x:c>
      <x:c r="E450" t="str">
        <x:v>Sup 1</x:v>
      </x:c>
      <x:c r="F450" t="n">
        <x:v>480</x:v>
      </x:c>
      <x:c r="G450" t="n">
        <x:v>40</x:v>
      </x:c>
      <x:c r="H450" t="n">
        <x:v>26</x:v>
      </x:c>
      <x:c r="I450" t="n">
        <x:v>1602</x:v>
      </x:c>
      <x:c r="J450" t="n">
        <x:v>1327</x:v>
      </x:c>
      <x:c r="K450" t="n">
        <x:v>53</x:v>
      </x:c>
      <x:c r="L450" t="n">
        <x:v>18</x:v>
      </x:c>
      <x:c r="M450" t="n">
        <x:v>94.9</x:v>
      </x:c>
      <x:c r="N450" t="n">
        <x:v>74.9</x:v>
      </x:c>
      <x:c r="O450" t="n">
        <x:v>69.3</x:v>
      </x:c>
      <x:c r="P450" t="n">
        <x:v>6</x:v>
      </x:c>
      <x:c r="Q450" t="str">
        <x:v>No incident</x:v>
      </x:c>
      <x:c r="R450" t="str">
        <x:v>N/A</x:v>
      </x:c>
      <x:c r="S450" t="str">
        <x:v>Preventive</x:v>
      </x:c>
      <x:c r="T450" t="n">
        <x:v>0.5</x:v>
      </x:c>
      <x:c r="U450" t="n">
        <x:v>11.2</x:v>
      </x:c>
    </x:row>
    <x:row r="451">
      <x:c r="A451" s="12" t="n">
        <x:v>46176</x:v>
      </x:c>
      <x:c r="B451" t="str">
        <x:v>C</x:v>
      </x:c>
      <x:c r="C451" t="str">
        <x:v>Dried Pineapple</x:v>
      </x:c>
      <x:c r="D451" t="str">
        <x:v>Dryer 1</x:v>
      </x:c>
      <x:c r="E451" t="str">
        <x:v>Sup 2</x:v>
      </x:c>
      <x:c r="F451" t="n">
        <x:v>480</x:v>
      </x:c>
      <x:c r="G451" t="n">
        <x:v>0</x:v>
      </x:c>
      <x:c r="H451" t="n">
        <x:v>45</x:v>
      </x:c>
      <x:c r="I451" t="n">
        <x:v>1783</x:v>
      </x:c>
      <x:c r="J451" t="n">
        <x:v>1488</x:v>
      </x:c>
      <x:c r="K451" t="n">
        <x:v>55</x:v>
      </x:c>
      <x:c r="L451" t="n">
        <x:v>20</x:v>
      </x:c>
      <x:c r="M451" t="n">
        <x:v>83.4</x:v>
      </x:c>
      <x:c r="N451" t="n">
        <x:v>84.5</x:v>
      </x:c>
      <x:c r="O451" t="n">
        <x:v>77.8</x:v>
      </x:c>
      <x:c r="P451" t="n">
        <x:v>0</x:v>
      </x:c>
      <x:c r="Q451" t="str">
        <x:v>No incident</x:v>
      </x:c>
      <x:c r="R451" t="str">
        <x:v>N/A</x:v>
      </x:c>
      <x:c r="S451" t="str">
        <x:v>Corrective</x:v>
      </x:c>
      <x:c r="T451" t="n">
        <x:v>1.06</x:v>
      </x:c>
      <x:c r="U451" t="n">
        <x:v>11.3</x:v>
      </x:c>
    </x:row>
    <x:row r="452">
      <x:c r="A452" s="12" t="n">
        <x:v>46177</x:v>
      </x:c>
      <x:c r="B452" t="str">
        <x:v>A</x:v>
      </x:c>
      <x:c r="C452" t="str">
        <x:v>Desiccated Coconut</x:v>
      </x:c>
      <x:c r="D452" t="str">
        <x:v>Dryer 1</x:v>
      </x:c>
      <x:c r="E452" t="str">
        <x:v>Sup 2</x:v>
      </x:c>
      <x:c r="F452" t="n">
        <x:v>450</x:v>
      </x:c>
      <x:c r="G452" t="n">
        <x:v>30</x:v>
      </x:c>
      <x:c r="H452" t="n">
        <x:v>30</x:v>
      </x:c>
      <x:c r="I452" t="n">
        <x:v>1224</x:v>
      </x:c>
      <x:c r="J452" t="n">
        <x:v>1141</x:v>
      </x:c>
      <x:c r="K452" t="n">
        <x:v>22</x:v>
      </x:c>
      <x:c r="L452" t="n">
        <x:v>6</x:v>
      </x:c>
      <x:c r="M452" t="n">
        <x:v>95.2</x:v>
      </x:c>
      <x:c r="N452" t="n">
        <x:v>86.2</x:v>
      </x:c>
      <x:c r="O452" t="n">
        <x:v>70.6</x:v>
      </x:c>
      <x:c r="P452" t="n">
        <x:v>4</x:v>
      </x:c>
      <x:c r="Q452" t="str">
        <x:v>No incident</x:v>
      </x:c>
      <x:c r="R452" t="str">
        <x:v>N/A</x:v>
      </x:c>
      <x:c r="S452" t="str">
        <x:v>Preventive</x:v>
      </x:c>
      <x:c r="T452" t="n">
        <x:v>0.97</x:v>
      </x:c>
      <x:c r="U452" t="n">
        <x:v>9.7</x:v>
      </x:c>
    </x:row>
    <x:row r="453">
      <x:c r="A453" s="12" t="n">
        <x:v>46177</x:v>
      </x:c>
      <x:c r="B453" t="str">
        <x:v>B</x:v>
      </x:c>
      <x:c r="C453" t="str">
        <x:v>Dried Mango</x:v>
      </x:c>
      <x:c r="D453" t="str">
        <x:v>Dryer 3</x:v>
      </x:c>
      <x:c r="E453" t="str">
        <x:v>Sup 3</x:v>
      </x:c>
      <x:c r="F453" t="n">
        <x:v>480</x:v>
      </x:c>
      <x:c r="G453" t="n">
        <x:v>20</x:v>
      </x:c>
      <x:c r="H453" t="n">
        <x:v>59</x:v>
      </x:c>
      <x:c r="I453" t="n">
        <x:v>1620</x:v>
      </x:c>
      <x:c r="J453" t="n">
        <x:v>1413</x:v>
      </x:c>
      <x:c r="K453" t="n">
        <x:v>61</x:v>
      </x:c>
      <x:c r="L453" t="n">
        <x:v>14</x:v>
      </x:c>
      <x:c r="M453" t="n">
        <x:v>100</x:v>
      </x:c>
      <x:c r="N453" t="n">
        <x:v>86.6</x:v>
      </x:c>
      <x:c r="O453" t="n">
        <x:v>77</x:v>
      </x:c>
      <x:c r="P453" t="n">
        <x:v>4</x:v>
      </x:c>
      <x:c r="Q453" t="str">
        <x:v>No incident</x:v>
      </x:c>
      <x:c r="R453" t="str">
        <x:v>N/A</x:v>
      </x:c>
      <x:c r="S453" t="str">
        <x:v>Corrective</x:v>
      </x:c>
      <x:c r="T453" t="n">
        <x:v>1.33</x:v>
      </x:c>
      <x:c r="U453" t="n">
        <x:v>11.7</x:v>
      </x:c>
    </x:row>
    <x:row r="454">
      <x:c r="A454" s="12" t="n">
        <x:v>46177</x:v>
      </x:c>
      <x:c r="B454" t="str">
        <x:v>C</x:v>
      </x:c>
      <x:c r="C454" t="str">
        <x:v>Desiccated Coconut</x:v>
      </x:c>
      <x:c r="D454" t="str">
        <x:v>Dryer 4</x:v>
      </x:c>
      <x:c r="E454" t="str">
        <x:v>Sup 2</x:v>
      </x:c>
      <x:c r="F454" t="n">
        <x:v>420</x:v>
      </x:c>
      <x:c r="G454" t="n">
        <x:v>30</x:v>
      </x:c>
      <x:c r="H454" t="n">
        <x:v>67</x:v>
      </x:c>
      <x:c r="I454" t="n">
        <x:v>1153</x:v>
      </x:c>
      <x:c r="J454" t="n">
        <x:v>893</x:v>
      </x:c>
      <x:c r="K454" t="n">
        <x:v>18</x:v>
      </x:c>
      <x:c r="L454" t="n">
        <x:v>11</x:v>
      </x:c>
      <x:c r="M454" t="n">
        <x:v>92.3</x:v>
      </x:c>
      <x:c r="N454" t="n">
        <x:v>78.1</x:v>
      </x:c>
      <x:c r="O454" t="n">
        <x:v>86.2</x:v>
      </x:c>
      <x:c r="P454" t="n">
        <x:v>2</x:v>
      </x:c>
      <x:c r="Q454" t="str">
        <x:v>No incident</x:v>
      </x:c>
      <x:c r="R454" t="str">
        <x:v>N/A</x:v>
      </x:c>
      <x:c r="S454" t="str">
        <x:v>Preventive</x:v>
      </x:c>
      <x:c r="T454" t="n">
        <x:v>0.67</x:v>
      </x:c>
      <x:c r="U454" t="n">
        <x:v>7</x:v>
      </x:c>
    </x:row>
    <x:row r="455">
      <x:c r="A455" s="12" t="n">
        <x:v>46178</x:v>
      </x:c>
      <x:c r="B455" t="str">
        <x:v>A</x:v>
      </x:c>
      <x:c r="C455" t="str">
        <x:v>Dried Pineapple</x:v>
      </x:c>
      <x:c r="D455" t="str">
        <x:v>Dryer 4</x:v>
      </x:c>
      <x:c r="E455" t="str">
        <x:v>Sup 2</x:v>
      </x:c>
      <x:c r="F455" t="n">
        <x:v>480</x:v>
      </x:c>
      <x:c r="G455" t="n">
        <x:v>40</x:v>
      </x:c>
      <x:c r="H455" t="n">
        <x:v>34</x:v>
      </x:c>
      <x:c r="I455" t="n">
        <x:v>1735</x:v>
      </x:c>
      <x:c r="J455" t="n">
        <x:v>1602</x:v>
      </x:c>
      <x:c r="K455" t="n">
        <x:v>57</x:v>
      </x:c>
      <x:c r="L455" t="n">
        <x:v>39</x:v>
      </x:c>
      <x:c r="M455" t="n">
        <x:v>97.7</x:v>
      </x:c>
      <x:c r="N455" t="n">
        <x:v>85</x:v>
      </x:c>
      <x:c r="O455" t="n">
        <x:v>77</x:v>
      </x:c>
      <x:c r="P455" t="n">
        <x:v>4</x:v>
      </x:c>
      <x:c r="Q455" t="str">
        <x:v>No incident</x:v>
      </x:c>
      <x:c r="R455" t="str">
        <x:v>N/A</x:v>
      </x:c>
      <x:c r="S455" t="str">
        <x:v>Inspection</x:v>
      </x:c>
      <x:c r="T455" t="n">
        <x:v>1.14</x:v>
      </x:c>
      <x:c r="U455" t="n">
        <x:v>13.3</x:v>
      </x:c>
    </x:row>
    <x:row r="456">
      <x:c r="A456" s="12" t="n">
        <x:v>46178</x:v>
      </x:c>
      <x:c r="B456" t="str">
        <x:v>B</x:v>
      </x:c>
      <x:c r="C456" t="str">
        <x:v>Desiccated Coconut</x:v>
      </x:c>
      <x:c r="D456" t="str">
        <x:v>Dryer 2</x:v>
      </x:c>
      <x:c r="E456" t="str">
        <x:v>Sup 1</x:v>
      </x:c>
      <x:c r="F456" t="n">
        <x:v>450</x:v>
      </x:c>
      <x:c r="G456" t="n">
        <x:v>30</x:v>
      </x:c>
      <x:c r="H456" t="n">
        <x:v>37</x:v>
      </x:c>
      <x:c r="I456" t="n">
        <x:v>1138</x:v>
      </x:c>
      <x:c r="J456" t="n">
        <x:v>982</x:v>
      </x:c>
      <x:c r="K456" t="n">
        <x:v>21</x:v>
      </x:c>
      <x:c r="L456" t="n">
        <x:v>11</x:v>
      </x:c>
      <x:c r="M456" t="n">
        <x:v>84.6</x:v>
      </x:c>
      <x:c r="N456" t="n">
        <x:v>76.7</x:v>
      </x:c>
      <x:c r="O456" t="n">
        <x:v>70.2</x:v>
      </x:c>
      <x:c r="P456" t="n">
        <x:v>5</x:v>
      </x:c>
      <x:c r="Q456" t="str">
        <x:v>No incident</x:v>
      </x:c>
      <x:c r="R456" t="str">
        <x:v>N/A</x:v>
      </x:c>
      <x:c r="S456" t="str">
        <x:v>Preventive</x:v>
      </x:c>
      <x:c r="T456" t="n">
        <x:v>1.4</x:v>
      </x:c>
      <x:c r="U456" t="n">
        <x:v>8.9</x:v>
      </x:c>
    </x:row>
    <x:row r="457">
      <x:c r="A457" s="12" t="n">
        <x:v>46178</x:v>
      </x:c>
      <x:c r="B457" t="str">
        <x:v>C</x:v>
      </x:c>
      <x:c r="C457" t="str">
        <x:v>Dried Pineapple</x:v>
      </x:c>
      <x:c r="D457" t="str">
        <x:v>Dryer 1</x:v>
      </x:c>
      <x:c r="E457" t="str">
        <x:v>Sup 3</x:v>
      </x:c>
      <x:c r="F457" t="n">
        <x:v>450</x:v>
      </x:c>
      <x:c r="G457" t="n">
        <x:v>30</x:v>
      </x:c>
      <x:c r="H457" t="n">
        <x:v>46</x:v>
      </x:c>
      <x:c r="I457" t="n">
        <x:v>1640</x:v>
      </x:c>
      <x:c r="J457" t="n">
        <x:v>1419</x:v>
      </x:c>
      <x:c r="K457" t="n">
        <x:v>54</x:v>
      </x:c>
      <x:c r="L457" t="n">
        <x:v>15</x:v>
      </x:c>
      <x:c r="M457" t="n">
        <x:v>82.3</x:v>
      </x:c>
      <x:c r="N457" t="n">
        <x:v>55</x:v>
      </x:c>
      <x:c r="O457" t="n">
        <x:v>71.1</x:v>
      </x:c>
      <x:c r="P457" t="n">
        <x:v>7</x:v>
      </x:c>
      <x:c r="Q457" t="str">
        <x:v>No incident</x:v>
      </x:c>
      <x:c r="R457" t="str">
        <x:v>N/A</x:v>
      </x:c>
      <x:c r="S457" t="str">
        <x:v>Inspection</x:v>
      </x:c>
      <x:c r="T457" t="n">
        <x:v>0.94</x:v>
      </x:c>
      <x:c r="U457" t="n">
        <x:v>12.7</x:v>
      </x:c>
    </x:row>
    <x:row r="458">
      <x:c r="A458" s="12" t="n">
        <x:v>46179</x:v>
      </x:c>
      <x:c r="B458" t="str">
        <x:v>A</x:v>
      </x:c>
      <x:c r="C458" t="str">
        <x:v>Dried Mango</x:v>
      </x:c>
      <x:c r="D458" t="str">
        <x:v>Dryer 4</x:v>
      </x:c>
      <x:c r="E458" t="str">
        <x:v>Sup 1</x:v>
      </x:c>
      <x:c r="F458" t="n">
        <x:v>450</x:v>
      </x:c>
      <x:c r="G458" t="n">
        <x:v>0</x:v>
      </x:c>
      <x:c r="H458" t="n">
        <x:v>14</x:v>
      </x:c>
      <x:c r="I458" t="n">
        <x:v>1581</x:v>
      </x:c>
      <x:c r="J458" t="n">
        <x:v>1365</x:v>
      </x:c>
      <x:c r="K458" t="n">
        <x:v>62</x:v>
      </x:c>
      <x:c r="L458" t="n">
        <x:v>25</x:v>
      </x:c>
      <x:c r="M458" t="n">
        <x:v>87.3</x:v>
      </x:c>
      <x:c r="N458" t="n">
        <x:v>78.3</x:v>
      </x:c>
      <x:c r="O458" t="n">
        <x:v>67</x:v>
      </x:c>
      <x:c r="P458" t="n">
        <x:v>3</x:v>
      </x:c>
      <x:c r="Q458" t="str">
        <x:v>No incident</x:v>
      </x:c>
      <x:c r="R458" t="str">
        <x:v>N/A</x:v>
      </x:c>
      <x:c r="S458" t="str">
        <x:v>Preventive</x:v>
      </x:c>
      <x:c r="T458" t="n">
        <x:v>0.8</x:v>
      </x:c>
      <x:c r="U458" t="n">
        <x:v>10.3</x:v>
      </x:c>
    </x:row>
    <x:row r="459">
      <x:c r="A459" s="12" t="n">
        <x:v>46179</x:v>
      </x:c>
      <x:c r="B459" t="str">
        <x:v>B</x:v>
      </x:c>
      <x:c r="C459" t="str">
        <x:v>Desiccated Coconut</x:v>
      </x:c>
      <x:c r="D459" t="str">
        <x:v>Dryer 1</x:v>
      </x:c>
      <x:c r="E459" t="str">
        <x:v>Sup 3</x:v>
      </x:c>
      <x:c r="F459" t="n">
        <x:v>450</x:v>
      </x:c>
      <x:c r="G459" t="n">
        <x:v>40</x:v>
      </x:c>
      <x:c r="H459" t="n">
        <x:v>39</x:v>
      </x:c>
      <x:c r="I459" t="n">
        <x:v>1273</x:v>
      </x:c>
      <x:c r="J459" t="n">
        <x:v>1120</x:v>
      </x:c>
      <x:c r="K459" t="n">
        <x:v>28</x:v>
      </x:c>
      <x:c r="L459" t="n">
        <x:v>16</x:v>
      </x:c>
      <x:c r="M459" t="n">
        <x:v>91.7</x:v>
      </x:c>
      <x:c r="N459" t="n">
        <x:v>75.7</x:v>
      </x:c>
      <x:c r="O459" t="n">
        <x:v>71.5</x:v>
      </x:c>
      <x:c r="P459" t="n">
        <x:v>7</x:v>
      </x:c>
      <x:c r="Q459" t="str">
        <x:v>No incident</x:v>
      </x:c>
      <x:c r="R459" t="str">
        <x:v>N/A</x:v>
      </x:c>
      <x:c r="S459" t="str">
        <x:v>Inspection</x:v>
      </x:c>
      <x:c r="T459" t="n">
        <x:v>0.84</x:v>
      </x:c>
      <x:c r="U459" t="n">
        <x:v>9.6</x:v>
      </x:c>
    </x:row>
    <x:row r="460">
      <x:c r="A460" s="12" t="n">
        <x:v>46179</x:v>
      </x:c>
      <x:c r="B460" t="str">
        <x:v>C</x:v>
      </x:c>
      <x:c r="C460" t="str">
        <x:v>Desiccated Coconut</x:v>
      </x:c>
      <x:c r="D460" t="str">
        <x:v>Dryer 1</x:v>
      </x:c>
      <x:c r="E460" t="str">
        <x:v>Sup 2</x:v>
      </x:c>
      <x:c r="F460" t="n">
        <x:v>450</x:v>
      </x:c>
      <x:c r="G460" t="n">
        <x:v>30</x:v>
      </x:c>
      <x:c r="H460" t="n">
        <x:v>13</x:v>
      </x:c>
      <x:c r="I460" t="n">
        <x:v>1231</x:v>
      </x:c>
      <x:c r="J460" t="n">
        <x:v>1166</x:v>
      </x:c>
      <x:c r="K460" t="n">
        <x:v>40</x:v>
      </x:c>
      <x:c r="L460" t="n">
        <x:v>21</x:v>
      </x:c>
      <x:c r="M460" t="n">
        <x:v>82.4</x:v>
      </x:c>
      <x:c r="N460" t="n">
        <x:v>66.2</x:v>
      </x:c>
      <x:c r="O460" t="n">
        <x:v>84.2</x:v>
      </x:c>
      <x:c r="P460" t="n">
        <x:v>0</x:v>
      </x:c>
      <x:c r="Q460" t="str">
        <x:v>No incident</x:v>
      </x:c>
      <x:c r="R460" t="str">
        <x:v>N/A</x:v>
      </x:c>
      <x:c r="S460" t="str">
        <x:v>Inspection</x:v>
      </x:c>
      <x:c r="T460" t="n">
        <x:v>0.95</x:v>
      </x:c>
      <x:c r="U460" t="n">
        <x:v>9.1</x:v>
      </x:c>
    </x:row>
    <x:row r="461">
      <x:c r="A461" s="12" t="n">
        <x:v>46180</x:v>
      </x:c>
      <x:c r="B461" t="str">
        <x:v>A</x:v>
      </x:c>
      <x:c r="C461" t="str">
        <x:v>Dried Pineapple</x:v>
      </x:c>
      <x:c r="D461" t="str">
        <x:v>Dryer 1</x:v>
      </x:c>
      <x:c r="E461" t="str">
        <x:v>Sup 1</x:v>
      </x:c>
      <x:c r="F461" t="n">
        <x:v>480</x:v>
      </x:c>
      <x:c r="G461" t="n">
        <x:v>20</x:v>
      </x:c>
      <x:c r="H461" t="n">
        <x:v>29</x:v>
      </x:c>
      <x:c r="I461" t="n">
        <x:v>1859</x:v>
      </x:c>
      <x:c r="J461" t="n">
        <x:v>1768</x:v>
      </x:c>
      <x:c r="K461" t="n">
        <x:v>50</x:v>
      </x:c>
      <x:c r="L461" t="n">
        <x:v>26</x:v>
      </x:c>
      <x:c r="M461" t="n">
        <x:v>89.8</x:v>
      </x:c>
      <x:c r="N461" t="n">
        <x:v>78.3</x:v>
      </x:c>
      <x:c r="O461" t="n">
        <x:v>83</x:v>
      </x:c>
      <x:c r="P461" t="n">
        <x:v>5</x:v>
      </x:c>
      <x:c r="Q461" t="str">
        <x:v>No incident</x:v>
      </x:c>
      <x:c r="R461" t="str">
        <x:v>N/A</x:v>
      </x:c>
      <x:c r="S461" t="str">
        <x:v>Preventive</x:v>
      </x:c>
      <x:c r="T461" t="n">
        <x:v>0.5</x:v>
      </x:c>
      <x:c r="U461" t="n">
        <x:v>15.7</x:v>
      </x:c>
    </x:row>
    <x:row r="462">
      <x:c r="A462" s="12" t="n">
        <x:v>46180</x:v>
      </x:c>
      <x:c r="B462" t="str">
        <x:v>B</x:v>
      </x:c>
      <x:c r="C462" t="str">
        <x:v>Dried Mango</x:v>
      </x:c>
      <x:c r="D462" t="str">
        <x:v>Dryer 1</x:v>
      </x:c>
      <x:c r="E462" t="str">
        <x:v>Sup 3</x:v>
      </x:c>
      <x:c r="F462" t="n">
        <x:v>450</x:v>
      </x:c>
      <x:c r="G462" t="n">
        <x:v>0</x:v>
      </x:c>
      <x:c r="H462" t="n">
        <x:v>44</x:v>
      </x:c>
      <x:c r="I462" t="n">
        <x:v>1518</x:v>
      </x:c>
      <x:c r="J462" t="n">
        <x:v>1220</x:v>
      </x:c>
      <x:c r="K462" t="n">
        <x:v>47</x:v>
      </x:c>
      <x:c r="L462" t="n">
        <x:v>11</x:v>
      </x:c>
      <x:c r="M462" t="n">
        <x:v>97.7</x:v>
      </x:c>
      <x:c r="N462" t="n">
        <x:v>77.5</x:v>
      </x:c>
      <x:c r="O462" t="n">
        <x:v>57.7</x:v>
      </x:c>
      <x:c r="P462" t="n">
        <x:v>5</x:v>
      </x:c>
      <x:c r="Q462" t="str">
        <x:v>No incident</x:v>
      </x:c>
      <x:c r="R462" t="str">
        <x:v>N/A</x:v>
      </x:c>
      <x:c r="S462" t="str">
        <x:v>Preventive</x:v>
      </x:c>
      <x:c r="T462" t="n">
        <x:v>0.6</x:v>
      </x:c>
      <x:c r="U462" t="n">
        <x:v>10.6</x:v>
      </x:c>
    </x:row>
    <x:row r="463">
      <x:c r="A463" s="12" t="n">
        <x:v>46180</x:v>
      </x:c>
      <x:c r="B463" t="str">
        <x:v>C</x:v>
      </x:c>
      <x:c r="C463" t="str">
        <x:v>Dried Pineapple</x:v>
      </x:c>
      <x:c r="D463" t="str">
        <x:v>Dryer 3</x:v>
      </x:c>
      <x:c r="E463" t="str">
        <x:v>Sup 2</x:v>
      </x:c>
      <x:c r="F463" t="n">
        <x:v>450</x:v>
      </x:c>
      <x:c r="G463" t="n">
        <x:v>30</x:v>
      </x:c>
      <x:c r="H463" t="n">
        <x:v>65</x:v>
      </x:c>
      <x:c r="I463" t="n">
        <x:v>1717</x:v>
      </x:c>
      <x:c r="J463" t="n">
        <x:v>1442</x:v>
      </x:c>
      <x:c r="K463" t="n">
        <x:v>51</x:v>
      </x:c>
      <x:c r="L463" t="n">
        <x:v>29</x:v>
      </x:c>
      <x:c r="M463" t="n">
        <x:v>86.7</x:v>
      </x:c>
      <x:c r="N463" t="n">
        <x:v>62.8</x:v>
      </x:c>
      <x:c r="O463" t="n">
        <x:v>74.5</x:v>
      </x:c>
      <x:c r="P463" t="n">
        <x:v>0</x:v>
      </x:c>
      <x:c r="Q463" t="str">
        <x:v>Near miss</x:v>
      </x:c>
      <x:c r="R463" t="str">
        <x:v>Closed</x:v>
      </x:c>
      <x:c r="S463" t="str">
        <x:v>Inspection</x:v>
      </x:c>
      <x:c r="T463" t="n">
        <x:v>0.54</x:v>
      </x:c>
      <x:c r="U463" t="n">
        <x:v>11</x:v>
      </x:c>
    </x:row>
    <x:row r="464">
      <x:c r="A464" s="12" t="n">
        <x:v>46181</x:v>
      </x:c>
      <x:c r="B464" t="str">
        <x:v>A</x:v>
      </x:c>
      <x:c r="C464" t="str">
        <x:v>Dried Mango</x:v>
      </x:c>
      <x:c r="D464" t="str">
        <x:v>Dryer 1</x:v>
      </x:c>
      <x:c r="E464" t="str">
        <x:v>Sup 3</x:v>
      </x:c>
      <x:c r="F464" t="n">
        <x:v>450</x:v>
      </x:c>
      <x:c r="G464" t="n">
        <x:v>30</x:v>
      </x:c>
      <x:c r="H464" t="n">
        <x:v>56</x:v>
      </x:c>
      <x:c r="I464" t="n">
        <x:v>1759</x:v>
      </x:c>
      <x:c r="J464" t="n">
        <x:v>1403</x:v>
      </x:c>
      <x:c r="K464" t="n">
        <x:v>65</x:v>
      </x:c>
      <x:c r="L464" t="n">
        <x:v>30</x:v>
      </x:c>
      <x:c r="M464" t="n">
        <x:v>92.1</x:v>
      </x:c>
      <x:c r="N464" t="n">
        <x:v>61.7</x:v>
      </x:c>
      <x:c r="O464" t="n">
        <x:v>77.1</x:v>
      </x:c>
      <x:c r="P464" t="n">
        <x:v>5</x:v>
      </x:c>
      <x:c r="Q464" t="str">
        <x:v>No incident</x:v>
      </x:c>
      <x:c r="R464" t="str">
        <x:v>N/A</x:v>
      </x:c>
      <x:c r="S464" t="str">
        <x:v>Inspection</x:v>
      </x:c>
      <x:c r="T464" t="n">
        <x:v>0.59</x:v>
      </x:c>
      <x:c r="U464" t="n">
        <x:v>10.6</x:v>
      </x:c>
    </x:row>
    <x:row r="465">
      <x:c r="A465" s="12" t="n">
        <x:v>46181</x:v>
      </x:c>
      <x:c r="B465" t="str">
        <x:v>B</x:v>
      </x:c>
      <x:c r="C465" t="str">
        <x:v>Dried Pineapple</x:v>
      </x:c>
      <x:c r="D465" t="str">
        <x:v>Dryer 3</x:v>
      </x:c>
      <x:c r="E465" t="str">
        <x:v>Sup 2</x:v>
      </x:c>
      <x:c r="F465" t="n">
        <x:v>480</x:v>
      </x:c>
      <x:c r="G465" t="n">
        <x:v>20</x:v>
      </x:c>
      <x:c r="H465" t="n">
        <x:v>52</x:v>
      </x:c>
      <x:c r="I465" t="n">
        <x:v>1822</x:v>
      </x:c>
      <x:c r="J465" t="n">
        <x:v>1541</x:v>
      </x:c>
      <x:c r="K465" t="n">
        <x:v>69</x:v>
      </x:c>
      <x:c r="L465" t="n">
        <x:v>20</x:v>
      </x:c>
      <x:c r="M465" t="n">
        <x:v>92.7</x:v>
      </x:c>
      <x:c r="N465" t="n">
        <x:v>77.2</x:v>
      </x:c>
      <x:c r="O465" t="n">
        <x:v>73</x:v>
      </x:c>
      <x:c r="P465" t="n">
        <x:v>2</x:v>
      </x:c>
      <x:c r="Q465" t="str">
        <x:v>First aid</x:v>
      </x:c>
      <x:c r="R465" t="str">
        <x:v>In progress</x:v>
      </x:c>
      <x:c r="S465" t="str">
        <x:v>Inspection</x:v>
      </x:c>
      <x:c r="T465" t="n">
        <x:v>0.62</x:v>
      </x:c>
      <x:c r="U465" t="n">
        <x:v>12.1</x:v>
      </x:c>
    </x:row>
    <x:row r="466">
      <x:c r="A466" s="12" t="n">
        <x:v>46181</x:v>
      </x:c>
      <x:c r="B466" t="str">
        <x:v>C</x:v>
      </x:c>
      <x:c r="C466" t="str">
        <x:v>Dried Pineapple</x:v>
      </x:c>
      <x:c r="D466" t="str">
        <x:v>Dryer 1</x:v>
      </x:c>
      <x:c r="E466" t="str">
        <x:v>Sup 3</x:v>
      </x:c>
      <x:c r="F466" t="n">
        <x:v>420</x:v>
      </x:c>
      <x:c r="G466" t="n">
        <x:v>30</x:v>
      </x:c>
      <x:c r="H466" t="n">
        <x:v>46</x:v>
      </x:c>
      <x:c r="I466" t="n">
        <x:v>1748</x:v>
      </x:c>
      <x:c r="J466" t="n">
        <x:v>1385</x:v>
      </x:c>
      <x:c r="K466" t="n">
        <x:v>43</x:v>
      </x:c>
      <x:c r="L466" t="n">
        <x:v>20</x:v>
      </x:c>
      <x:c r="M466" t="n">
        <x:v>95.4</x:v>
      </x:c>
      <x:c r="N466" t="n">
        <x:v>71.2</x:v>
      </x:c>
      <x:c r="O466" t="n">
        <x:v>75.2</x:v>
      </x:c>
      <x:c r="P466" t="n">
        <x:v>0</x:v>
      </x:c>
      <x:c r="Q466" t="str">
        <x:v>No incident</x:v>
      </x:c>
      <x:c r="R466" t="str">
        <x:v>N/A</x:v>
      </x:c>
      <x:c r="S466" t="str">
        <x:v>Corrective</x:v>
      </x:c>
      <x:c r="T466" t="n">
        <x:v>1.61</x:v>
      </x:c>
      <x:c r="U466" t="n">
        <x:v>10.4</x:v>
      </x:c>
    </x:row>
    <x:row r="467">
      <x:c r="A467" s="12" t="n">
        <x:v>46182</x:v>
      </x:c>
      <x:c r="B467" t="str">
        <x:v>A</x:v>
      </x:c>
      <x:c r="C467" t="str">
        <x:v>Dried Mango</x:v>
      </x:c>
      <x:c r="D467" t="str">
        <x:v>Dryer 2</x:v>
      </x:c>
      <x:c r="E467" t="str">
        <x:v>Sup 3</x:v>
      </x:c>
      <x:c r="F467" t="n">
        <x:v>420</x:v>
      </x:c>
      <x:c r="G467" t="n">
        <x:v>40</x:v>
      </x:c>
      <x:c r="H467" t="n">
        <x:v>30</x:v>
      </x:c>
      <x:c r="I467" t="n">
        <x:v>1689</x:v>
      </x:c>
      <x:c r="J467" t="n">
        <x:v>1397</x:v>
      </x:c>
      <x:c r="K467" t="n">
        <x:v>58</x:v>
      </x:c>
      <x:c r="L467" t="n">
        <x:v>33</x:v>
      </x:c>
      <x:c r="M467" t="n">
        <x:v>94.7</x:v>
      </x:c>
      <x:c r="N467" t="n">
        <x:v>71.7</x:v>
      </x:c>
      <x:c r="O467" t="n">
        <x:v>68.2</x:v>
      </x:c>
      <x:c r="P467" t="n">
        <x:v>3</x:v>
      </x:c>
      <x:c r="Q467" t="str">
        <x:v>No incident</x:v>
      </x:c>
      <x:c r="R467" t="str">
        <x:v>N/A</x:v>
      </x:c>
      <x:c r="S467" t="str">
        <x:v>Preventive</x:v>
      </x:c>
      <x:c r="T467" t="n">
        <x:v>0.57</x:v>
      </x:c>
      <x:c r="U467" t="n">
        <x:v>11.8</x:v>
      </x:c>
    </x:row>
    <x:row r="468">
      <x:c r="A468" s="12" t="n">
        <x:v>46182</x:v>
      </x:c>
      <x:c r="B468" t="str">
        <x:v>B</x:v>
      </x:c>
      <x:c r="C468" t="str">
        <x:v>Dried Pineapple</x:v>
      </x:c>
      <x:c r="D468" t="str">
        <x:v>Dryer 3</x:v>
      </x:c>
      <x:c r="E468" t="str">
        <x:v>Sup 3</x:v>
      </x:c>
      <x:c r="F468" t="n">
        <x:v>450</x:v>
      </x:c>
      <x:c r="G468" t="n">
        <x:v>30</x:v>
      </x:c>
      <x:c r="H468" t="n">
        <x:v>63</x:v>
      </x:c>
      <x:c r="I468" t="n">
        <x:v>1708</x:v>
      </x:c>
      <x:c r="J468" t="n">
        <x:v>1320</x:v>
      </x:c>
      <x:c r="K468" t="n">
        <x:v>70</x:v>
      </x:c>
      <x:c r="L468" t="n">
        <x:v>39</x:v>
      </x:c>
      <x:c r="M468" t="n">
        <x:v>90</x:v>
      </x:c>
      <x:c r="N468" t="n">
        <x:v>85.8</x:v>
      </x:c>
      <x:c r="O468" t="n">
        <x:v>70</x:v>
      </x:c>
      <x:c r="P468" t="n">
        <x:v>3</x:v>
      </x:c>
      <x:c r="Q468" t="str">
        <x:v>No incident</x:v>
      </x:c>
      <x:c r="R468" t="str">
        <x:v>N/A</x:v>
      </x:c>
      <x:c r="S468" t="str">
        <x:v>Inspection</x:v>
      </x:c>
      <x:c r="T468" t="n">
        <x:v>0.74</x:v>
      </x:c>
      <x:c r="U468" t="n">
        <x:v>10.5</x:v>
      </x:c>
    </x:row>
    <x:row r="469">
      <x:c r="A469" s="12" t="n">
        <x:v>46182</x:v>
      </x:c>
      <x:c r="B469" t="str">
        <x:v>C</x:v>
      </x:c>
      <x:c r="C469" t="str">
        <x:v>Dried Mango</x:v>
      </x:c>
      <x:c r="D469" t="str">
        <x:v>Dryer 1</x:v>
      </x:c>
      <x:c r="E469" t="str">
        <x:v>Sup 3</x:v>
      </x:c>
      <x:c r="F469" t="n">
        <x:v>480</x:v>
      </x:c>
      <x:c r="G469" t="n">
        <x:v>0</x:v>
      </x:c>
      <x:c r="H469" t="n">
        <x:v>21</x:v>
      </x:c>
      <x:c r="I469" t="n">
        <x:v>1591</x:v>
      </x:c>
      <x:c r="J469" t="n">
        <x:v>1487</x:v>
      </x:c>
      <x:c r="K469" t="n">
        <x:v>63</x:v>
      </x:c>
      <x:c r="L469" t="n">
        <x:v>29</x:v>
      </x:c>
      <x:c r="M469" t="n">
        <x:v>96.9</x:v>
      </x:c>
      <x:c r="N469" t="n">
        <x:v>65.4</x:v>
      </x:c>
      <x:c r="O469" t="n">
        <x:v>70.7</x:v>
      </x:c>
      <x:c r="P469" t="n">
        <x:v>4</x:v>
      </x:c>
      <x:c r="Q469" t="str">
        <x:v>No incident</x:v>
      </x:c>
      <x:c r="R469" t="str">
        <x:v>N/A</x:v>
      </x:c>
      <x:c r="S469" t="str">
        <x:v>Preventive</x:v>
      </x:c>
      <x:c r="T469" t="n">
        <x:v>0.5</x:v>
      </x:c>
      <x:c r="U469" t="n">
        <x:v>13.1</x:v>
      </x:c>
    </x:row>
    <x:row r="470">
      <x:c r="A470" s="12" t="n">
        <x:v>46183</x:v>
      </x:c>
      <x:c r="B470" t="str">
        <x:v>A</x:v>
      </x:c>
      <x:c r="C470" t="str">
        <x:v>Dried Mango</x:v>
      </x:c>
      <x:c r="D470" t="str">
        <x:v>Dryer 4</x:v>
      </x:c>
      <x:c r="E470" t="str">
        <x:v>Sup 2</x:v>
      </x:c>
      <x:c r="F470" t="n">
        <x:v>450</x:v>
      </x:c>
      <x:c r="G470" t="n">
        <x:v>30</x:v>
      </x:c>
      <x:c r="H470" t="n">
        <x:v>35</x:v>
      </x:c>
      <x:c r="I470" t="n">
        <x:v>1704</x:v>
      </x:c>
      <x:c r="J470" t="n">
        <x:v>1597</x:v>
      </x:c>
      <x:c r="K470" t="n">
        <x:v>61</x:v>
      </x:c>
      <x:c r="L470" t="n">
        <x:v>35</x:v>
      </x:c>
      <x:c r="M470" t="n">
        <x:v>91.2</x:v>
      </x:c>
      <x:c r="N470" t="n">
        <x:v>73.2</x:v>
      </x:c>
      <x:c r="O470" t="n">
        <x:v>82.6</x:v>
      </x:c>
      <x:c r="P470" t="n">
        <x:v>5</x:v>
      </x:c>
      <x:c r="Q470" t="str">
        <x:v>No incident</x:v>
      </x:c>
      <x:c r="R470" t="str">
        <x:v>N/A</x:v>
      </x:c>
      <x:c r="S470" t="str">
        <x:v>Corrective</x:v>
      </x:c>
      <x:c r="T470" t="n">
        <x:v>1.23</x:v>
      </x:c>
      <x:c r="U470" t="n">
        <x:v>13</x:v>
      </x:c>
    </x:row>
    <x:row r="471">
      <x:c r="A471" s="12" t="n">
        <x:v>46183</x:v>
      </x:c>
      <x:c r="B471" t="str">
        <x:v>B</x:v>
      </x:c>
      <x:c r="C471" t="str">
        <x:v>Desiccated Coconut</x:v>
      </x:c>
      <x:c r="D471" t="str">
        <x:v>Dryer 4</x:v>
      </x:c>
      <x:c r="E471" t="str">
        <x:v>Sup 3</x:v>
      </x:c>
      <x:c r="F471" t="n">
        <x:v>480</x:v>
      </x:c>
      <x:c r="G471" t="n">
        <x:v>0</x:v>
      </x:c>
      <x:c r="H471" t="n">
        <x:v>33</x:v>
      </x:c>
      <x:c r="I471" t="n">
        <x:v>1183</x:v>
      </x:c>
      <x:c r="J471" t="n">
        <x:v>998</x:v>
      </x:c>
      <x:c r="K471" t="n">
        <x:v>29</x:v>
      </x:c>
      <x:c r="L471" t="n">
        <x:v>20</x:v>
      </x:c>
      <x:c r="M471" t="n">
        <x:v>86.9</x:v>
      </x:c>
      <x:c r="N471" t="n">
        <x:v>72.3</x:v>
      </x:c>
      <x:c r="O471" t="n">
        <x:v>75.9</x:v>
      </x:c>
      <x:c r="P471" t="n">
        <x:v>6</x:v>
      </x:c>
      <x:c r="Q471" t="str">
        <x:v>Near miss</x:v>
      </x:c>
      <x:c r="R471" t="str">
        <x:v>In progress</x:v>
      </x:c>
      <x:c r="S471" t="str">
        <x:v>Corrective</x:v>
      </x:c>
      <x:c r="T471" t="n">
        <x:v>1.18</x:v>
      </x:c>
      <x:c r="U471" t="n">
        <x:v>8.9</x:v>
      </x:c>
    </x:row>
    <x:row r="472">
      <x:c r="A472" s="12" t="n">
        <x:v>46183</x:v>
      </x:c>
      <x:c r="B472" t="str">
        <x:v>C</x:v>
      </x:c>
      <x:c r="C472" t="str">
        <x:v>Desiccated Coconut</x:v>
      </x:c>
      <x:c r="D472" t="str">
        <x:v>Dryer 4</x:v>
      </x:c>
      <x:c r="E472" t="str">
        <x:v>Sup 3</x:v>
      </x:c>
      <x:c r="F472" t="n">
        <x:v>450</x:v>
      </x:c>
      <x:c r="G472" t="n">
        <x:v>30</x:v>
      </x:c>
      <x:c r="H472" t="n">
        <x:v>75</x:v>
      </x:c>
      <x:c r="I472" t="n">
        <x:v>1188</x:v>
      </x:c>
      <x:c r="J472" t="n">
        <x:v>961</x:v>
      </x:c>
      <x:c r="K472" t="n">
        <x:v>30</x:v>
      </x:c>
      <x:c r="L472" t="n">
        <x:v>16</x:v>
      </x:c>
      <x:c r="M472" t="n">
        <x:v>85</x:v>
      </x:c>
      <x:c r="N472" t="n">
        <x:v>80.5</x:v>
      </x:c>
      <x:c r="O472" t="n">
        <x:v>68.5</x:v>
      </x:c>
      <x:c r="P472" t="n">
        <x:v>3</x:v>
      </x:c>
      <x:c r="Q472" t="str">
        <x:v>No incident</x:v>
      </x:c>
      <x:c r="R472" t="str">
        <x:v>N/A</x:v>
      </x:c>
      <x:c r="S472" t="str">
        <x:v>Preventive</x:v>
      </x:c>
      <x:c r="T472" t="n">
        <x:v>0.5</x:v>
      </x:c>
      <x:c r="U472" t="n">
        <x:v>7.7</x:v>
      </x:c>
    </x:row>
    <x:row r="473">
      <x:c r="A473" s="12" t="n">
        <x:v>46184</x:v>
      </x:c>
      <x:c r="B473" t="str">
        <x:v>A</x:v>
      </x:c>
      <x:c r="C473" t="str">
        <x:v>Dried Mango</x:v>
      </x:c>
      <x:c r="D473" t="str">
        <x:v>Dryer 3</x:v>
      </x:c>
      <x:c r="E473" t="str">
        <x:v>Sup 2</x:v>
      </x:c>
      <x:c r="F473" t="n">
        <x:v>480</x:v>
      </x:c>
      <x:c r="G473" t="n">
        <x:v>20</x:v>
      </x:c>
      <x:c r="H473" t="n">
        <x:v>57</x:v>
      </x:c>
      <x:c r="I473" t="n">
        <x:v>1613</x:v>
      </x:c>
      <x:c r="J473" t="n">
        <x:v>1308</x:v>
      </x:c>
      <x:c r="K473" t="n">
        <x:v>65</x:v>
      </x:c>
      <x:c r="L473" t="n">
        <x:v>19</x:v>
      </x:c>
      <x:c r="M473" t="n">
        <x:v>90</x:v>
      </x:c>
      <x:c r="N473" t="n">
        <x:v>86.7</x:v>
      </x:c>
      <x:c r="O473" t="n">
        <x:v>73.3</x:v>
      </x:c>
      <x:c r="P473" t="n">
        <x:v>3</x:v>
      </x:c>
      <x:c r="Q473" t="str">
        <x:v>No incident</x:v>
      </x:c>
      <x:c r="R473" t="str">
        <x:v>N/A</x:v>
      </x:c>
      <x:c r="S473" t="str">
        <x:v>Inspection</x:v>
      </x:c>
      <x:c r="T473" t="n">
        <x:v>0.67</x:v>
      </x:c>
      <x:c r="U473" t="n">
        <x:v>10.2</x:v>
      </x:c>
    </x:row>
    <x:row r="474">
      <x:c r="A474" s="12" t="n">
        <x:v>46184</x:v>
      </x:c>
      <x:c r="B474" t="str">
        <x:v>B</x:v>
      </x:c>
      <x:c r="C474" t="str">
        <x:v>Desiccated Coconut</x:v>
      </x:c>
      <x:c r="D474" t="str">
        <x:v>Dryer 3</x:v>
      </x:c>
      <x:c r="E474" t="str">
        <x:v>Sup 3</x:v>
      </x:c>
      <x:c r="F474" t="n">
        <x:v>480</x:v>
      </x:c>
      <x:c r="G474" t="n">
        <x:v>0</x:v>
      </x:c>
      <x:c r="H474" t="n">
        <x:v>51</x:v>
      </x:c>
      <x:c r="I474" t="n">
        <x:v>1218</x:v>
      </x:c>
      <x:c r="J474" t="n">
        <x:v>1071</x:v>
      </x:c>
      <x:c r="K474" t="n">
        <x:v>48</x:v>
      </x:c>
      <x:c r="L474" t="n">
        <x:v>29</x:v>
      </x:c>
      <x:c r="M474" t="n">
        <x:v>98.9</x:v>
      </x:c>
      <x:c r="N474" t="n">
        <x:v>83.8</x:v>
      </x:c>
      <x:c r="O474" t="n">
        <x:v>73.6</x:v>
      </x:c>
      <x:c r="P474" t="n">
        <x:v>5</x:v>
      </x:c>
      <x:c r="Q474" t="str">
        <x:v>No incident</x:v>
      </x:c>
      <x:c r="R474" t="str">
        <x:v>N/A</x:v>
      </x:c>
      <x:c r="S474" t="str">
        <x:v>Preventive</x:v>
      </x:c>
      <x:c r="T474" t="n">
        <x:v>0.5</x:v>
      </x:c>
      <x:c r="U474" t="n">
        <x:v>8.6</x:v>
      </x:c>
    </x:row>
    <x:row r="475">
      <x:c r="A475" s="12" t="n">
        <x:v>46184</x:v>
      </x:c>
      <x:c r="B475" t="str">
        <x:v>C</x:v>
      </x:c>
      <x:c r="C475" t="str">
        <x:v>Desiccated Coconut</x:v>
      </x:c>
      <x:c r="D475" t="str">
        <x:v>Dryer 4</x:v>
      </x:c>
      <x:c r="E475" t="str">
        <x:v>Sup 3</x:v>
      </x:c>
      <x:c r="F475" t="n">
        <x:v>480</x:v>
      </x:c>
      <x:c r="G475" t="n">
        <x:v>40</x:v>
      </x:c>
      <x:c r="H475" t="n">
        <x:v>51</x:v>
      </x:c>
      <x:c r="I475" t="n">
        <x:v>1110</x:v>
      </x:c>
      <x:c r="J475" t="n">
        <x:v>913</x:v>
      </x:c>
      <x:c r="K475" t="n">
        <x:v>16</x:v>
      </x:c>
      <x:c r="L475" t="n">
        <x:v>10</x:v>
      </x:c>
      <x:c r="M475" t="n">
        <x:v>84.9</x:v>
      </x:c>
      <x:c r="N475" t="n">
        <x:v>60.2</x:v>
      </x:c>
      <x:c r="O475" t="n">
        <x:v>73.8</x:v>
      </x:c>
      <x:c r="P475" t="n">
        <x:v>3</x:v>
      </x:c>
      <x:c r="Q475" t="str">
        <x:v>First aid</x:v>
      </x:c>
      <x:c r="R475" t="str">
        <x:v>In progress</x:v>
      </x:c>
      <x:c r="S475" t="str">
        <x:v>Inspection</x:v>
      </x:c>
      <x:c r="T475" t="n">
        <x:v>0.88</x:v>
      </x:c>
      <x:c r="U475" t="n">
        <x:v>7</x:v>
      </x:c>
    </x:row>
    <x:row r="476">
      <x:c r="A476" s="12" t="n">
        <x:v>46185</x:v>
      </x:c>
      <x:c r="B476" t="str">
        <x:v>A</x:v>
      </x:c>
      <x:c r="C476" t="str">
        <x:v>Dried Pineapple</x:v>
      </x:c>
      <x:c r="D476" t="str">
        <x:v>Dryer 4</x:v>
      </x:c>
      <x:c r="E476" t="str">
        <x:v>Sup 3</x:v>
      </x:c>
      <x:c r="F476" t="n">
        <x:v>450</x:v>
      </x:c>
      <x:c r="G476" t="n">
        <x:v>30</x:v>
      </x:c>
      <x:c r="H476" t="n">
        <x:v>30</x:v>
      </x:c>
      <x:c r="I476" t="n">
        <x:v>1725</x:v>
      </x:c>
      <x:c r="J476" t="n">
        <x:v>1455</x:v>
      </x:c>
      <x:c r="K476" t="n">
        <x:v>41</x:v>
      </x:c>
      <x:c r="L476" t="n">
        <x:v>26</x:v>
      </x:c>
      <x:c r="M476" t="n">
        <x:v>97.6</x:v>
      </x:c>
      <x:c r="N476" t="n">
        <x:v>59</x:v>
      </x:c>
      <x:c r="O476" t="n">
        <x:v>77.1</x:v>
      </x:c>
      <x:c r="P476" t="n">
        <x:v>2</x:v>
      </x:c>
      <x:c r="Q476" t="str">
        <x:v>No incident</x:v>
      </x:c>
      <x:c r="R476" t="str">
        <x:v>N/A</x:v>
      </x:c>
      <x:c r="S476" t="str">
        <x:v>Preventive</x:v>
      </x:c>
      <x:c r="T476" t="n">
        <x:v>1.19</x:v>
      </x:c>
      <x:c r="U476" t="n">
        <x:v>11.7</x:v>
      </x:c>
    </x:row>
    <x:row r="477">
      <x:c r="A477" s="12" t="n">
        <x:v>46185</x:v>
      </x:c>
      <x:c r="B477" t="str">
        <x:v>B</x:v>
      </x:c>
      <x:c r="C477" t="str">
        <x:v>Desiccated Coconut</x:v>
      </x:c>
      <x:c r="D477" t="str">
        <x:v>Dryer 1</x:v>
      </x:c>
      <x:c r="E477" t="str">
        <x:v>Sup 1</x:v>
      </x:c>
      <x:c r="F477" t="n">
        <x:v>450</x:v>
      </x:c>
      <x:c r="G477" t="n">
        <x:v>20</x:v>
      </x:c>
      <x:c r="H477" t="n">
        <x:v>44</x:v>
      </x:c>
      <x:c r="I477" t="n">
        <x:v>1235</x:v>
      </x:c>
      <x:c r="J477" t="n">
        <x:v>1002</x:v>
      </x:c>
      <x:c r="K477" t="n">
        <x:v>20</x:v>
      </x:c>
      <x:c r="L477" t="n">
        <x:v>9</x:v>
      </x:c>
      <x:c r="M477" t="n">
        <x:v>91.5</x:v>
      </x:c>
      <x:c r="N477" t="n">
        <x:v>80.7</x:v>
      </x:c>
      <x:c r="O477" t="n">
        <x:v>73.9</x:v>
      </x:c>
      <x:c r="P477" t="n">
        <x:v>3</x:v>
      </x:c>
      <x:c r="Q477" t="str">
        <x:v>No incident</x:v>
      </x:c>
      <x:c r="R477" t="str">
        <x:v>N/A</x:v>
      </x:c>
      <x:c r="S477" t="str">
        <x:v>Preventive</x:v>
      </x:c>
      <x:c r="T477" t="n">
        <x:v>1.12</x:v>
      </x:c>
      <x:c r="U477" t="n">
        <x:v>7.7</x:v>
      </x:c>
    </x:row>
    <x:row r="478">
      <x:c r="A478" s="12" t="n">
        <x:v>46185</x:v>
      </x:c>
      <x:c r="B478" t="str">
        <x:v>C</x:v>
      </x:c>
      <x:c r="C478" t="str">
        <x:v>Desiccated Coconut</x:v>
      </x:c>
      <x:c r="D478" t="str">
        <x:v>Dryer 1</x:v>
      </x:c>
      <x:c r="E478" t="str">
        <x:v>Sup 2</x:v>
      </x:c>
      <x:c r="F478" t="n">
        <x:v>450</x:v>
      </x:c>
      <x:c r="G478" t="n">
        <x:v>40</x:v>
      </x:c>
      <x:c r="H478" t="n">
        <x:v>34</x:v>
      </x:c>
      <x:c r="I478" t="n">
        <x:v>1176</x:v>
      </x:c>
      <x:c r="J478" t="n">
        <x:v>1069</x:v>
      </x:c>
      <x:c r="K478" t="n">
        <x:v>37</x:v>
      </x:c>
      <x:c r="L478" t="n">
        <x:v>15</x:v>
      </x:c>
      <x:c r="M478" t="n">
        <x:v>85.7</x:v>
      </x:c>
      <x:c r="N478" t="n">
        <x:v>72.8</x:v>
      </x:c>
      <x:c r="O478" t="n">
        <x:v>80.4</x:v>
      </x:c>
      <x:c r="P478" t="n">
        <x:v>2</x:v>
      </x:c>
      <x:c r="Q478" t="str">
        <x:v>Near miss</x:v>
      </x:c>
      <x:c r="R478" t="str">
        <x:v>In progress</x:v>
      </x:c>
      <x:c r="S478" t="str">
        <x:v>Inspection</x:v>
      </x:c>
      <x:c r="T478" t="n">
        <x:v>0.68</x:v>
      </x:c>
      <x:c r="U478" t="n">
        <x:v>8.7</x:v>
      </x:c>
    </x:row>
    <x:row r="479">
      <x:c r="A479" s="12" t="n">
        <x:v>46186</x:v>
      </x:c>
      <x:c r="B479" t="str">
        <x:v>A</x:v>
      </x:c>
      <x:c r="C479" t="str">
        <x:v>Dried Mango</x:v>
      </x:c>
      <x:c r="D479" t="str">
        <x:v>Dryer 2</x:v>
      </x:c>
      <x:c r="E479" t="str">
        <x:v>Sup 3</x:v>
      </x:c>
      <x:c r="F479" t="n">
        <x:v>450</x:v>
      </x:c>
      <x:c r="G479" t="n">
        <x:v>0</x:v>
      </x:c>
      <x:c r="H479" t="n">
        <x:v>47</x:v>
      </x:c>
      <x:c r="I479" t="n">
        <x:v>1553</x:v>
      </x:c>
      <x:c r="J479" t="n">
        <x:v>1435</x:v>
      </x:c>
      <x:c r="K479" t="n">
        <x:v>51</x:v>
      </x:c>
      <x:c r="L479" t="n">
        <x:v>30</x:v>
      </x:c>
      <x:c r="M479" t="n">
        <x:v>82.6</x:v>
      </x:c>
      <x:c r="N479" t="n">
        <x:v>84.9</x:v>
      </x:c>
      <x:c r="O479" t="n">
        <x:v>87.4</x:v>
      </x:c>
      <x:c r="P479" t="n">
        <x:v>2</x:v>
      </x:c>
      <x:c r="Q479" t="str">
        <x:v>No incident</x:v>
      </x:c>
      <x:c r="R479" t="str">
        <x:v>N/A</x:v>
      </x:c>
      <x:c r="S479" t="str">
        <x:v>Preventive</x:v>
      </x:c>
      <x:c r="T479" t="n">
        <x:v>1.5</x:v>
      </x:c>
      <x:c r="U479" t="n">
        <x:v>12</x:v>
      </x:c>
    </x:row>
    <x:row r="480">
      <x:c r="A480" s="12" t="n">
        <x:v>46186</x:v>
      </x:c>
      <x:c r="B480" t="str">
        <x:v>B</x:v>
      </x:c>
      <x:c r="C480" t="str">
        <x:v>Dried Pineapple</x:v>
      </x:c>
      <x:c r="D480" t="str">
        <x:v>Dryer 2</x:v>
      </x:c>
      <x:c r="E480" t="str">
        <x:v>Sup 2</x:v>
      </x:c>
      <x:c r="F480" t="n">
        <x:v>450</x:v>
      </x:c>
      <x:c r="G480" t="n">
        <x:v>30</x:v>
      </x:c>
      <x:c r="H480" t="n">
        <x:v>36</x:v>
      </x:c>
      <x:c r="I480" t="n">
        <x:v>1701</x:v>
      </x:c>
      <x:c r="J480" t="n">
        <x:v>1459</x:v>
      </x:c>
      <x:c r="K480" t="n">
        <x:v>33</x:v>
      </x:c>
      <x:c r="L480" t="n">
        <x:v>8</x:v>
      </x:c>
      <x:c r="M480" t="n">
        <x:v>100</x:v>
      </x:c>
      <x:c r="N480" t="n">
        <x:v>87</x:v>
      </x:c>
      <x:c r="O480" t="n">
        <x:v>70.4</x:v>
      </x:c>
      <x:c r="P480" t="n">
        <x:v>7</x:v>
      </x:c>
      <x:c r="Q480" t="str">
        <x:v>No incident</x:v>
      </x:c>
      <x:c r="R480" t="str">
        <x:v>N/A</x:v>
      </x:c>
      <x:c r="S480" t="str">
        <x:v>Preventive</x:v>
      </x:c>
      <x:c r="T480" t="n">
        <x:v>0.5</x:v>
      </x:c>
      <x:c r="U480" t="n">
        <x:v>11.1</x:v>
      </x:c>
    </x:row>
    <x:row r="481">
      <x:c r="A481" s="12" t="n">
        <x:v>46186</x:v>
      </x:c>
      <x:c r="B481" t="str">
        <x:v>C</x:v>
      </x:c>
      <x:c r="C481" t="str">
        <x:v>Desiccated Coconut</x:v>
      </x:c>
      <x:c r="D481" t="str">
        <x:v>Dryer 2</x:v>
      </x:c>
      <x:c r="E481" t="str">
        <x:v>Sup 3</x:v>
      </x:c>
      <x:c r="F481" t="n">
        <x:v>480</x:v>
      </x:c>
      <x:c r="G481" t="n">
        <x:v>20</x:v>
      </x:c>
      <x:c r="H481" t="n">
        <x:v>33</x:v>
      </x:c>
      <x:c r="I481" t="n">
        <x:v>1150</x:v>
      </x:c>
      <x:c r="J481" t="n">
        <x:v>1010</x:v>
      </x:c>
      <x:c r="K481" t="n">
        <x:v>19</x:v>
      </x:c>
      <x:c r="L481" t="n">
        <x:v>5</x:v>
      </x:c>
      <x:c r="M481" t="n">
        <x:v>88.6</x:v>
      </x:c>
      <x:c r="N481" t="n">
        <x:v>61.4</x:v>
      </x:c>
      <x:c r="O481" t="n">
        <x:v>62</x:v>
      </x:c>
      <x:c r="P481" t="n">
        <x:v>5</x:v>
      </x:c>
      <x:c r="Q481" t="str">
        <x:v>No incident</x:v>
      </x:c>
      <x:c r="R481" t="str">
        <x:v>N/A</x:v>
      </x:c>
      <x:c r="S481" t="str">
        <x:v>Inspection</x:v>
      </x:c>
      <x:c r="T481" t="n">
        <x:v>0.54</x:v>
      </x:c>
      <x:c r="U481" t="n">
        <x:v>7.8</x:v>
      </x:c>
    </x:row>
    <x:row r="482">
      <x:c r="A482" s="12" t="n">
        <x:v>46187</x:v>
      </x:c>
      <x:c r="B482" t="str">
        <x:v>A</x:v>
      </x:c>
      <x:c r="C482" t="str">
        <x:v>Dried Pineapple</x:v>
      </x:c>
      <x:c r="D482" t="str">
        <x:v>Dryer 3</x:v>
      </x:c>
      <x:c r="E482" t="str">
        <x:v>Sup 3</x:v>
      </x:c>
      <x:c r="F482" t="n">
        <x:v>480</x:v>
      </x:c>
      <x:c r="G482" t="n">
        <x:v>30</x:v>
      </x:c>
      <x:c r="H482" t="n">
        <x:v>61</x:v>
      </x:c>
      <x:c r="I482" t="n">
        <x:v>1874</x:v>
      </x:c>
      <x:c r="J482" t="n">
        <x:v>1432</x:v>
      </x:c>
      <x:c r="K482" t="n">
        <x:v>64</x:v>
      </x:c>
      <x:c r="L482" t="n">
        <x:v>38</x:v>
      </x:c>
      <x:c r="M482" t="n">
        <x:v>90</x:v>
      </x:c>
      <x:c r="N482" t="n">
        <x:v>81.1</x:v>
      </x:c>
      <x:c r="O482" t="n">
        <x:v>77.9</x:v>
      </x:c>
      <x:c r="P482" t="n">
        <x:v>3</x:v>
      </x:c>
      <x:c r="Q482" t="str">
        <x:v>Near miss</x:v>
      </x:c>
      <x:c r="R482" t="str">
        <x:v>In progress</x:v>
      </x:c>
      <x:c r="S482" t="str">
        <x:v>Inspection</x:v>
      </x:c>
      <x:c r="T482" t="n">
        <x:v>0.73</x:v>
      </x:c>
      <x:c r="U482" t="n">
        <x:v>12.7</x:v>
      </x:c>
    </x:row>
    <x:row r="483">
      <x:c r="A483" s="12" t="n">
        <x:v>46187</x:v>
      </x:c>
      <x:c r="B483" t="str">
        <x:v>B</x:v>
      </x:c>
      <x:c r="C483" t="str">
        <x:v>Dried Pineapple</x:v>
      </x:c>
      <x:c r="D483" t="str">
        <x:v>Dryer 4</x:v>
      </x:c>
      <x:c r="E483" t="str">
        <x:v>Sup 1</x:v>
      </x:c>
      <x:c r="F483" t="n">
        <x:v>450</x:v>
      </x:c>
      <x:c r="G483" t="n">
        <x:v>20</x:v>
      </x:c>
      <x:c r="H483" t="n">
        <x:v>39</x:v>
      </x:c>
      <x:c r="I483" t="n">
        <x:v>1614</x:v>
      </x:c>
      <x:c r="J483" t="n">
        <x:v>1361</x:v>
      </x:c>
      <x:c r="K483" t="n">
        <x:v>52</x:v>
      </x:c>
      <x:c r="L483" t="n">
        <x:v>24</x:v>
      </x:c>
      <x:c r="M483" t="n">
        <x:v>88.5</x:v>
      </x:c>
      <x:c r="N483" t="n">
        <x:v>82</x:v>
      </x:c>
      <x:c r="O483" t="n">
        <x:v>82.4</x:v>
      </x:c>
      <x:c r="P483" t="n">
        <x:v>4</x:v>
      </x:c>
      <x:c r="Q483" t="str">
        <x:v>No incident</x:v>
      </x:c>
      <x:c r="R483" t="str">
        <x:v>N/A</x:v>
      </x:c>
      <x:c r="S483" t="str">
        <x:v>Preventive</x:v>
      </x:c>
      <x:c r="T483" t="n">
        <x:v>0.93</x:v>
      </x:c>
      <x:c r="U483" t="n">
        <x:v>12.3</x:v>
      </x:c>
    </x:row>
    <x:row r="484">
      <x:c r="A484" s="12" t="n">
        <x:v>46187</x:v>
      </x:c>
      <x:c r="B484" t="str">
        <x:v>C</x:v>
      </x:c>
      <x:c r="C484" t="str">
        <x:v>Desiccated Coconut</x:v>
      </x:c>
      <x:c r="D484" t="str">
        <x:v>Dryer 2</x:v>
      </x:c>
      <x:c r="E484" t="str">
        <x:v>Sup 3</x:v>
      </x:c>
      <x:c r="F484" t="n">
        <x:v>420</x:v>
      </x:c>
      <x:c r="G484" t="n">
        <x:v>20</x:v>
      </x:c>
      <x:c r="H484" t="n">
        <x:v>54</x:v>
      </x:c>
      <x:c r="I484" t="n">
        <x:v>1198</x:v>
      </x:c>
      <x:c r="J484" t="n">
        <x:v>1040</x:v>
      </x:c>
      <x:c r="K484" t="n">
        <x:v>17</x:v>
      </x:c>
      <x:c r="L484" t="n">
        <x:v>10</x:v>
      </x:c>
      <x:c r="M484" t="n">
        <x:v>80.3</x:v>
      </x:c>
      <x:c r="N484" t="n">
        <x:v>67.2</x:v>
      </x:c>
      <x:c r="O484" t="n">
        <x:v>76.9</x:v>
      </x:c>
      <x:c r="P484" t="n">
        <x:v>4</x:v>
      </x:c>
      <x:c r="Q484" t="str">
        <x:v>Near miss</x:v>
      </x:c>
      <x:c r="R484" t="str">
        <x:v>Closed</x:v>
      </x:c>
      <x:c r="S484" t="str">
        <x:v>Corrective</x:v>
      </x:c>
      <x:c r="T484" t="n">
        <x:v>2.04</x:v>
      </x:c>
      <x:c r="U484" t="n">
        <x:v>8.9</x:v>
      </x:c>
    </x:row>
    <x:row r="485">
      <x:c r="A485" s="12" t="n">
        <x:v>46188</x:v>
      </x:c>
      <x:c r="B485" t="str">
        <x:v>A</x:v>
      </x:c>
      <x:c r="C485" t="str">
        <x:v>Desiccated Coconut</x:v>
      </x:c>
      <x:c r="D485" t="str">
        <x:v>Dryer 3</x:v>
      </x:c>
      <x:c r="E485" t="str">
        <x:v>Sup 1</x:v>
      </x:c>
      <x:c r="F485" t="n">
        <x:v>480</x:v>
      </x:c>
      <x:c r="G485" t="n">
        <x:v>20</x:v>
      </x:c>
      <x:c r="H485" t="n">
        <x:v>61</x:v>
      </x:c>
      <x:c r="I485" t="n">
        <x:v>1135</x:v>
      </x:c>
      <x:c r="J485" t="n">
        <x:v>922</x:v>
      </x:c>
      <x:c r="K485" t="n">
        <x:v>29</x:v>
      </x:c>
      <x:c r="L485" t="n">
        <x:v>20</x:v>
      </x:c>
      <x:c r="M485" t="n">
        <x:v>90.5</x:v>
      </x:c>
      <x:c r="N485" t="n">
        <x:v>73.5</x:v>
      </x:c>
      <x:c r="O485" t="n">
        <x:v>77.2</x:v>
      </x:c>
      <x:c r="P485" t="n">
        <x:v>3</x:v>
      </x:c>
      <x:c r="Q485" t="str">
        <x:v>Near miss</x:v>
      </x:c>
      <x:c r="R485" t="str">
        <x:v>In progress</x:v>
      </x:c>
      <x:c r="S485" t="str">
        <x:v>Corrective</x:v>
      </x:c>
      <x:c r="T485" t="n">
        <x:v>1.5</x:v>
      </x:c>
      <x:c r="U485" t="n">
        <x:v>7.6</x:v>
      </x:c>
    </x:row>
    <x:row r="486">
      <x:c r="A486" s="12" t="n">
        <x:v>46188</x:v>
      </x:c>
      <x:c r="B486" t="str">
        <x:v>B</x:v>
      </x:c>
      <x:c r="C486" t="str">
        <x:v>Desiccated Coconut</x:v>
      </x:c>
      <x:c r="D486" t="str">
        <x:v>Dryer 4</x:v>
      </x:c>
      <x:c r="E486" t="str">
        <x:v>Sup 2</x:v>
      </x:c>
      <x:c r="F486" t="n">
        <x:v>480</x:v>
      </x:c>
      <x:c r="G486" t="n">
        <x:v>20</x:v>
      </x:c>
      <x:c r="H486" t="n">
        <x:v>23</x:v>
      </x:c>
      <x:c r="I486" t="n">
        <x:v>1125</x:v>
      </x:c>
      <x:c r="J486" t="n">
        <x:v>1003</x:v>
      </x:c>
      <x:c r="K486" t="n">
        <x:v>24</x:v>
      </x:c>
      <x:c r="L486" t="n">
        <x:v>7</x:v>
      </x:c>
      <x:c r="M486" t="n">
        <x:v>98.1</x:v>
      </x:c>
      <x:c r="N486" t="n">
        <x:v>78.4</x:v>
      </x:c>
      <x:c r="O486" t="n">
        <x:v>55.2</x:v>
      </x:c>
      <x:c r="P486" t="n">
        <x:v>4</x:v>
      </x:c>
      <x:c r="Q486" t="str">
        <x:v>No incident</x:v>
      </x:c>
      <x:c r="R486" t="str">
        <x:v>N/A</x:v>
      </x:c>
      <x:c r="S486" t="str">
        <x:v>Inspection</x:v>
      </x:c>
      <x:c r="T486" t="n">
        <x:v>0.94</x:v>
      </x:c>
      <x:c r="U486" t="n">
        <x:v>8.5</x:v>
      </x:c>
    </x:row>
    <x:row r="487">
      <x:c r="A487" s="12" t="n">
        <x:v>46188</x:v>
      </x:c>
      <x:c r="B487" t="str">
        <x:v>C</x:v>
      </x:c>
      <x:c r="C487" t="str">
        <x:v>Dried Pineapple</x:v>
      </x:c>
      <x:c r="D487" t="str">
        <x:v>Dryer 4</x:v>
      </x:c>
      <x:c r="E487" t="str">
        <x:v>Sup 2</x:v>
      </x:c>
      <x:c r="F487" t="n">
        <x:v>450</x:v>
      </x:c>
      <x:c r="G487" t="n">
        <x:v>40</x:v>
      </x:c>
      <x:c r="H487" t="n">
        <x:v>61</x:v>
      </x:c>
      <x:c r="I487" t="n">
        <x:v>1627</x:v>
      </x:c>
      <x:c r="J487" t="n">
        <x:v>1339</x:v>
      </x:c>
      <x:c r="K487" t="n">
        <x:v>31</x:v>
      </x:c>
      <x:c r="L487" t="n">
        <x:v>16</x:v>
      </x:c>
      <x:c r="M487" t="n">
        <x:v>86.3</x:v>
      </x:c>
      <x:c r="N487" t="n">
        <x:v>77.3</x:v>
      </x:c>
      <x:c r="O487" t="n">
        <x:v>77.3</x:v>
      </x:c>
      <x:c r="P487" t="n">
        <x:v>1</x:v>
      </x:c>
      <x:c r="Q487" t="str">
        <x:v>Near miss</x:v>
      </x:c>
      <x:c r="R487" t="str">
        <x:v>Closed</x:v>
      </x:c>
      <x:c r="S487" t="str">
        <x:v>Inspection</x:v>
      </x:c>
      <x:c r="T487" t="n">
        <x:v>1.59</x:v>
      </x:c>
      <x:c r="U487" t="n">
        <x:v>10.7</x:v>
      </x:c>
    </x:row>
    <x:row r="488">
      <x:c r="A488" s="12" t="n">
        <x:v>46189</x:v>
      </x:c>
      <x:c r="B488" t="str">
        <x:v>A</x:v>
      </x:c>
      <x:c r="C488" t="str">
        <x:v>Dried Pineapple</x:v>
      </x:c>
      <x:c r="D488" t="str">
        <x:v>Dryer 2</x:v>
      </x:c>
      <x:c r="E488" t="str">
        <x:v>Sup 3</x:v>
      </x:c>
      <x:c r="F488" t="n">
        <x:v>480</x:v>
      </x:c>
      <x:c r="G488" t="n">
        <x:v>20</x:v>
      </x:c>
      <x:c r="H488" t="n">
        <x:v>36</x:v>
      </x:c>
      <x:c r="I488" t="n">
        <x:v>1776</x:v>
      </x:c>
      <x:c r="J488" t="n">
        <x:v>1603</x:v>
      </x:c>
      <x:c r="K488" t="n">
        <x:v>61</x:v>
      </x:c>
      <x:c r="L488" t="n">
        <x:v>19</x:v>
      </x:c>
      <x:c r="M488" t="n">
        <x:v>83.8</x:v>
      </x:c>
      <x:c r="N488" t="n">
        <x:v>81.2</x:v>
      </x:c>
      <x:c r="O488" t="n">
        <x:v>68</x:v>
      </x:c>
      <x:c r="P488" t="n">
        <x:v>1</x:v>
      </x:c>
      <x:c r="Q488" t="str">
        <x:v>No incident</x:v>
      </x:c>
      <x:c r="R488" t="str">
        <x:v>N/A</x:v>
      </x:c>
      <x:c r="S488" t="str">
        <x:v>Inspection</x:v>
      </x:c>
      <x:c r="T488" t="n">
        <x:v>0.7</x:v>
      </x:c>
      <x:c r="U488" t="n">
        <x:v>13.5</x:v>
      </x:c>
    </x:row>
    <x:row r="489">
      <x:c r="A489" s="12" t="n">
        <x:v>46189</x:v>
      </x:c>
      <x:c r="B489" t="str">
        <x:v>B</x:v>
      </x:c>
      <x:c r="C489" t="str">
        <x:v>Dried Mango</x:v>
      </x:c>
      <x:c r="D489" t="str">
        <x:v>Dryer 3</x:v>
      </x:c>
      <x:c r="E489" t="str">
        <x:v>Sup 2</x:v>
      </x:c>
      <x:c r="F489" t="n">
        <x:v>450</x:v>
      </x:c>
      <x:c r="G489" t="n">
        <x:v>20</x:v>
      </x:c>
      <x:c r="H489" t="n">
        <x:v>35</x:v>
      </x:c>
      <x:c r="I489" t="n">
        <x:v>1768</x:v>
      </x:c>
      <x:c r="J489" t="n">
        <x:v>1563</x:v>
      </x:c>
      <x:c r="K489" t="n">
        <x:v>81</x:v>
      </x:c>
      <x:c r="L489" t="n">
        <x:v>18</x:v>
      </x:c>
      <x:c r="M489" t="n">
        <x:v>94.2</x:v>
      </x:c>
      <x:c r="N489" t="n">
        <x:v>83</x:v>
      </x:c>
      <x:c r="O489" t="n">
        <x:v>69.7</x:v>
      </x:c>
      <x:c r="P489" t="n">
        <x:v>3</x:v>
      </x:c>
      <x:c r="Q489" t="str">
        <x:v>First aid</x:v>
      </x:c>
      <x:c r="R489" t="str">
        <x:v>Closed</x:v>
      </x:c>
      <x:c r="S489" t="str">
        <x:v>Corrective</x:v>
      </x:c>
      <x:c r="T489" t="n">
        <x:v>1.39</x:v>
      </x:c>
      <x:c r="U489" t="n">
        <x:v>12.6</x:v>
      </x:c>
    </x:row>
    <x:row r="490">
      <x:c r="A490" s="12" t="n">
        <x:v>46189</x:v>
      </x:c>
      <x:c r="B490" t="str">
        <x:v>C</x:v>
      </x:c>
      <x:c r="C490" t="str">
        <x:v>Dried Mango</x:v>
      </x:c>
      <x:c r="D490" t="str">
        <x:v>Dryer 2</x:v>
      </x:c>
      <x:c r="E490" t="str">
        <x:v>Sup 1</x:v>
      </x:c>
      <x:c r="F490" t="n">
        <x:v>420</x:v>
      </x:c>
      <x:c r="G490" t="n">
        <x:v>20</x:v>
      </x:c>
      <x:c r="H490" t="n">
        <x:v>40</x:v>
      </x:c>
      <x:c r="I490" t="n">
        <x:v>1636</x:v>
      </x:c>
      <x:c r="J490" t="n">
        <x:v>1521</x:v>
      </x:c>
      <x:c r="K490" t="n">
        <x:v>46</x:v>
      </x:c>
      <x:c r="L490" t="n">
        <x:v>30</x:v>
      </x:c>
      <x:c r="M490" t="n">
        <x:v>97.8</x:v>
      </x:c>
      <x:c r="N490" t="n">
        <x:v>87.1</x:v>
      </x:c>
      <x:c r="O490" t="n">
        <x:v>73</x:v>
      </x:c>
      <x:c r="P490" t="n">
        <x:v>3</x:v>
      </x:c>
      <x:c r="Q490" t="str">
        <x:v>Near miss</x:v>
      </x:c>
      <x:c r="R490" t="str">
        <x:v>Closed</x:v>
      </x:c>
      <x:c r="S490" t="str">
        <x:v>Corrective</x:v>
      </x:c>
      <x:c r="T490" t="n">
        <x:v>1.79</x:v>
      </x:c>
      <x:c r="U490" t="n">
        <x:v>13.6</x:v>
      </x:c>
    </x:row>
    <x:row r="491">
      <x:c r="A491" s="12" t="n">
        <x:v>46190</x:v>
      </x:c>
      <x:c r="B491" t="str">
        <x:v>A</x:v>
      </x:c>
      <x:c r="C491" t="str">
        <x:v>Dried Mango</x:v>
      </x:c>
      <x:c r="D491" t="str">
        <x:v>Dryer 4</x:v>
      </x:c>
      <x:c r="E491" t="str">
        <x:v>Sup 1</x:v>
      </x:c>
      <x:c r="F491" t="n">
        <x:v>420</x:v>
      </x:c>
      <x:c r="G491" t="n">
        <x:v>40</x:v>
      </x:c>
      <x:c r="H491" t="n">
        <x:v>40</x:v>
      </x:c>
      <x:c r="I491" t="n">
        <x:v>1620</x:v>
      </x:c>
      <x:c r="J491" t="n">
        <x:v>1491</x:v>
      </x:c>
      <x:c r="K491" t="n">
        <x:v>67</x:v>
      </x:c>
      <x:c r="L491" t="n">
        <x:v>25</x:v>
      </x:c>
      <x:c r="M491" t="n">
        <x:v>91</x:v>
      </x:c>
      <x:c r="N491" t="n">
        <x:v>80</x:v>
      </x:c>
      <x:c r="O491" t="n">
        <x:v>73.3</x:v>
      </x:c>
      <x:c r="P491" t="n">
        <x:v>5</x:v>
      </x:c>
      <x:c r="Q491" t="str">
        <x:v>Recordable</x:v>
      </x:c>
      <x:c r="R491" t="str">
        <x:v>Open</x:v>
      </x:c>
      <x:c r="S491" t="str">
        <x:v>Corrective</x:v>
      </x:c>
      <x:c r="T491" t="n">
        <x:v>1.09</x:v>
      </x:c>
      <x:c r="U491" t="n">
        <x:v>11.8</x:v>
      </x:c>
    </x:row>
    <x:row r="492">
      <x:c r="A492" s="12" t="n">
        <x:v>46190</x:v>
      </x:c>
      <x:c r="B492" t="str">
        <x:v>B</x:v>
      </x:c>
      <x:c r="C492" t="str">
        <x:v>Dried Mango</x:v>
      </x:c>
      <x:c r="D492" t="str">
        <x:v>Dryer 4</x:v>
      </x:c>
      <x:c r="E492" t="str">
        <x:v>Sup 1</x:v>
      </x:c>
      <x:c r="F492" t="n">
        <x:v>480</x:v>
      </x:c>
      <x:c r="G492" t="n">
        <x:v>30</x:v>
      </x:c>
      <x:c r="H492" t="n">
        <x:v>26</x:v>
      </x:c>
      <x:c r="I492" t="n">
        <x:v>1724</x:v>
      </x:c>
      <x:c r="J492" t="n">
        <x:v>1628</x:v>
      </x:c>
      <x:c r="K492" t="n">
        <x:v>55</x:v>
      </x:c>
      <x:c r="L492" t="n">
        <x:v>23</x:v>
      </x:c>
      <x:c r="M492" t="n">
        <x:v>100</x:v>
      </x:c>
      <x:c r="N492" t="n">
        <x:v>91.9</x:v>
      </x:c>
      <x:c r="O492" t="n">
        <x:v>77.2</x:v>
      </x:c>
      <x:c r="P492" t="n">
        <x:v>2</x:v>
      </x:c>
      <x:c r="Q492" t="str">
        <x:v>No incident</x:v>
      </x:c>
      <x:c r="R492" t="str">
        <x:v>N/A</x:v>
      </x:c>
      <x:c r="S492" t="str">
        <x:v>Preventive</x:v>
      </x:c>
      <x:c r="T492" t="n">
        <x:v>0.5</x:v>
      </x:c>
      <x:c r="U492" t="n">
        <x:v>13.3</x:v>
      </x:c>
    </x:row>
    <x:row r="493">
      <x:c r="A493" s="12" t="n">
        <x:v>46190</x:v>
      </x:c>
      <x:c r="B493" t="str">
        <x:v>C</x:v>
      </x:c>
      <x:c r="C493" t="str">
        <x:v>Dried Pineapple</x:v>
      </x:c>
      <x:c r="D493" t="str">
        <x:v>Dryer 1</x:v>
      </x:c>
      <x:c r="E493" t="str">
        <x:v>Sup 2</x:v>
      </x:c>
      <x:c r="F493" t="n">
        <x:v>420</x:v>
      </x:c>
      <x:c r="G493" t="n">
        <x:v>30</x:v>
      </x:c>
      <x:c r="H493" t="n">
        <x:v>36</x:v>
      </x:c>
      <x:c r="I493" t="n">
        <x:v>1736</x:v>
      </x:c>
      <x:c r="J493" t="n">
        <x:v>1471</x:v>
      </x:c>
      <x:c r="K493" t="n">
        <x:v>47</x:v>
      </x:c>
      <x:c r="L493" t="n">
        <x:v>16</x:v>
      </x:c>
      <x:c r="M493" t="n">
        <x:v>88.1</x:v>
      </x:c>
      <x:c r="N493" t="n">
        <x:v>65.4</x:v>
      </x:c>
      <x:c r="O493" t="n">
        <x:v>81.5</x:v>
      </x:c>
      <x:c r="P493" t="n">
        <x:v>3</x:v>
      </x:c>
      <x:c r="Q493" t="str">
        <x:v>No incident</x:v>
      </x:c>
      <x:c r="R493" t="str">
        <x:v>N/A</x:v>
      </x:c>
      <x:c r="S493" t="str">
        <x:v>Inspection</x:v>
      </x:c>
      <x:c r="T493" t="n">
        <x:v>0.5</x:v>
      </x:c>
      <x:c r="U493" t="n">
        <x:v>13.4</x:v>
      </x:c>
    </x:row>
    <x:row r="494">
      <x:c r="A494" s="12" t="n">
        <x:v>46191</x:v>
      </x:c>
      <x:c r="B494" t="str">
        <x:v>A</x:v>
      </x:c>
      <x:c r="C494" t="str">
        <x:v>Dried Mango</x:v>
      </x:c>
      <x:c r="D494" t="str">
        <x:v>Dryer 2</x:v>
      </x:c>
      <x:c r="E494" t="str">
        <x:v>Sup 1</x:v>
      </x:c>
      <x:c r="F494" t="n">
        <x:v>480</x:v>
      </x:c>
      <x:c r="G494" t="n">
        <x:v>20</x:v>
      </x:c>
      <x:c r="H494" t="n">
        <x:v>32</x:v>
      </x:c>
      <x:c r="I494" t="n">
        <x:v>1761</x:v>
      </x:c>
      <x:c r="J494" t="n">
        <x:v>1603</x:v>
      </x:c>
      <x:c r="K494" t="n">
        <x:v>48</x:v>
      </x:c>
      <x:c r="L494" t="n">
        <x:v>22</x:v>
      </x:c>
      <x:c r="M494" t="n">
        <x:v>100</x:v>
      </x:c>
      <x:c r="N494" t="n">
        <x:v>83.8</x:v>
      </x:c>
      <x:c r="O494" t="n">
        <x:v>71.1</x:v>
      </x:c>
      <x:c r="P494" t="n">
        <x:v>4</x:v>
      </x:c>
      <x:c r="Q494" t="str">
        <x:v>No incident</x:v>
      </x:c>
      <x:c r="R494" t="str">
        <x:v>N/A</x:v>
      </x:c>
      <x:c r="S494" t="str">
        <x:v>Corrective</x:v>
      </x:c>
      <x:c r="T494" t="n">
        <x:v>1.32</x:v>
      </x:c>
      <x:c r="U494" t="n">
        <x:v>13.3</x:v>
      </x:c>
    </x:row>
    <x:row r="495">
      <x:c r="A495" s="12" t="n">
        <x:v>46191</x:v>
      </x:c>
      <x:c r="B495" t="str">
        <x:v>B</x:v>
      </x:c>
      <x:c r="C495" t="str">
        <x:v>Dried Pineapple</x:v>
      </x:c>
      <x:c r="D495" t="str">
        <x:v>Dryer 4</x:v>
      </x:c>
      <x:c r="E495" t="str">
        <x:v>Sup 2</x:v>
      </x:c>
      <x:c r="F495" t="n">
        <x:v>480</x:v>
      </x:c>
      <x:c r="G495" t="n">
        <x:v>40</x:v>
      </x:c>
      <x:c r="H495" t="n">
        <x:v>89</x:v>
      </x:c>
      <x:c r="I495" t="n">
        <x:v>1879</x:v>
      </x:c>
      <x:c r="J495" t="n">
        <x:v>1377</x:v>
      </x:c>
      <x:c r="K495" t="n">
        <x:v>48</x:v>
      </x:c>
      <x:c r="L495" t="n">
        <x:v>10</x:v>
      </x:c>
      <x:c r="M495" t="n">
        <x:v>85</x:v>
      </x:c>
      <x:c r="N495" t="n">
        <x:v>84.5</x:v>
      </x:c>
      <x:c r="O495" t="n">
        <x:v>69.7</x:v>
      </x:c>
      <x:c r="P495" t="n">
        <x:v>5</x:v>
      </x:c>
      <x:c r="Q495" t="str">
        <x:v>No incident</x:v>
      </x:c>
      <x:c r="R495" t="str">
        <x:v>N/A</x:v>
      </x:c>
      <x:c r="S495" t="str">
        <x:v>Preventive</x:v>
      </x:c>
      <x:c r="T495" t="n">
        <x:v>0.5</x:v>
      </x:c>
      <x:c r="U495" t="n">
        <x:v>10.4</x:v>
      </x:c>
    </x:row>
    <x:row r="496">
      <x:c r="A496" s="12" t="n">
        <x:v>46191</x:v>
      </x:c>
      <x:c r="B496" t="str">
        <x:v>C</x:v>
      </x:c>
      <x:c r="C496" t="str">
        <x:v>Dried Pineapple</x:v>
      </x:c>
      <x:c r="D496" t="str">
        <x:v>Dryer 3</x:v>
      </x:c>
      <x:c r="E496" t="str">
        <x:v>Sup 3</x:v>
      </x:c>
      <x:c r="F496" t="n">
        <x:v>420</x:v>
      </x:c>
      <x:c r="G496" t="n">
        <x:v>20</x:v>
      </x:c>
      <x:c r="H496" t="n">
        <x:v>59</x:v>
      </x:c>
      <x:c r="I496" t="n">
        <x:v>1788</x:v>
      </x:c>
      <x:c r="J496" t="n">
        <x:v>1427</x:v>
      </x:c>
      <x:c r="K496" t="n">
        <x:v>62</x:v>
      </x:c>
      <x:c r="L496" t="n">
        <x:v>41</x:v>
      </x:c>
      <x:c r="M496" t="n">
        <x:v>85.8</x:v>
      </x:c>
      <x:c r="N496" t="n">
        <x:v>80.2</x:v>
      </x:c>
      <x:c r="O496" t="n">
        <x:v>68.3</x:v>
      </x:c>
      <x:c r="P496" t="n">
        <x:v>1</x:v>
      </x:c>
      <x:c r="Q496" t="str">
        <x:v>No incident</x:v>
      </x:c>
      <x:c r="R496" t="str">
        <x:v>N/A</x:v>
      </x:c>
      <x:c r="S496" t="str">
        <x:v>Inspection</x:v>
      </x:c>
      <x:c r="T496" t="n">
        <x:v>0.73</x:v>
      </x:c>
      <x:c r="U496" t="n">
        <x:v>12.5</x:v>
      </x:c>
    </x:row>
    <x:row r="497">
      <x:c r="A497" s="12" t="n">
        <x:v>46192</x:v>
      </x:c>
      <x:c r="B497" t="str">
        <x:v>A</x:v>
      </x:c>
      <x:c r="C497" t="str">
        <x:v>Dried Mango</x:v>
      </x:c>
      <x:c r="D497" t="str">
        <x:v>Dryer 2</x:v>
      </x:c>
      <x:c r="E497" t="str">
        <x:v>Sup 1</x:v>
      </x:c>
      <x:c r="F497" t="n">
        <x:v>480</x:v>
      </x:c>
      <x:c r="G497" t="n">
        <x:v>20</x:v>
      </x:c>
      <x:c r="H497" t="n">
        <x:v>27</x:v>
      </x:c>
      <x:c r="I497" t="n">
        <x:v>1608</x:v>
      </x:c>
      <x:c r="J497" t="n">
        <x:v>1487</x:v>
      </x:c>
      <x:c r="K497" t="n">
        <x:v>65</x:v>
      </x:c>
      <x:c r="L497" t="n">
        <x:v>30</x:v>
      </x:c>
      <x:c r="M497" t="n">
        <x:v>93.4</x:v>
      </x:c>
      <x:c r="N497" t="n">
        <x:v>90</x:v>
      </x:c>
      <x:c r="O497" t="n">
        <x:v>63.9</x:v>
      </x:c>
      <x:c r="P497" t="n">
        <x:v>1</x:v>
      </x:c>
      <x:c r="Q497" t="str">
        <x:v>No incident</x:v>
      </x:c>
      <x:c r="R497" t="str">
        <x:v>N/A</x:v>
      </x:c>
      <x:c r="S497" t="str">
        <x:v>Inspection</x:v>
      </x:c>
      <x:c r="T497" t="n">
        <x:v>0.62</x:v>
      </x:c>
      <x:c r="U497" t="n">
        <x:v>11.9</x:v>
      </x:c>
    </x:row>
    <x:row r="498">
      <x:c r="A498" s="12" t="n">
        <x:v>46192</x:v>
      </x:c>
      <x:c r="B498" t="str">
        <x:v>B</x:v>
      </x:c>
      <x:c r="C498" t="str">
        <x:v>Desiccated Coconut</x:v>
      </x:c>
      <x:c r="D498" t="str">
        <x:v>Dryer 4</x:v>
      </x:c>
      <x:c r="E498" t="str">
        <x:v>Sup 1</x:v>
      </x:c>
      <x:c r="F498" t="n">
        <x:v>420</x:v>
      </x:c>
      <x:c r="G498" t="n">
        <x:v>30</x:v>
      </x:c>
      <x:c r="H498" t="n">
        <x:v>67</x:v>
      </x:c>
      <x:c r="I498" t="n">
        <x:v>1243</x:v>
      </x:c>
      <x:c r="J498" t="n">
        <x:v>928</x:v>
      </x:c>
      <x:c r="K498" t="n">
        <x:v>18</x:v>
      </x:c>
      <x:c r="L498" t="n">
        <x:v>8</x:v>
      </x:c>
      <x:c r="M498" t="n">
        <x:v>91.9</x:v>
      </x:c>
      <x:c r="N498" t="n">
        <x:v>55</x:v>
      </x:c>
      <x:c r="O498" t="n">
        <x:v>71.1</x:v>
      </x:c>
      <x:c r="P498" t="n">
        <x:v>1</x:v>
      </x:c>
      <x:c r="Q498" t="str">
        <x:v>No incident</x:v>
      </x:c>
      <x:c r="R498" t="str">
        <x:v>N/A</x:v>
      </x:c>
      <x:c r="S498" t="str">
        <x:v>Corrective</x:v>
      </x:c>
      <x:c r="T498" t="n">
        <x:v>0.93</x:v>
      </x:c>
      <x:c r="U498" t="n">
        <x:v>7.7</x:v>
      </x:c>
    </x:row>
    <x:row r="499">
      <x:c r="A499" s="12" t="n">
        <x:v>46192</x:v>
      </x:c>
      <x:c r="B499" t="str">
        <x:v>C</x:v>
      </x:c>
      <x:c r="C499" t="str">
        <x:v>Dried Pineapple</x:v>
      </x:c>
      <x:c r="D499" t="str">
        <x:v>Dryer 1</x:v>
      </x:c>
      <x:c r="E499" t="str">
        <x:v>Sup 1</x:v>
      </x:c>
      <x:c r="F499" t="n">
        <x:v>420</x:v>
      </x:c>
      <x:c r="G499" t="n">
        <x:v>30</x:v>
      </x:c>
      <x:c r="H499" t="n">
        <x:v>59</x:v>
      </x:c>
      <x:c r="I499" t="n">
        <x:v>1642</x:v>
      </x:c>
      <x:c r="J499" t="n">
        <x:v>1383</x:v>
      </x:c>
      <x:c r="K499" t="n">
        <x:v>32</x:v>
      </x:c>
      <x:c r="L499" t="n">
        <x:v>10</x:v>
      </x:c>
      <x:c r="M499" t="n">
        <x:v>82.7</x:v>
      </x:c>
      <x:c r="N499" t="n">
        <x:v>72.9</x:v>
      </x:c>
      <x:c r="O499" t="n">
        <x:v>75.1</x:v>
      </x:c>
      <x:c r="P499" t="n">
        <x:v>2</x:v>
      </x:c>
      <x:c r="Q499" t="str">
        <x:v>No incident</x:v>
      </x:c>
      <x:c r="R499" t="str">
        <x:v>N/A</x:v>
      </x:c>
      <x:c r="S499" t="str">
        <x:v>Inspection</x:v>
      </x:c>
      <x:c r="T499" t="n">
        <x:v>1.14</x:v>
      </x:c>
      <x:c r="U499" t="n">
        <x:v>12</x:v>
      </x:c>
    </x:row>
    <x:row r="500">
      <x:c r="A500" s="12" t="n">
        <x:v>46193</x:v>
      </x:c>
      <x:c r="B500" t="str">
        <x:v>A</x:v>
      </x:c>
      <x:c r="C500" t="str">
        <x:v>Dried Pineapple</x:v>
      </x:c>
      <x:c r="D500" t="str">
        <x:v>Dryer 4</x:v>
      </x:c>
      <x:c r="E500" t="str">
        <x:v>Sup 3</x:v>
      </x:c>
      <x:c r="F500" t="n">
        <x:v>420</x:v>
      </x:c>
      <x:c r="G500" t="n">
        <x:v>20</x:v>
      </x:c>
      <x:c r="H500" t="n">
        <x:v>28</x:v>
      </x:c>
      <x:c r="I500" t="n">
        <x:v>1665</x:v>
      </x:c>
      <x:c r="J500" t="n">
        <x:v>1422</x:v>
      </x:c>
      <x:c r="K500" t="n">
        <x:v>47</x:v>
      </x:c>
      <x:c r="L500" t="n">
        <x:v>27</x:v>
      </x:c>
      <x:c r="M500" t="n">
        <x:v>95.8</x:v>
      </x:c>
      <x:c r="N500" t="n">
        <x:v>86.1</x:v>
      </x:c>
      <x:c r="O500" t="n">
        <x:v>63.5</x:v>
      </x:c>
      <x:c r="P500" t="n">
        <x:v>4</x:v>
      </x:c>
      <x:c r="Q500" t="str">
        <x:v>No incident</x:v>
      </x:c>
      <x:c r="R500" t="str">
        <x:v>N/A</x:v>
      </x:c>
      <x:c r="S500" t="str">
        <x:v>Corrective</x:v>
      </x:c>
      <x:c r="T500" t="n">
        <x:v>1.3</x:v>
      </x:c>
      <x:c r="U500" t="n">
        <x:v>10.8</x:v>
      </x:c>
    </x:row>
    <x:row r="501">
      <x:c r="A501" s="12" t="n">
        <x:v>46193</x:v>
      </x:c>
      <x:c r="B501" t="str">
        <x:v>B</x:v>
      </x:c>
      <x:c r="C501" t="str">
        <x:v>Dried Mango</x:v>
      </x:c>
      <x:c r="D501" t="str">
        <x:v>Dryer 4</x:v>
      </x:c>
      <x:c r="E501" t="str">
        <x:v>Sup 2</x:v>
      </x:c>
      <x:c r="F501" t="n">
        <x:v>480</x:v>
      </x:c>
      <x:c r="G501" t="n">
        <x:v>20</x:v>
      </x:c>
      <x:c r="H501" t="n">
        <x:v>40</x:v>
      </x:c>
      <x:c r="I501" t="n">
        <x:v>1647</x:v>
      </x:c>
      <x:c r="J501" t="n">
        <x:v>1549</x:v>
      </x:c>
      <x:c r="K501" t="n">
        <x:v>47</x:v>
      </x:c>
      <x:c r="L501" t="n">
        <x:v>19</x:v>
      </x:c>
      <x:c r="M501" t="n">
        <x:v>86.1</x:v>
      </x:c>
      <x:c r="N501" t="n">
        <x:v>80.2</x:v>
      </x:c>
      <x:c r="O501" t="n">
        <x:v>74.8</x:v>
      </x:c>
      <x:c r="P501" t="n">
        <x:v>5</x:v>
      </x:c>
      <x:c r="Q501" t="str">
        <x:v>No incident</x:v>
      </x:c>
      <x:c r="R501" t="str">
        <x:v>N/A</x:v>
      </x:c>
      <x:c r="S501" t="str">
        <x:v>Preventive</x:v>
      </x:c>
      <x:c r="T501" t="n">
        <x:v>1.01</x:v>
      </x:c>
      <x:c r="U501" t="n">
        <x:v>13.2</x:v>
      </x:c>
    </x:row>
    <x:row r="502">
      <x:c r="A502" s="12" t="n">
        <x:v>46193</x:v>
      </x:c>
      <x:c r="B502" t="str">
        <x:v>C</x:v>
      </x:c>
      <x:c r="C502" t="str">
        <x:v>Dried Pineapple</x:v>
      </x:c>
      <x:c r="D502" t="str">
        <x:v>Dryer 1</x:v>
      </x:c>
      <x:c r="E502" t="str">
        <x:v>Sup 3</x:v>
      </x:c>
      <x:c r="F502" t="n">
        <x:v>450</x:v>
      </x:c>
      <x:c r="G502" t="n">
        <x:v>30</x:v>
      </x:c>
      <x:c r="H502" t="n">
        <x:v>43</x:v>
      </x:c>
      <x:c r="I502" t="n">
        <x:v>1662</x:v>
      </x:c>
      <x:c r="J502" t="n">
        <x:v>1423</x:v>
      </x:c>
      <x:c r="K502" t="n">
        <x:v>34</x:v>
      </x:c>
      <x:c r="L502" t="n">
        <x:v>13</x:v>
      </x:c>
      <x:c r="M502" t="n">
        <x:v>91.3</x:v>
      </x:c>
      <x:c r="N502" t="n">
        <x:v>72.8</x:v>
      </x:c>
      <x:c r="O502" t="n">
        <x:v>73.2</x:v>
      </x:c>
      <x:c r="P502" t="n">
        <x:v>3</x:v>
      </x:c>
      <x:c r="Q502" t="str">
        <x:v>No incident</x:v>
      </x:c>
      <x:c r="R502" t="str">
        <x:v>N/A</x:v>
      </x:c>
      <x:c r="S502" t="str">
        <x:v>Inspection</x:v>
      </x:c>
      <x:c r="T502" t="n">
        <x:v>0.85</x:v>
      </x:c>
      <x:c r="U502" t="n">
        <x:v>12</x:v>
      </x:c>
    </x:row>
    <x:row r="503">
      <x:c r="A503" s="12" t="n">
        <x:v>46194</x:v>
      </x:c>
      <x:c r="B503" t="str">
        <x:v>A</x:v>
      </x:c>
      <x:c r="C503" t="str">
        <x:v>Dried Mango</x:v>
      </x:c>
      <x:c r="D503" t="str">
        <x:v>Dryer 1</x:v>
      </x:c>
      <x:c r="E503" t="str">
        <x:v>Sup 3</x:v>
      </x:c>
      <x:c r="F503" t="n">
        <x:v>480</x:v>
      </x:c>
      <x:c r="G503" t="n">
        <x:v>30</x:v>
      </x:c>
      <x:c r="H503" t="n">
        <x:v>19</x:v>
      </x:c>
      <x:c r="I503" t="n">
        <x:v>1574</x:v>
      </x:c>
      <x:c r="J503" t="n">
        <x:v>1339</x:v>
      </x:c>
      <x:c r="K503" t="n">
        <x:v>51</x:v>
      </x:c>
      <x:c r="L503" t="n">
        <x:v>30</x:v>
      </x:c>
      <x:c r="M503" t="n">
        <x:v>83.4</x:v>
      </x:c>
      <x:c r="N503" t="n">
        <x:v>83.9</x:v>
      </x:c>
      <x:c r="O503" t="n">
        <x:v>82.8</x:v>
      </x:c>
      <x:c r="P503" t="n">
        <x:v>2</x:v>
      </x:c>
      <x:c r="Q503" t="str">
        <x:v>Near miss</x:v>
      </x:c>
      <x:c r="R503" t="str">
        <x:v>In progress</x:v>
      </x:c>
      <x:c r="S503" t="str">
        <x:v>Inspection</x:v>
      </x:c>
      <x:c r="T503" t="n">
        <x:v>0.82</x:v>
      </x:c>
      <x:c r="U503" t="n">
        <x:v>10.6</x:v>
      </x:c>
    </x:row>
    <x:row r="504">
      <x:c r="A504" s="12" t="n">
        <x:v>46194</x:v>
      </x:c>
      <x:c r="B504" t="str">
        <x:v>B</x:v>
      </x:c>
      <x:c r="C504" t="str">
        <x:v>Dried Pineapple</x:v>
      </x:c>
      <x:c r="D504" t="str">
        <x:v>Dryer 4</x:v>
      </x:c>
      <x:c r="E504" t="str">
        <x:v>Sup 2</x:v>
      </x:c>
      <x:c r="F504" t="n">
        <x:v>450</x:v>
      </x:c>
      <x:c r="G504" t="n">
        <x:v>40</x:v>
      </x:c>
      <x:c r="H504" t="n">
        <x:v>48</x:v>
      </x:c>
      <x:c r="I504" t="n">
        <x:v>1672</x:v>
      </x:c>
      <x:c r="J504" t="n">
        <x:v>1453</x:v>
      </x:c>
      <x:c r="K504" t="n">
        <x:v>33</x:v>
      </x:c>
      <x:c r="L504" t="n">
        <x:v>10</x:v>
      </x:c>
      <x:c r="M504" t="n">
        <x:v>95.4</x:v>
      </x:c>
      <x:c r="N504" t="n">
        <x:v>81.2</x:v>
      </x:c>
      <x:c r="O504" t="n">
        <x:v>79.8</x:v>
      </x:c>
      <x:c r="P504" t="n">
        <x:v>2</x:v>
      </x:c>
      <x:c r="Q504" t="str">
        <x:v>No incident</x:v>
      </x:c>
      <x:c r="R504" t="str">
        <x:v>N/A</x:v>
      </x:c>
      <x:c r="S504" t="str">
        <x:v>Inspection</x:v>
      </x:c>
      <x:c r="T504" t="n">
        <x:v>0.5</x:v>
      </x:c>
      <x:c r="U504" t="n">
        <x:v>11.9</x:v>
      </x:c>
    </x:row>
    <x:row r="505">
      <x:c r="A505" s="12" t="n">
        <x:v>46194</x:v>
      </x:c>
      <x:c r="B505" t="str">
        <x:v>C</x:v>
      </x:c>
      <x:c r="C505" t="str">
        <x:v>Dried Pineapple</x:v>
      </x:c>
      <x:c r="D505" t="str">
        <x:v>Dryer 3</x:v>
      </x:c>
      <x:c r="E505" t="str">
        <x:v>Sup 1</x:v>
      </x:c>
      <x:c r="F505" t="n">
        <x:v>480</x:v>
      </x:c>
      <x:c r="G505" t="n">
        <x:v>20</x:v>
      </x:c>
      <x:c r="H505" t="n">
        <x:v>62</x:v>
      </x:c>
      <x:c r="I505" t="n">
        <x:v>1791</x:v>
      </x:c>
      <x:c r="J505" t="n">
        <x:v>1558</x:v>
      </x:c>
      <x:c r="K505" t="n">
        <x:v>65</x:v>
      </x:c>
      <x:c r="L505" t="n">
        <x:v>38</x:v>
      </x:c>
      <x:c r="M505" t="n">
        <x:v>94.8</x:v>
      </x:c>
      <x:c r="N505" t="n">
        <x:v>69.2</x:v>
      </x:c>
      <x:c r="O505" t="n">
        <x:v>78.9</x:v>
      </x:c>
      <x:c r="P505" t="n">
        <x:v>0</x:v>
      </x:c>
      <x:c r="Q505" t="str">
        <x:v>Near miss</x:v>
      </x:c>
      <x:c r="R505" t="str">
        <x:v>Closed</x:v>
      </x:c>
      <x:c r="S505" t="str">
        <x:v>Preventive</x:v>
      </x:c>
      <x:c r="T505" t="n">
        <x:v>0.78</x:v>
      </x:c>
      <x:c r="U505" t="n">
        <x:v>14.2</x:v>
      </x:c>
    </x:row>
    <x:row r="506">
      <x:c r="A506" s="12" t="n">
        <x:v>46195</x:v>
      </x:c>
      <x:c r="B506" t="str">
        <x:v>A</x:v>
      </x:c>
      <x:c r="C506" t="str">
        <x:v>Dried Pineapple</x:v>
      </x:c>
      <x:c r="D506" t="str">
        <x:v>Dryer 2</x:v>
      </x:c>
      <x:c r="E506" t="str">
        <x:v>Sup 3</x:v>
      </x:c>
      <x:c r="F506" t="n">
        <x:v>450</x:v>
      </x:c>
      <x:c r="G506" t="n">
        <x:v>40</x:v>
      </x:c>
      <x:c r="H506" t="n">
        <x:v>45</x:v>
      </x:c>
      <x:c r="I506" t="n">
        <x:v>1732</x:v>
      </x:c>
      <x:c r="J506" t="n">
        <x:v>1407</x:v>
      </x:c>
      <x:c r="K506" t="n">
        <x:v>42</x:v>
      </x:c>
      <x:c r="L506" t="n">
        <x:v>24</x:v>
      </x:c>
      <x:c r="M506" t="n">
        <x:v>93.3</x:v>
      </x:c>
      <x:c r="N506" t="n">
        <x:v>61.9</x:v>
      </x:c>
      <x:c r="O506" t="n">
        <x:v>67.1</x:v>
      </x:c>
      <x:c r="P506" t="n">
        <x:v>5</x:v>
      </x:c>
      <x:c r="Q506" t="str">
        <x:v>Near miss</x:v>
      </x:c>
      <x:c r="R506" t="str">
        <x:v>Closed</x:v>
      </x:c>
      <x:c r="S506" t="str">
        <x:v>Corrective</x:v>
      </x:c>
      <x:c r="T506" t="n">
        <x:v>1.1</x:v>
      </x:c>
      <x:c r="U506" t="n">
        <x:v>11.5</x:v>
      </x:c>
    </x:row>
    <x:row r="507">
      <x:c r="A507" s="12" t="n">
        <x:v>46195</x:v>
      </x:c>
      <x:c r="B507" t="str">
        <x:v>B</x:v>
      </x:c>
      <x:c r="C507" t="str">
        <x:v>Desiccated Coconut</x:v>
      </x:c>
      <x:c r="D507" t="str">
        <x:v>Dryer 2</x:v>
      </x:c>
      <x:c r="E507" t="str">
        <x:v>Sup 3</x:v>
      </x:c>
      <x:c r="F507" t="n">
        <x:v>480</x:v>
      </x:c>
      <x:c r="G507" t="n">
        <x:v>20</x:v>
      </x:c>
      <x:c r="H507" t="n">
        <x:v>36</x:v>
      </x:c>
      <x:c r="I507" t="n">
        <x:v>1188</x:v>
      </x:c>
      <x:c r="J507" t="n">
        <x:v>1024</x:v>
      </x:c>
      <x:c r="K507" t="n">
        <x:v>24</x:v>
      </x:c>
      <x:c r="L507" t="n">
        <x:v>10</x:v>
      </x:c>
      <x:c r="M507" t="n">
        <x:v>85.8</x:v>
      </x:c>
      <x:c r="N507" t="n">
        <x:v>69.5</x:v>
      </x:c>
      <x:c r="O507" t="n">
        <x:v>66.3</x:v>
      </x:c>
      <x:c r="P507" t="n">
        <x:v>3</x:v>
      </x:c>
      <x:c r="Q507" t="str">
        <x:v>No incident</x:v>
      </x:c>
      <x:c r="R507" t="str">
        <x:v>N/A</x:v>
      </x:c>
      <x:c r="S507" t="str">
        <x:v>Inspection</x:v>
      </x:c>
      <x:c r="T507" t="n">
        <x:v>1</x:v>
      </x:c>
      <x:c r="U507" t="n">
        <x:v>8.2</x:v>
      </x:c>
    </x:row>
    <x:row r="508">
      <x:c r="A508" s="12" t="n">
        <x:v>46195</x:v>
      </x:c>
      <x:c r="B508" t="str">
        <x:v>C</x:v>
      </x:c>
      <x:c r="C508" t="str">
        <x:v>Desiccated Coconut</x:v>
      </x:c>
      <x:c r="D508" t="str">
        <x:v>Dryer 1</x:v>
      </x:c>
      <x:c r="E508" t="str">
        <x:v>Sup 2</x:v>
      </x:c>
      <x:c r="F508" t="n">
        <x:v>420</x:v>
      </x:c>
      <x:c r="G508" t="n">
        <x:v>30</x:v>
      </x:c>
      <x:c r="H508" t="n">
        <x:v>20</x:v>
      </x:c>
      <x:c r="I508" t="n">
        <x:v>1168</x:v>
      </x:c>
      <x:c r="J508" t="n">
        <x:v>987</x:v>
      </x:c>
      <x:c r="K508" t="n">
        <x:v>34</x:v>
      </x:c>
      <x:c r="L508" t="n">
        <x:v>12</x:v>
      </x:c>
      <x:c r="M508" t="n">
        <x:v>91.3</x:v>
      </x:c>
      <x:c r="N508" t="n">
        <x:v>76</x:v>
      </x:c>
      <x:c r="O508" t="n">
        <x:v>71.5</x:v>
      </x:c>
      <x:c r="P508" t="n">
        <x:v>4</x:v>
      </x:c>
      <x:c r="Q508" t="str">
        <x:v>No incident</x:v>
      </x:c>
      <x:c r="R508" t="str">
        <x:v>N/A</x:v>
      </x:c>
      <x:c r="S508" t="str">
        <x:v>Corrective</x:v>
      </x:c>
      <x:c r="T508" t="n">
        <x:v>1.13</x:v>
      </x:c>
      <x:c r="U508" t="n">
        <x:v>7.4</x:v>
      </x:c>
    </x:row>
    <x:row r="509">
      <x:c r="A509" s="12" t="n">
        <x:v>46196</x:v>
      </x:c>
      <x:c r="B509" t="str">
        <x:v>A</x:v>
      </x:c>
      <x:c r="C509" t="str">
        <x:v>Dried Pineapple</x:v>
      </x:c>
      <x:c r="D509" t="str">
        <x:v>Dryer 3</x:v>
      </x:c>
      <x:c r="E509" t="str">
        <x:v>Sup 3</x:v>
      </x:c>
      <x:c r="F509" t="n">
        <x:v>450</x:v>
      </x:c>
      <x:c r="G509" t="n">
        <x:v>30</x:v>
      </x:c>
      <x:c r="H509" t="n">
        <x:v>65</x:v>
      </x:c>
      <x:c r="I509" t="n">
        <x:v>1716</x:v>
      </x:c>
      <x:c r="J509" t="n">
        <x:v>1316</x:v>
      </x:c>
      <x:c r="K509" t="n">
        <x:v>70</x:v>
      </x:c>
      <x:c r="L509" t="n">
        <x:v>46</x:v>
      </x:c>
      <x:c r="M509" t="n">
        <x:v>91.4</x:v>
      </x:c>
      <x:c r="N509" t="n">
        <x:v>81.9</x:v>
      </x:c>
      <x:c r="O509" t="n">
        <x:v>70.5</x:v>
      </x:c>
      <x:c r="P509" t="n">
        <x:v>4</x:v>
      </x:c>
      <x:c r="Q509" t="str">
        <x:v>No incident</x:v>
      </x:c>
      <x:c r="R509" t="str">
        <x:v>N/A</x:v>
      </x:c>
      <x:c r="S509" t="str">
        <x:v>Corrective</x:v>
      </x:c>
      <x:c r="T509" t="n">
        <x:v>1.65</x:v>
      </x:c>
      <x:c r="U509" t="n">
        <x:v>10</x:v>
      </x:c>
    </x:row>
    <x:row r="510">
      <x:c r="A510" s="12" t="n">
        <x:v>46196</x:v>
      </x:c>
      <x:c r="B510" t="str">
        <x:v>B</x:v>
      </x:c>
      <x:c r="C510" t="str">
        <x:v>Dried Mango</x:v>
      </x:c>
      <x:c r="D510" t="str">
        <x:v>Dryer 1</x:v>
      </x:c>
      <x:c r="E510" t="str">
        <x:v>Sup 1</x:v>
      </x:c>
      <x:c r="F510" t="n">
        <x:v>480</x:v>
      </x:c>
      <x:c r="G510" t="n">
        <x:v>30</x:v>
      </x:c>
      <x:c r="H510" t="n">
        <x:v>35</x:v>
      </x:c>
      <x:c r="I510" t="n">
        <x:v>1611</x:v>
      </x:c>
      <x:c r="J510" t="n">
        <x:v>1418</x:v>
      </x:c>
      <x:c r="K510" t="n">
        <x:v>57</x:v>
      </x:c>
      <x:c r="L510" t="n">
        <x:v>26</x:v>
      </x:c>
      <x:c r="M510" t="n">
        <x:v>84.4</x:v>
      </x:c>
      <x:c r="N510" t="n">
        <x:v>76</x:v>
      </x:c>
      <x:c r="O510" t="n">
        <x:v>67.7</x:v>
      </x:c>
      <x:c r="P510" t="n">
        <x:v>3</x:v>
      </x:c>
      <x:c r="Q510" t="str">
        <x:v>No incident</x:v>
      </x:c>
      <x:c r="R510" t="str">
        <x:v>N/A</x:v>
      </x:c>
      <x:c r="S510" t="str">
        <x:v>Preventive</x:v>
      </x:c>
      <x:c r="T510" t="n">
        <x:v>1.4</x:v>
      </x:c>
      <x:c r="U510" t="n">
        <x:v>12.9</x:v>
      </x:c>
    </x:row>
    <x:row r="511">
      <x:c r="A511" s="12" t="n">
        <x:v>46196</x:v>
      </x:c>
      <x:c r="B511" t="str">
        <x:v>C</x:v>
      </x:c>
      <x:c r="C511" t="str">
        <x:v>Dried Mango</x:v>
      </x:c>
      <x:c r="D511" t="str">
        <x:v>Dryer 1</x:v>
      </x:c>
      <x:c r="E511" t="str">
        <x:v>Sup 2</x:v>
      </x:c>
      <x:c r="F511" t="n">
        <x:v>450</x:v>
      </x:c>
      <x:c r="G511" t="n">
        <x:v>30</x:v>
      </x:c>
      <x:c r="H511" t="n">
        <x:v>38</x:v>
      </x:c>
      <x:c r="I511" t="n">
        <x:v>1616</x:v>
      </x:c>
      <x:c r="J511" t="n">
        <x:v>1313</x:v>
      </x:c>
      <x:c r="K511" t="n">
        <x:v>40</x:v>
      </x:c>
      <x:c r="L511" t="n">
        <x:v>11</x:v>
      </x:c>
      <x:c r="M511" t="n">
        <x:v>92.1</x:v>
      </x:c>
      <x:c r="N511" t="n">
        <x:v>64.3</x:v>
      </x:c>
      <x:c r="O511" t="n">
        <x:v>74.2</x:v>
      </x:c>
      <x:c r="P511" t="n">
        <x:v>5</x:v>
      </x:c>
      <x:c r="Q511" t="str">
        <x:v>No incident</x:v>
      </x:c>
      <x:c r="R511" t="str">
        <x:v>N/A</x:v>
      </x:c>
      <x:c r="S511" t="str">
        <x:v>Corrective</x:v>
      </x:c>
      <x:c r="T511" t="n">
        <x:v>1.22</x:v>
      </x:c>
      <x:c r="U511" t="n">
        <x:v>10.6</x:v>
      </x:c>
    </x:row>
    <x:row r="512">
      <x:c r="A512" s="12" t="n">
        <x:v>46197</x:v>
      </x:c>
      <x:c r="B512" t="str">
        <x:v>A</x:v>
      </x:c>
      <x:c r="C512" t="str">
        <x:v>Dried Mango</x:v>
      </x:c>
      <x:c r="D512" t="str">
        <x:v>Dryer 3</x:v>
      </x:c>
      <x:c r="E512" t="str">
        <x:v>Sup 3</x:v>
      </x:c>
      <x:c r="F512" t="n">
        <x:v>450</x:v>
      </x:c>
      <x:c r="G512" t="n">
        <x:v>0</x:v>
      </x:c>
      <x:c r="H512" t="n">
        <x:v>55</x:v>
      </x:c>
      <x:c r="I512" t="n">
        <x:v>1557</x:v>
      </x:c>
      <x:c r="J512" t="n">
        <x:v>1412</x:v>
      </x:c>
      <x:c r="K512" t="n">
        <x:v>55</x:v>
      </x:c>
      <x:c r="L512" t="n">
        <x:v>20</x:v>
      </x:c>
      <x:c r="M512" t="n">
        <x:v>99.6</x:v>
      </x:c>
      <x:c r="N512" t="n">
        <x:v>82.5</x:v>
      </x:c>
      <x:c r="O512" t="n">
        <x:v>76.5</x:v>
      </x:c>
      <x:c r="P512" t="n">
        <x:v>3</x:v>
      </x:c>
      <x:c r="Q512" t="str">
        <x:v>No incident</x:v>
      </x:c>
      <x:c r="R512" t="str">
        <x:v>N/A</x:v>
      </x:c>
      <x:c r="S512" t="str">
        <x:v>Inspection</x:v>
      </x:c>
      <x:c r="T512" t="n">
        <x:v>0.7</x:v>
      </x:c>
      <x:c r="U512" t="n">
        <x:v>12.2</x:v>
      </x:c>
    </x:row>
    <x:row r="513">
      <x:c r="A513" s="12" t="n">
        <x:v>46197</x:v>
      </x:c>
      <x:c r="B513" t="str">
        <x:v>B</x:v>
      </x:c>
      <x:c r="C513" t="str">
        <x:v>Desiccated Coconut</x:v>
      </x:c>
      <x:c r="D513" t="str">
        <x:v>Dryer 1</x:v>
      </x:c>
      <x:c r="E513" t="str">
        <x:v>Sup 2</x:v>
      </x:c>
      <x:c r="F513" t="n">
        <x:v>450</x:v>
      </x:c>
      <x:c r="G513" t="n">
        <x:v>0</x:v>
      </x:c>
      <x:c r="H513" t="n">
        <x:v>22</x:v>
      </x:c>
      <x:c r="I513" t="n">
        <x:v>1134</x:v>
      </x:c>
      <x:c r="J513" t="n">
        <x:v>1029</x:v>
      </x:c>
      <x:c r="K513" t="n">
        <x:v>27</x:v>
      </x:c>
      <x:c r="L513" t="n">
        <x:v>7</x:v>
      </x:c>
      <x:c r="M513" t="n">
        <x:v>99.5</x:v>
      </x:c>
      <x:c r="N513" t="n">
        <x:v>78.1</x:v>
      </x:c>
      <x:c r="O513" t="n">
        <x:v>76.5</x:v>
      </x:c>
      <x:c r="P513" t="n">
        <x:v>4</x:v>
      </x:c>
      <x:c r="Q513" t="str">
        <x:v>No incident</x:v>
      </x:c>
      <x:c r="R513" t="str">
        <x:v>N/A</x:v>
      </x:c>
      <x:c r="S513" t="str">
        <x:v>Preventive</x:v>
      </x:c>
      <x:c r="T513" t="n">
        <x:v>0.69</x:v>
      </x:c>
      <x:c r="U513" t="n">
        <x:v>9</x:v>
      </x:c>
    </x:row>
    <x:row r="514">
      <x:c r="A514" s="12" t="n">
        <x:v>46197</x:v>
      </x:c>
      <x:c r="B514" t="str">
        <x:v>C</x:v>
      </x:c>
      <x:c r="C514" t="str">
        <x:v>Dried Pineapple</x:v>
      </x:c>
      <x:c r="D514" t="str">
        <x:v>Dryer 4</x:v>
      </x:c>
      <x:c r="E514" t="str">
        <x:v>Sup 2</x:v>
      </x:c>
      <x:c r="F514" t="n">
        <x:v>450</x:v>
      </x:c>
      <x:c r="G514" t="n">
        <x:v>0</x:v>
      </x:c>
      <x:c r="H514" t="n">
        <x:v>38</x:v>
      </x:c>
      <x:c r="I514" t="n">
        <x:v>1866</x:v>
      </x:c>
      <x:c r="J514" t="n">
        <x:v>1667</x:v>
      </x:c>
      <x:c r="K514" t="n">
        <x:v>50</x:v>
      </x:c>
      <x:c r="L514" t="n">
        <x:v>22</x:v>
      </x:c>
      <x:c r="M514" t="n">
        <x:v>85.6</x:v>
      </x:c>
      <x:c r="N514" t="n">
        <x:v>74.9</x:v>
      </x:c>
      <x:c r="O514" t="n">
        <x:v>68.9</x:v>
      </x:c>
      <x:c r="P514" t="n">
        <x:v>6</x:v>
      </x:c>
      <x:c r="Q514" t="str">
        <x:v>No incident</x:v>
      </x:c>
      <x:c r="R514" t="str">
        <x:v>N/A</x:v>
      </x:c>
      <x:c r="S514" t="str">
        <x:v>Inspection</x:v>
      </x:c>
      <x:c r="T514" t="n">
        <x:v>0.85</x:v>
      </x:c>
      <x:c r="U514" t="n">
        <x:v>13.3</x:v>
      </x:c>
    </x:row>
    <x:row r="515">
      <x:c r="A515" s="12" t="n">
        <x:v>46198</x:v>
      </x:c>
      <x:c r="B515" t="str">
        <x:v>A</x:v>
      </x:c>
      <x:c r="C515" t="str">
        <x:v>Dried Mango</x:v>
      </x:c>
      <x:c r="D515" t="str">
        <x:v>Dryer 1</x:v>
      </x:c>
      <x:c r="E515" t="str">
        <x:v>Sup 2</x:v>
      </x:c>
      <x:c r="F515" t="n">
        <x:v>480</x:v>
      </x:c>
      <x:c r="G515" t="n">
        <x:v>0</x:v>
      </x:c>
      <x:c r="H515" t="n">
        <x:v>58</x:v>
      </x:c>
      <x:c r="I515" t="n">
        <x:v>1540</x:v>
      </x:c>
      <x:c r="J515" t="n">
        <x:v>1258</x:v>
      </x:c>
      <x:c r="K515" t="n">
        <x:v>41</x:v>
      </x:c>
      <x:c r="L515" t="n">
        <x:v>20</x:v>
      </x:c>
      <x:c r="M515" t="n">
        <x:v>95.5</x:v>
      </x:c>
      <x:c r="N515" t="n">
        <x:v>78.8</x:v>
      </x:c>
      <x:c r="O515" t="n">
        <x:v>68.2</x:v>
      </x:c>
      <x:c r="P515" t="n">
        <x:v>7</x:v>
      </x:c>
      <x:c r="Q515" t="str">
        <x:v>No incident</x:v>
      </x:c>
      <x:c r="R515" t="str">
        <x:v>N/A</x:v>
      </x:c>
      <x:c r="S515" t="str">
        <x:v>Corrective</x:v>
      </x:c>
      <x:c r="T515" t="n">
        <x:v>0.92</x:v>
      </x:c>
      <x:c r="U515" t="n">
        <x:v>11.4</x:v>
      </x:c>
    </x:row>
    <x:row r="516">
      <x:c r="A516" s="12" t="n">
        <x:v>46198</x:v>
      </x:c>
      <x:c r="B516" t="str">
        <x:v>B</x:v>
      </x:c>
      <x:c r="C516" t="str">
        <x:v>Desiccated Coconut</x:v>
      </x:c>
      <x:c r="D516" t="str">
        <x:v>Dryer 1</x:v>
      </x:c>
      <x:c r="E516" t="str">
        <x:v>Sup 1</x:v>
      </x:c>
      <x:c r="F516" t="n">
        <x:v>420</x:v>
      </x:c>
      <x:c r="G516" t="n">
        <x:v>30</x:v>
      </x:c>
      <x:c r="H516" t="n">
        <x:v>34</x:v>
      </x:c>
      <x:c r="I516" t="n">
        <x:v>1239</x:v>
      </x:c>
      <x:c r="J516" t="n">
        <x:v>1065</x:v>
      </x:c>
      <x:c r="K516" t="n">
        <x:v>38</x:v>
      </x:c>
      <x:c r="L516" t="n">
        <x:v>9</x:v>
      </x:c>
      <x:c r="M516" t="n">
        <x:v>86.2</x:v>
      </x:c>
      <x:c r="N516" t="n">
        <x:v>76.7</x:v>
      </x:c>
      <x:c r="O516" t="n">
        <x:v>73.9</x:v>
      </x:c>
      <x:c r="P516" t="n">
        <x:v>1</x:v>
      </x:c>
      <x:c r="Q516" t="str">
        <x:v>No incident</x:v>
      </x:c>
      <x:c r="R516" t="str">
        <x:v>N/A</x:v>
      </x:c>
      <x:c r="S516" t="str">
        <x:v>Inspection</x:v>
      </x:c>
      <x:c r="T516" t="n">
        <x:v>1.11</x:v>
      </x:c>
      <x:c r="U516" t="n">
        <x:v>9</x:v>
      </x:c>
    </x:row>
    <x:row r="517">
      <x:c r="A517" s="12" t="n">
        <x:v>46198</x:v>
      </x:c>
      <x:c r="B517" t="str">
        <x:v>C</x:v>
      </x:c>
      <x:c r="C517" t="str">
        <x:v>Dried Mango</x:v>
      </x:c>
      <x:c r="D517" t="str">
        <x:v>Dryer 2</x:v>
      </x:c>
      <x:c r="E517" t="str">
        <x:v>Sup 3</x:v>
      </x:c>
      <x:c r="F517" t="n">
        <x:v>480</x:v>
      </x:c>
      <x:c r="G517" t="n">
        <x:v>40</x:v>
      </x:c>
      <x:c r="H517" t="n">
        <x:v>35</x:v>
      </x:c>
      <x:c r="I517" t="n">
        <x:v>1725</x:v>
      </x:c>
      <x:c r="J517" t="n">
        <x:v>1599</x:v>
      </x:c>
      <x:c r="K517" t="n">
        <x:v>45</x:v>
      </x:c>
      <x:c r="L517" t="n">
        <x:v>27</x:v>
      </x:c>
      <x:c r="M517" t="n">
        <x:v>88.9</x:v>
      </x:c>
      <x:c r="N517" t="n">
        <x:v>71.4</x:v>
      </x:c>
      <x:c r="O517" t="n">
        <x:v>80.2</x:v>
      </x:c>
      <x:c r="P517" t="n">
        <x:v>1</x:v>
      </x:c>
      <x:c r="Q517" t="str">
        <x:v>Near miss</x:v>
      </x:c>
      <x:c r="R517" t="str">
        <x:v>Closed</x:v>
      </x:c>
      <x:c r="S517" t="str">
        <x:v>Preventive</x:v>
      </x:c>
      <x:c r="T517" t="n">
        <x:v>0.79</x:v>
      </x:c>
      <x:c r="U517" t="n">
        <x:v>12.6</x:v>
      </x:c>
    </x:row>
    <x:row r="518">
      <x:c r="A518" s="12" t="n">
        <x:v>46199</x:v>
      </x:c>
      <x:c r="B518" t="str">
        <x:v>A</x:v>
      </x:c>
      <x:c r="C518" t="str">
        <x:v>Dried Pineapple</x:v>
      </x:c>
      <x:c r="D518" t="str">
        <x:v>Dryer 4</x:v>
      </x:c>
      <x:c r="E518" t="str">
        <x:v>Sup 2</x:v>
      </x:c>
      <x:c r="F518" t="n">
        <x:v>450</x:v>
      </x:c>
      <x:c r="G518" t="n">
        <x:v>0</x:v>
      </x:c>
      <x:c r="H518" t="n">
        <x:v>64</x:v>
      </x:c>
      <x:c r="I518" t="n">
        <x:v>1787</x:v>
      </x:c>
      <x:c r="J518" t="n">
        <x:v>1367</x:v>
      </x:c>
      <x:c r="K518" t="n">
        <x:v>48</x:v>
      </x:c>
      <x:c r="L518" t="n">
        <x:v>26</x:v>
      </x:c>
      <x:c r="M518" t="n">
        <x:v>83.2</x:v>
      </x:c>
      <x:c r="N518" t="n">
        <x:v>86.5</x:v>
      </x:c>
      <x:c r="O518" t="n">
        <x:v>78.4</x:v>
      </x:c>
      <x:c r="P518" t="n">
        <x:v>4</x:v>
      </x:c>
      <x:c r="Q518" t="str">
        <x:v>No incident</x:v>
      </x:c>
      <x:c r="R518" t="str">
        <x:v>N/A</x:v>
      </x:c>
      <x:c r="S518" t="str">
        <x:v>Corrective</x:v>
      </x:c>
      <x:c r="T518" t="n">
        <x:v>1.19</x:v>
      </x:c>
      <x:c r="U518" t="n">
        <x:v>12.1</x:v>
      </x:c>
    </x:row>
    <x:row r="519">
      <x:c r="A519" s="12" t="n">
        <x:v>46199</x:v>
      </x:c>
      <x:c r="B519" t="str">
        <x:v>B</x:v>
      </x:c>
      <x:c r="C519" t="str">
        <x:v>Desiccated Coconut</x:v>
      </x:c>
      <x:c r="D519" t="str">
        <x:v>Dryer 4</x:v>
      </x:c>
      <x:c r="E519" t="str">
        <x:v>Sup 1</x:v>
      </x:c>
      <x:c r="F519" t="n">
        <x:v>480</x:v>
      </x:c>
      <x:c r="G519" t="n">
        <x:v>30</x:v>
      </x:c>
      <x:c r="H519" t="n">
        <x:v>38</x:v>
      </x:c>
      <x:c r="I519" t="n">
        <x:v>1148</x:v>
      </x:c>
      <x:c r="J519" t="n">
        <x:v>1039</x:v>
      </x:c>
      <x:c r="K519" t="n">
        <x:v>24</x:v>
      </x:c>
      <x:c r="L519" t="n">
        <x:v>8</x:v>
      </x:c>
      <x:c r="M519" t="n">
        <x:v>90.1</x:v>
      </x:c>
      <x:c r="N519" t="n">
        <x:v>82.1</x:v>
      </x:c>
      <x:c r="O519" t="n">
        <x:v>68</x:v>
      </x:c>
      <x:c r="P519" t="n">
        <x:v>6</x:v>
      </x:c>
      <x:c r="Q519" t="str">
        <x:v>No incident</x:v>
      </x:c>
      <x:c r="R519" t="str">
        <x:v>N/A</x:v>
      </x:c>
      <x:c r="S519" t="str">
        <x:v>Preventive</x:v>
      </x:c>
      <x:c r="T519" t="n">
        <x:v>1.14</x:v>
      </x:c>
      <x:c r="U519" t="n">
        <x:v>8.5</x:v>
      </x:c>
    </x:row>
    <x:row r="520">
      <x:c r="A520" s="12" t="n">
        <x:v>46199</x:v>
      </x:c>
      <x:c r="B520" t="str">
        <x:v>C</x:v>
      </x:c>
      <x:c r="C520" t="str">
        <x:v>Dried Pineapple</x:v>
      </x:c>
      <x:c r="D520" t="str">
        <x:v>Dryer 4</x:v>
      </x:c>
      <x:c r="E520" t="str">
        <x:v>Sup 1</x:v>
      </x:c>
      <x:c r="F520" t="n">
        <x:v>480</x:v>
      </x:c>
      <x:c r="G520" t="n">
        <x:v>20</x:v>
      </x:c>
      <x:c r="H520" t="n">
        <x:v>55</x:v>
      </x:c>
      <x:c r="I520" t="n">
        <x:v>1833</x:v>
      </x:c>
      <x:c r="J520" t="n">
        <x:v>1542</x:v>
      </x:c>
      <x:c r="K520" t="n">
        <x:v>51</x:v>
      </x:c>
      <x:c r="L520" t="n">
        <x:v>33</x:v>
      </x:c>
      <x:c r="M520" t="n">
        <x:v>93</x:v>
      </x:c>
      <x:c r="N520" t="n">
        <x:v>79.2</x:v>
      </x:c>
      <x:c r="O520" t="n">
        <x:v>73.8</x:v>
      </x:c>
      <x:c r="P520" t="n">
        <x:v>3</x:v>
      </x:c>
      <x:c r="Q520" t="str">
        <x:v>First aid</x:v>
      </x:c>
      <x:c r="R520" t="str">
        <x:v>In progress</x:v>
      </x:c>
      <x:c r="S520" t="str">
        <x:v>Corrective</x:v>
      </x:c>
      <x:c r="T520" t="n">
        <x:v>1.8</x:v>
      </x:c>
      <x:c r="U520" t="n">
        <x:v>12.1</x:v>
      </x:c>
    </x:row>
    <x:row r="521">
      <x:c r="A521" s="12" t="n">
        <x:v>46200</x:v>
      </x:c>
      <x:c r="B521" t="str">
        <x:v>A</x:v>
      </x:c>
      <x:c r="C521" t="str">
        <x:v>Dried Mango</x:v>
      </x:c>
      <x:c r="D521" t="str">
        <x:v>Dryer 1</x:v>
      </x:c>
      <x:c r="E521" t="str">
        <x:v>Sup 1</x:v>
      </x:c>
      <x:c r="F521" t="n">
        <x:v>420</x:v>
      </x:c>
      <x:c r="G521" t="n">
        <x:v>40</x:v>
      </x:c>
      <x:c r="H521" t="n">
        <x:v>52</x:v>
      </x:c>
      <x:c r="I521" t="n">
        <x:v>1543</x:v>
      </x:c>
      <x:c r="J521" t="n">
        <x:v>1286</x:v>
      </x:c>
      <x:c r="K521" t="n">
        <x:v>55</x:v>
      </x:c>
      <x:c r="L521" t="n">
        <x:v>31</x:v>
      </x:c>
      <x:c r="M521" t="n">
        <x:v>87.2</x:v>
      </x:c>
      <x:c r="N521" t="n">
        <x:v>71.2</x:v>
      </x:c>
      <x:c r="O521" t="n">
        <x:v>71.8</x:v>
      </x:c>
      <x:c r="P521" t="n">
        <x:v>6</x:v>
      </x:c>
      <x:c r="Q521" t="str">
        <x:v>No incident</x:v>
      </x:c>
      <x:c r="R521" t="str">
        <x:v>N/A</x:v>
      </x:c>
      <x:c r="S521" t="str">
        <x:v>Inspection</x:v>
      </x:c>
      <x:c r="T521" t="n">
        <x:v>0.55</x:v>
      </x:c>
      <x:c r="U521" t="n">
        <x:v>9.8</x:v>
      </x:c>
    </x:row>
    <x:row r="522">
      <x:c r="A522" s="12" t="n">
        <x:v>46200</x:v>
      </x:c>
      <x:c r="B522" t="str">
        <x:v>B</x:v>
      </x:c>
      <x:c r="C522" t="str">
        <x:v>Dried Mango</x:v>
      </x:c>
      <x:c r="D522" t="str">
        <x:v>Dryer 3</x:v>
      </x:c>
      <x:c r="E522" t="str">
        <x:v>Sup 2</x:v>
      </x:c>
      <x:c r="F522" t="n">
        <x:v>480</x:v>
      </x:c>
      <x:c r="G522" t="n">
        <x:v>40</x:v>
      </x:c>
      <x:c r="H522" t="n">
        <x:v>36</x:v>
      </x:c>
      <x:c r="I522" t="n">
        <x:v>1581</x:v>
      </x:c>
      <x:c r="J522" t="n">
        <x:v>1378</x:v>
      </x:c>
      <x:c r="K522" t="n">
        <x:v>55</x:v>
      </x:c>
      <x:c r="L522" t="n">
        <x:v>26</x:v>
      </x:c>
      <x:c r="M522" t="n">
        <x:v>98.8</x:v>
      </x:c>
      <x:c r="N522" t="n">
        <x:v>84.7</x:v>
      </x:c>
      <x:c r="O522" t="n">
        <x:v>83.5</x:v>
      </x:c>
      <x:c r="P522" t="n">
        <x:v>4</x:v>
      </x:c>
      <x:c r="Q522" t="str">
        <x:v>No incident</x:v>
      </x:c>
      <x:c r="R522" t="str">
        <x:v>N/A</x:v>
      </x:c>
      <x:c r="S522" t="str">
        <x:v>Corrective</x:v>
      </x:c>
      <x:c r="T522" t="n">
        <x:v>2.02</x:v>
      </x:c>
      <x:c r="U522" t="n">
        <x:v>12.6</x:v>
      </x:c>
    </x:row>
    <x:row r="523">
      <x:c r="A523" s="12" t="n">
        <x:v>46200</x:v>
      </x:c>
      <x:c r="B523" t="str">
        <x:v>C</x:v>
      </x:c>
      <x:c r="C523" t="str">
        <x:v>Dried Mango</x:v>
      </x:c>
      <x:c r="D523" t="str">
        <x:v>Dryer 3</x:v>
      </x:c>
      <x:c r="E523" t="str">
        <x:v>Sup 3</x:v>
      </x:c>
      <x:c r="F523" t="n">
        <x:v>450</x:v>
      </x:c>
      <x:c r="G523" t="n">
        <x:v>30</x:v>
      </x:c>
      <x:c r="H523" t="n">
        <x:v>73</x:v>
      </x:c>
      <x:c r="I523" t="n">
        <x:v>1774</x:v>
      </x:c>
      <x:c r="J523" t="n">
        <x:v>1520</x:v>
      </x:c>
      <x:c r="K523" t="n">
        <x:v>75</x:v>
      </x:c>
      <x:c r="L523" t="n">
        <x:v>33</x:v>
      </x:c>
      <x:c r="M523" t="n">
        <x:v>80.1</x:v>
      </x:c>
      <x:c r="N523" t="n">
        <x:v>75.7</x:v>
      </x:c>
      <x:c r="O523" t="n">
        <x:v>72.4</x:v>
      </x:c>
      <x:c r="P523" t="n">
        <x:v>3</x:v>
      </x:c>
      <x:c r="Q523" t="str">
        <x:v>Near miss</x:v>
      </x:c>
      <x:c r="R523" t="str">
        <x:v>In progress</x:v>
      </x:c>
      <x:c r="S523" t="str">
        <x:v>Corrective</x:v>
      </x:c>
      <x:c r="T523" t="n">
        <x:v>1.24</x:v>
      </x:c>
      <x:c r="U523" t="n">
        <x:v>12.3</x:v>
      </x:c>
    </x:row>
    <x:row r="524">
      <x:c r="A524" s="12" t="n">
        <x:v>46201</x:v>
      </x:c>
      <x:c r="B524" t="str">
        <x:v>A</x:v>
      </x:c>
      <x:c r="C524" t="str">
        <x:v>Dried Pineapple</x:v>
      </x:c>
      <x:c r="D524" t="str">
        <x:v>Dryer 4</x:v>
      </x:c>
      <x:c r="E524" t="str">
        <x:v>Sup 3</x:v>
      </x:c>
      <x:c r="F524" t="n">
        <x:v>420</x:v>
      </x:c>
      <x:c r="G524" t="n">
        <x:v>0</x:v>
      </x:c>
      <x:c r="H524" t="n">
        <x:v>74</x:v>
      </x:c>
      <x:c r="I524" t="n">
        <x:v>1694</x:v>
      </x:c>
      <x:c r="J524" t="n">
        <x:v>1296</x:v>
      </x:c>
      <x:c r="K524" t="n">
        <x:v>30</x:v>
      </x:c>
      <x:c r="L524" t="n">
        <x:v>20</x:v>
      </x:c>
      <x:c r="M524" t="n">
        <x:v>85.9</x:v>
      </x:c>
      <x:c r="N524" t="n">
        <x:v>84.2</x:v>
      </x:c>
      <x:c r="O524" t="n">
        <x:v>78.6</x:v>
      </x:c>
      <x:c r="P524" t="n">
        <x:v>1</x:v>
      </x:c>
      <x:c r="Q524" t="str">
        <x:v>No incident</x:v>
      </x:c>
      <x:c r="R524" t="str">
        <x:v>N/A</x:v>
      </x:c>
      <x:c r="S524" t="str">
        <x:v>Preventive</x:v>
      </x:c>
      <x:c r="T524" t="n">
        <x:v>0.65</x:v>
      </x:c>
      <x:c r="U524" t="n">
        <x:v>11.7</x:v>
      </x:c>
    </x:row>
    <x:row r="525">
      <x:c r="A525" s="12" t="n">
        <x:v>46201</x:v>
      </x:c>
      <x:c r="B525" t="str">
        <x:v>B</x:v>
      </x:c>
      <x:c r="C525" t="str">
        <x:v>Dried Mango</x:v>
      </x:c>
      <x:c r="D525" t="str">
        <x:v>Dryer 4</x:v>
      </x:c>
      <x:c r="E525" t="str">
        <x:v>Sup 3</x:v>
      </x:c>
      <x:c r="F525" t="n">
        <x:v>420</x:v>
      </x:c>
      <x:c r="G525" t="n">
        <x:v>30</x:v>
      </x:c>
      <x:c r="H525" t="n">
        <x:v>44</x:v>
      </x:c>
      <x:c r="I525" t="n">
        <x:v>1720</x:v>
      </x:c>
      <x:c r="J525" t="n">
        <x:v>1525</x:v>
      </x:c>
      <x:c r="K525" t="n">
        <x:v>65</x:v>
      </x:c>
      <x:c r="L525" t="n">
        <x:v>35</x:v>
      </x:c>
      <x:c r="M525" t="n">
        <x:v>92.5</x:v>
      </x:c>
      <x:c r="N525" t="n">
        <x:v>78.8</x:v>
      </x:c>
      <x:c r="O525" t="n">
        <x:v>79.3</x:v>
      </x:c>
      <x:c r="P525" t="n">
        <x:v>4</x:v>
      </x:c>
      <x:c r="Q525" t="str">
        <x:v>No incident</x:v>
      </x:c>
      <x:c r="R525" t="str">
        <x:v>N/A</x:v>
      </x:c>
      <x:c r="S525" t="str">
        <x:v>Inspection</x:v>
      </x:c>
      <x:c r="T525" t="n">
        <x:v>1</x:v>
      </x:c>
      <x:c r="U525" t="n">
        <x:v>13.4</x:v>
      </x:c>
    </x:row>
    <x:row r="526">
      <x:c r="A526" s="12" t="n">
        <x:v>46201</x:v>
      </x:c>
      <x:c r="B526" t="str">
        <x:v>C</x:v>
      </x:c>
      <x:c r="C526" t="str">
        <x:v>Dried Mango</x:v>
      </x:c>
      <x:c r="D526" t="str">
        <x:v>Dryer 2</x:v>
      </x:c>
      <x:c r="E526" t="str">
        <x:v>Sup 1</x:v>
      </x:c>
      <x:c r="F526" t="n">
        <x:v>450</x:v>
      </x:c>
      <x:c r="G526" t="n">
        <x:v>40</x:v>
      </x:c>
      <x:c r="H526" t="n">
        <x:v>55</x:v>
      </x:c>
      <x:c r="I526" t="n">
        <x:v>1653</x:v>
      </x:c>
      <x:c r="J526" t="n">
        <x:v>1432</x:v>
      </x:c>
      <x:c r="K526" t="n">
        <x:v>43</x:v>
      </x:c>
      <x:c r="L526" t="n">
        <x:v>22</x:v>
      </x:c>
      <x:c r="M526" t="n">
        <x:v>97.8</x:v>
      </x:c>
      <x:c r="N526" t="n">
        <x:v>89.6</x:v>
      </x:c>
      <x:c r="O526" t="n">
        <x:v>78.1</x:v>
      </x:c>
      <x:c r="P526" t="n">
        <x:v>4</x:v>
      </x:c>
      <x:c r="Q526" t="str">
        <x:v>First aid</x:v>
      </x:c>
      <x:c r="R526" t="str">
        <x:v>In progress</x:v>
      </x:c>
      <x:c r="S526" t="str">
        <x:v>Corrective</x:v>
      </x:c>
      <x:c r="T526" t="n">
        <x:v>1.03</x:v>
      </x:c>
      <x:c r="U526" t="n">
        <x:v>10.9</x:v>
      </x:c>
    </x:row>
    <x:row r="527">
      <x:c r="A527" s="12" t="n">
        <x:v>46202</x:v>
      </x:c>
      <x:c r="B527" t="str">
        <x:v>A</x:v>
      </x:c>
      <x:c r="C527" t="str">
        <x:v>Dried Pineapple</x:v>
      </x:c>
      <x:c r="D527" t="str">
        <x:v>Dryer 3</x:v>
      </x:c>
      <x:c r="E527" t="str">
        <x:v>Sup 3</x:v>
      </x:c>
      <x:c r="F527" t="n">
        <x:v>450</x:v>
      </x:c>
      <x:c r="G527" t="n">
        <x:v>40</x:v>
      </x:c>
      <x:c r="H527" t="n">
        <x:v>77</x:v>
      </x:c>
      <x:c r="I527" t="n">
        <x:v>1801</x:v>
      </x:c>
      <x:c r="J527" t="n">
        <x:v>1463</x:v>
      </x:c>
      <x:c r="K527" t="n">
        <x:v>73</x:v>
      </x:c>
      <x:c r="L527" t="n">
        <x:v>24</x:v>
      </x:c>
      <x:c r="M527" t="n">
        <x:v>82</x:v>
      </x:c>
      <x:c r="N527" t="n">
        <x:v>82.8</x:v>
      </x:c>
      <x:c r="O527" t="n">
        <x:v>76.6</x:v>
      </x:c>
      <x:c r="P527" t="n">
        <x:v>4</x:v>
      </x:c>
      <x:c r="Q527" t="str">
        <x:v>No incident</x:v>
      </x:c>
      <x:c r="R527" t="str">
        <x:v>N/A</x:v>
      </x:c>
      <x:c r="S527" t="str">
        <x:v>Preventive</x:v>
      </x:c>
      <x:c r="T527" t="n">
        <x:v>0.76</x:v>
      </x:c>
      <x:c r="U527" t="n">
        <x:v>11.8</x:v>
      </x:c>
    </x:row>
    <x:row r="528">
      <x:c r="A528" s="12" t="n">
        <x:v>46202</x:v>
      </x:c>
      <x:c r="B528" t="str">
        <x:v>B</x:v>
      </x:c>
      <x:c r="C528" t="str">
        <x:v>Desiccated Coconut</x:v>
      </x:c>
      <x:c r="D528" t="str">
        <x:v>Dryer 4</x:v>
      </x:c>
      <x:c r="E528" t="str">
        <x:v>Sup 3</x:v>
      </x:c>
      <x:c r="F528" t="n">
        <x:v>480</x:v>
      </x:c>
      <x:c r="G528" t="n">
        <x:v>40</x:v>
      </x:c>
      <x:c r="H528" t="n">
        <x:v>45</x:v>
      </x:c>
      <x:c r="I528" t="n">
        <x:v>1109</x:v>
      </x:c>
      <x:c r="J528" t="n">
        <x:v>947</x:v>
      </x:c>
      <x:c r="K528" t="n">
        <x:v>32</x:v>
      </x:c>
      <x:c r="L528" t="n">
        <x:v>21</x:v>
      </x:c>
      <x:c r="M528" t="n">
        <x:v>93</x:v>
      </x:c>
      <x:c r="N528" t="n">
        <x:v>82</x:v>
      </x:c>
      <x:c r="O528" t="n">
        <x:v>81.6</x:v>
      </x:c>
      <x:c r="P528" t="n">
        <x:v>4</x:v>
      </x:c>
      <x:c r="Q528" t="str">
        <x:v>No incident</x:v>
      </x:c>
      <x:c r="R528" t="str">
        <x:v>N/A</x:v>
      </x:c>
      <x:c r="S528" t="str">
        <x:v>Inspection</x:v>
      </x:c>
      <x:c r="T528" t="n">
        <x:v>0.53</x:v>
      </x:c>
      <x:c r="U528" t="n">
        <x:v>7.4</x:v>
      </x:c>
    </x:row>
    <x:row r="529">
      <x:c r="A529" s="12" t="n">
        <x:v>46202</x:v>
      </x:c>
      <x:c r="B529" t="str">
        <x:v>C</x:v>
      </x:c>
      <x:c r="C529" t="str">
        <x:v>Dried Pineapple</x:v>
      </x:c>
      <x:c r="D529" t="str">
        <x:v>Dryer 3</x:v>
      </x:c>
      <x:c r="E529" t="str">
        <x:v>Sup 3</x:v>
      </x:c>
      <x:c r="F529" t="n">
        <x:v>480</x:v>
      </x:c>
      <x:c r="G529" t="n">
        <x:v>30</x:v>
      </x:c>
      <x:c r="H529" t="n">
        <x:v>64</x:v>
      </x:c>
      <x:c r="I529" t="n">
        <x:v>1647</x:v>
      </x:c>
      <x:c r="J529" t="n">
        <x:v>1439</x:v>
      </x:c>
      <x:c r="K529" t="n">
        <x:v>75</x:v>
      </x:c>
      <x:c r="L529" t="n">
        <x:v>36</x:v>
      </x:c>
      <x:c r="M529" t="n">
        <x:v>87</x:v>
      </x:c>
      <x:c r="N529" t="n">
        <x:v>70.2</x:v>
      </x:c>
      <x:c r="O529" t="n">
        <x:v>77.4</x:v>
      </x:c>
      <x:c r="P529" t="n">
        <x:v>4</x:v>
      </x:c>
      <x:c r="Q529" t="str">
        <x:v>Near miss</x:v>
      </x:c>
      <x:c r="R529" t="str">
        <x:v>Open</x:v>
      </x:c>
      <x:c r="S529" t="str">
        <x:v>Preventive</x:v>
      </x:c>
      <x:c r="T529" t="n">
        <x:v>0.63</x:v>
      </x:c>
      <x:c r="U529" t="n">
        <x:v>12.1</x:v>
      </x:c>
    </x:row>
    <x:row r="530">
      <x:c r="A530" s="12" t="n">
        <x:v>46203</x:v>
      </x:c>
      <x:c r="B530" t="str">
        <x:v>A</x:v>
      </x:c>
      <x:c r="C530" t="str">
        <x:v>Dried Pineapple</x:v>
      </x:c>
      <x:c r="D530" t="str">
        <x:v>Dryer 2</x:v>
      </x:c>
      <x:c r="E530" t="str">
        <x:v>Sup 3</x:v>
      </x:c>
      <x:c r="F530" t="n">
        <x:v>450</x:v>
      </x:c>
      <x:c r="G530" t="n">
        <x:v>0</x:v>
      </x:c>
      <x:c r="H530" t="n">
        <x:v>33</x:v>
      </x:c>
      <x:c r="I530" t="n">
        <x:v>1621</x:v>
      </x:c>
      <x:c r="J530" t="n">
        <x:v>1513</x:v>
      </x:c>
      <x:c r="K530" t="n">
        <x:v>43</x:v>
      </x:c>
      <x:c r="L530" t="n">
        <x:v>13</x:v>
      </x:c>
      <x:c r="M530" t="n">
        <x:v>85.8</x:v>
      </x:c>
      <x:c r="N530" t="n">
        <x:v>78.8</x:v>
      </x:c>
      <x:c r="O530" t="n">
        <x:v>76.1</x:v>
      </x:c>
      <x:c r="P530" t="n">
        <x:v>4</x:v>
      </x:c>
      <x:c r="Q530" t="str">
        <x:v>No incident</x:v>
      </x:c>
      <x:c r="R530" t="str">
        <x:v>N/A</x:v>
      </x:c>
      <x:c r="S530" t="str">
        <x:v>Corrective</x:v>
      </x:c>
      <x:c r="T530" t="n">
        <x:v>1.24</x:v>
      </x:c>
      <x:c r="U530" t="n">
        <x:v>12.3</x:v>
      </x:c>
    </x:row>
    <x:row r="531">
      <x:c r="A531" s="12" t="n">
        <x:v>46203</x:v>
      </x:c>
      <x:c r="B531" t="str">
        <x:v>B</x:v>
      </x:c>
      <x:c r="C531" t="str">
        <x:v>Dried Pineapple</x:v>
      </x:c>
      <x:c r="D531" t="str">
        <x:v>Dryer 2</x:v>
      </x:c>
      <x:c r="E531" t="str">
        <x:v>Sup 2</x:v>
      </x:c>
      <x:c r="F531" t="n">
        <x:v>450</x:v>
      </x:c>
      <x:c r="G531" t="n">
        <x:v>0</x:v>
      </x:c>
      <x:c r="H531" t="n">
        <x:v>37</x:v>
      </x:c>
      <x:c r="I531" t="n">
        <x:v>1723</x:v>
      </x:c>
      <x:c r="J531" t="n">
        <x:v>1641</x:v>
      </x:c>
      <x:c r="K531" t="n">
        <x:v>61</x:v>
      </x:c>
      <x:c r="L531" t="n">
        <x:v>17</x:v>
      </x:c>
      <x:c r="M531" t="n">
        <x:v>97.8</x:v>
      </x:c>
      <x:c r="N531" t="n">
        <x:v>82.2</x:v>
      </x:c>
      <x:c r="O531" t="n">
        <x:v>76.2</x:v>
      </x:c>
      <x:c r="P531" t="n">
        <x:v>7</x:v>
      </x:c>
      <x:c r="Q531" t="str">
        <x:v>No incident</x:v>
      </x:c>
      <x:c r="R531" t="str">
        <x:v>N/A</x:v>
      </x:c>
      <x:c r="S531" t="str">
        <x:v>Preventive</x:v>
      </x:c>
      <x:c r="T531" t="n">
        <x:v>0.61</x:v>
      </x:c>
      <x:c r="U531" t="n">
        <x:v>13.2</x:v>
      </x:c>
    </x:row>
    <x:row r="532">
      <x:c r="A532" s="12" t="n">
        <x:v>46203</x:v>
      </x:c>
      <x:c r="B532" t="str">
        <x:v>C</x:v>
      </x:c>
      <x:c r="C532" t="str">
        <x:v>Dried Pineapple</x:v>
      </x:c>
      <x:c r="D532" t="str">
        <x:v>Dryer 3</x:v>
      </x:c>
      <x:c r="E532" t="str">
        <x:v>Sup 3</x:v>
      </x:c>
      <x:c r="F532" t="n">
        <x:v>420</x:v>
      </x:c>
      <x:c r="G532" t="n">
        <x:v>20</x:v>
      </x:c>
      <x:c r="H532" t="n">
        <x:v>86</x:v>
      </x:c>
      <x:c r="I532" t="n">
        <x:v>1746</x:v>
      </x:c>
      <x:c r="J532" t="n">
        <x:v>1251</x:v>
      </x:c>
      <x:c r="K532" t="n">
        <x:v>44</x:v>
      </x:c>
      <x:c r="L532" t="n">
        <x:v>19</x:v>
      </x:c>
      <x:c r="M532" t="n">
        <x:v>80.6</x:v>
      </x:c>
      <x:c r="N532" t="n">
        <x:v>78.3</x:v>
      </x:c>
      <x:c r="O532" t="n">
        <x:v>81.8</x:v>
      </x:c>
      <x:c r="P532" t="n">
        <x:v>4</x:v>
      </x:c>
      <x:c r="Q532" t="str">
        <x:v>No incident</x:v>
      </x:c>
      <x:c r="R532" t="str">
        <x:v>N/A</x:v>
      </x:c>
      <x:c r="S532" t="str">
        <x:v>Preventive</x:v>
      </x:c>
      <x:c r="T532" t="n">
        <x:v>0.96</x:v>
      </x:c>
      <x:c r="U532" t="n">
        <x:v>11.1</x:v>
      </x:c>
    </x:row>
    <x:row r="533">
      <x:c r="A533" s="12" t="n">
        <x:v>46204</x:v>
      </x:c>
      <x:c r="B533" t="str">
        <x:v>A</x:v>
      </x:c>
      <x:c r="C533" t="str">
        <x:v>Dried Pineapple</x:v>
      </x:c>
      <x:c r="D533" t="str">
        <x:v>Dryer 2</x:v>
      </x:c>
      <x:c r="E533" t="str">
        <x:v>Sup 1</x:v>
      </x:c>
      <x:c r="F533" t="n">
        <x:v>420</x:v>
      </x:c>
      <x:c r="G533" t="n">
        <x:v>30</x:v>
      </x:c>
      <x:c r="H533" t="n">
        <x:v>44</x:v>
      </x:c>
      <x:c r="I533" t="n">
        <x:v>1813</x:v>
      </x:c>
      <x:c r="J533" t="n">
        <x:v>1450</x:v>
      </x:c>
      <x:c r="K533" t="n">
        <x:v>40</x:v>
      </x:c>
      <x:c r="L533" t="n">
        <x:v>25</x:v>
      </x:c>
      <x:c r="M533" t="n">
        <x:v>85.5</x:v>
      </x:c>
      <x:c r="N533" t="n">
        <x:v>85.3</x:v>
      </x:c>
      <x:c r="O533" t="n">
        <x:v>71.6</x:v>
      </x:c>
      <x:c r="P533" t="n">
        <x:v>5</x:v>
      </x:c>
      <x:c r="Q533" t="str">
        <x:v>No incident</x:v>
      </x:c>
      <x:c r="R533" t="str">
        <x:v>N/A</x:v>
      </x:c>
      <x:c r="S533" t="str">
        <x:v>Preventive</x:v>
      </x:c>
      <x:c r="T533" t="n">
        <x:v>0.56</x:v>
      </x:c>
      <x:c r="U533" t="n">
        <x:v>12.3</x:v>
      </x:c>
    </x:row>
    <x:row r="534">
      <x:c r="A534" s="12" t="n">
        <x:v>46204</x:v>
      </x:c>
      <x:c r="B534" t="str">
        <x:v>B</x:v>
      </x:c>
      <x:c r="C534" t="str">
        <x:v>Dried Mango</x:v>
      </x:c>
      <x:c r="D534" t="str">
        <x:v>Dryer 4</x:v>
      </x:c>
      <x:c r="E534" t="str">
        <x:v>Sup 2</x:v>
      </x:c>
      <x:c r="F534" t="n">
        <x:v>480</x:v>
      </x:c>
      <x:c r="G534" t="n">
        <x:v>0</x:v>
      </x:c>
      <x:c r="H534" t="n">
        <x:v>26</x:v>
      </x:c>
      <x:c r="I534" t="n">
        <x:v>1597</x:v>
      </x:c>
      <x:c r="J534" t="n">
        <x:v>1530</x:v>
      </x:c>
      <x:c r="K534" t="n">
        <x:v>55</x:v>
      </x:c>
      <x:c r="L534" t="n">
        <x:v>32</x:v>
      </x:c>
      <x:c r="M534" t="n">
        <x:v>96.7</x:v>
      </x:c>
      <x:c r="N534" t="n">
        <x:v>75.7</x:v>
      </x:c>
      <x:c r="O534" t="n">
        <x:v>76.2</x:v>
      </x:c>
      <x:c r="P534" t="n">
        <x:v>5</x:v>
      </x:c>
      <x:c r="Q534" t="str">
        <x:v>No incident</x:v>
      </x:c>
      <x:c r="R534" t="str">
        <x:v>N/A</x:v>
      </x:c>
      <x:c r="S534" t="str">
        <x:v>Preventive</x:v>
      </x:c>
      <x:c r="T534" t="n">
        <x:v>0.88</x:v>
      </x:c>
      <x:c r="U534" t="n">
        <x:v>13.1</x:v>
      </x:c>
    </x:row>
    <x:row r="535">
      <x:c r="A535" s="12" t="n">
        <x:v>46204</x:v>
      </x:c>
      <x:c r="B535" t="str">
        <x:v>C</x:v>
      </x:c>
      <x:c r="C535" t="str">
        <x:v>Dried Pineapple</x:v>
      </x:c>
      <x:c r="D535" t="str">
        <x:v>Dryer 3</x:v>
      </x:c>
      <x:c r="E535" t="str">
        <x:v>Sup 1</x:v>
      </x:c>
      <x:c r="F535" t="n">
        <x:v>480</x:v>
      </x:c>
      <x:c r="G535" t="n">
        <x:v>30</x:v>
      </x:c>
      <x:c r="H535" t="n">
        <x:v>66</x:v>
      </x:c>
      <x:c r="I535" t="n">
        <x:v>1788</x:v>
      </x:c>
      <x:c r="J535" t="n">
        <x:v>1570</x:v>
      </x:c>
      <x:c r="K535" t="n">
        <x:v>82</x:v>
      </x:c>
      <x:c r="L535" t="n">
        <x:v>19</x:v>
      </x:c>
      <x:c r="M535" t="n">
        <x:v>87.9</x:v>
      </x:c>
      <x:c r="N535" t="n">
        <x:v>64.6</x:v>
      </x:c>
      <x:c r="O535" t="n">
        <x:v>59.5</x:v>
      </x:c>
      <x:c r="P535" t="n">
        <x:v>5</x:v>
      </x:c>
      <x:c r="Q535" t="str">
        <x:v>Near miss</x:v>
      </x:c>
      <x:c r="R535" t="str">
        <x:v>In progress</x:v>
      </x:c>
      <x:c r="S535" t="str">
        <x:v>Corrective</x:v>
      </x:c>
      <x:c r="T535" t="n">
        <x:v>0.81</x:v>
      </x:c>
      <x:c r="U535" t="n">
        <x:v>13.5</x:v>
      </x:c>
    </x:row>
    <x:row r="536">
      <x:c r="A536" s="12" t="n">
        <x:v>46205</x:v>
      </x:c>
      <x:c r="B536" t="str">
        <x:v>A</x:v>
      </x:c>
      <x:c r="C536" t="str">
        <x:v>Dried Pineapple</x:v>
      </x:c>
      <x:c r="D536" t="str">
        <x:v>Dryer 2</x:v>
      </x:c>
      <x:c r="E536" t="str">
        <x:v>Sup 1</x:v>
      </x:c>
      <x:c r="F536" t="n">
        <x:v>480</x:v>
      </x:c>
      <x:c r="G536" t="n">
        <x:v>0</x:v>
      </x:c>
      <x:c r="H536" t="n">
        <x:v>35</x:v>
      </x:c>
      <x:c r="I536" t="n">
        <x:v>1747</x:v>
      </x:c>
      <x:c r="J536" t="n">
        <x:v>1451</x:v>
      </x:c>
      <x:c r="K536" t="n">
        <x:v>33</x:v>
      </x:c>
      <x:c r="L536" t="n">
        <x:v>17</x:v>
      </x:c>
      <x:c r="M536" t="n">
        <x:v>100</x:v>
      </x:c>
      <x:c r="N536" t="n">
        <x:v>86.3</x:v>
      </x:c>
      <x:c r="O536" t="n">
        <x:v>72.8</x:v>
      </x:c>
      <x:c r="P536" t="n">
        <x:v>5</x:v>
      </x:c>
      <x:c r="Q536" t="str">
        <x:v>Near miss</x:v>
      </x:c>
      <x:c r="R536" t="str">
        <x:v>In progress</x:v>
      </x:c>
      <x:c r="S536" t="str">
        <x:v>Inspection</x:v>
      </x:c>
      <x:c r="T536" t="n">
        <x:v>0.5</x:v>
      </x:c>
      <x:c r="U536" t="n">
        <x:v>12.6</x:v>
      </x:c>
    </x:row>
    <x:row r="537">
      <x:c r="A537" s="12" t="n">
        <x:v>46205</x:v>
      </x:c>
      <x:c r="B537" t="str">
        <x:v>B</x:v>
      </x:c>
      <x:c r="C537" t="str">
        <x:v>Dried Pineapple</x:v>
      </x:c>
      <x:c r="D537" t="str">
        <x:v>Dryer 1</x:v>
      </x:c>
      <x:c r="E537" t="str">
        <x:v>Sup 1</x:v>
      </x:c>
      <x:c r="F537" t="n">
        <x:v>420</x:v>
      </x:c>
      <x:c r="G537" t="n">
        <x:v>20</x:v>
      </x:c>
      <x:c r="H537" t="n">
        <x:v>41</x:v>
      </x:c>
      <x:c r="I537" t="n">
        <x:v>1883</x:v>
      </x:c>
      <x:c r="J537" t="n">
        <x:v>1554</x:v>
      </x:c>
      <x:c r="K537" t="n">
        <x:v>43</x:v>
      </x:c>
      <x:c r="L537" t="n">
        <x:v>10</x:v>
      </x:c>
      <x:c r="M537" t="n">
        <x:v>92.1</x:v>
      </x:c>
      <x:c r="N537" t="n">
        <x:v>78.7</x:v>
      </x:c>
      <x:c r="O537" t="n">
        <x:v>68.4</x:v>
      </x:c>
      <x:c r="P537" t="n">
        <x:v>1</x:v>
      </x:c>
      <x:c r="Q537" t="str">
        <x:v>No incident</x:v>
      </x:c>
      <x:c r="R537" t="str">
        <x:v>N/A</x:v>
      </x:c>
      <x:c r="S537" t="str">
        <x:v>Preventive</x:v>
      </x:c>
      <x:c r="T537" t="n">
        <x:v>1.07</x:v>
      </x:c>
      <x:c r="U537" t="n">
        <x:v>13.7</x:v>
      </x:c>
    </x:row>
    <x:row r="538">
      <x:c r="A538" s="12" t="n">
        <x:v>46205</x:v>
      </x:c>
      <x:c r="B538" t="str">
        <x:v>C</x:v>
      </x:c>
      <x:c r="C538" t="str">
        <x:v>Desiccated Coconut</x:v>
      </x:c>
      <x:c r="D538" t="str">
        <x:v>Dryer 4</x:v>
      </x:c>
      <x:c r="E538" t="str">
        <x:v>Sup 2</x:v>
      </x:c>
      <x:c r="F538" t="n">
        <x:v>420</x:v>
      </x:c>
      <x:c r="G538" t="n">
        <x:v>30</x:v>
      </x:c>
      <x:c r="H538" t="n">
        <x:v>69</x:v>
      </x:c>
      <x:c r="I538" t="n">
        <x:v>1157</x:v>
      </x:c>
      <x:c r="J538" t="n">
        <x:v>964</x:v>
      </x:c>
      <x:c r="K538" t="n">
        <x:v>22</x:v>
      </x:c>
      <x:c r="L538" t="n">
        <x:v>5</x:v>
      </x:c>
      <x:c r="M538" t="n">
        <x:v>91.6</x:v>
      </x:c>
      <x:c r="N538" t="n">
        <x:v>75</x:v>
      </x:c>
      <x:c r="O538" t="n">
        <x:v>67.6</x:v>
      </x:c>
      <x:c r="P538" t="n">
        <x:v>2</x:v>
      </x:c>
      <x:c r="Q538" t="str">
        <x:v>No incident</x:v>
      </x:c>
      <x:c r="R538" t="str">
        <x:v>N/A</x:v>
      </x:c>
      <x:c r="S538" t="str">
        <x:v>Preventive</x:v>
      </x:c>
      <x:c r="T538" t="n">
        <x:v>1.39</x:v>
      </x:c>
      <x:c r="U538" t="n">
        <x:v>8.3</x:v>
      </x:c>
    </x:row>
    <x:row r="539">
      <x:c r="A539" s="12" t="n">
        <x:v>46206</x:v>
      </x:c>
      <x:c r="B539" t="str">
        <x:v>A</x:v>
      </x:c>
      <x:c r="C539" t="str">
        <x:v>Dried Mango</x:v>
      </x:c>
      <x:c r="D539" t="str">
        <x:v>Dryer 2</x:v>
      </x:c>
      <x:c r="E539" t="str">
        <x:v>Sup 2</x:v>
      </x:c>
      <x:c r="F539" t="n">
        <x:v>450</x:v>
      </x:c>
      <x:c r="G539" t="n">
        <x:v>0</x:v>
      </x:c>
      <x:c r="H539" t="n">
        <x:v>32</x:v>
      </x:c>
      <x:c r="I539" t="n">
        <x:v>1715</x:v>
      </x:c>
      <x:c r="J539" t="n">
        <x:v>1489</x:v>
      </x:c>
      <x:c r="K539" t="n">
        <x:v>58</x:v>
      </x:c>
      <x:c r="L539" t="n">
        <x:v>22</x:v>
      </x:c>
      <x:c r="M539" t="n">
        <x:v>91.4</x:v>
      </x:c>
      <x:c r="N539" t="n">
        <x:v>74.1</x:v>
      </x:c>
      <x:c r="O539" t="n">
        <x:v>69.5</x:v>
      </x:c>
      <x:c r="P539" t="n">
        <x:v>3</x:v>
      </x:c>
      <x:c r="Q539" t="str">
        <x:v>No incident</x:v>
      </x:c>
      <x:c r="R539" t="str">
        <x:v>N/A</x:v>
      </x:c>
      <x:c r="S539" t="str">
        <x:v>Inspection</x:v>
      </x:c>
      <x:c r="T539" t="n">
        <x:v>1.2</x:v>
      </x:c>
      <x:c r="U539" t="n">
        <x:v>12.8</x:v>
      </x:c>
    </x:row>
    <x:row r="540">
      <x:c r="A540" s="12" t="n">
        <x:v>46206</x:v>
      </x:c>
      <x:c r="B540" t="str">
        <x:v>B</x:v>
      </x:c>
      <x:c r="C540" t="str">
        <x:v>Dried Pineapple</x:v>
      </x:c>
      <x:c r="D540" t="str">
        <x:v>Dryer 1</x:v>
      </x:c>
      <x:c r="E540" t="str">
        <x:v>Sup 3</x:v>
      </x:c>
      <x:c r="F540" t="n">
        <x:v>450</x:v>
      </x:c>
      <x:c r="G540" t="n">
        <x:v>20</x:v>
      </x:c>
      <x:c r="H540" t="n">
        <x:v>51</x:v>
      </x:c>
      <x:c r="I540" t="n">
        <x:v>1841</x:v>
      </x:c>
      <x:c r="J540" t="n">
        <x:v>1594</x:v>
      </x:c>
      <x:c r="K540" t="n">
        <x:v>44</x:v>
      </x:c>
      <x:c r="L540" t="n">
        <x:v>21</x:v>
      </x:c>
      <x:c r="M540" t="n">
        <x:v>97.2</x:v>
      </x:c>
      <x:c r="N540" t="n">
        <x:v>82.8</x:v>
      </x:c>
      <x:c r="O540" t="n">
        <x:v>70</x:v>
      </x:c>
      <x:c r="P540" t="n">
        <x:v>0</x:v>
      </x:c>
      <x:c r="Q540" t="str">
        <x:v>No incident</x:v>
      </x:c>
      <x:c r="R540" t="str">
        <x:v>N/A</x:v>
      </x:c>
      <x:c r="S540" t="str">
        <x:v>Preventive</x:v>
      </x:c>
      <x:c r="T540" t="n">
        <x:v>0.71</x:v>
      </x:c>
      <x:c r="U540" t="n">
        <x:v>13.5</x:v>
      </x:c>
    </x:row>
    <x:row r="541">
      <x:c r="A541" s="12" t="n">
        <x:v>46206</x:v>
      </x:c>
      <x:c r="B541" t="str">
        <x:v>C</x:v>
      </x:c>
      <x:c r="C541" t="str">
        <x:v>Dried Mango</x:v>
      </x:c>
      <x:c r="D541" t="str">
        <x:v>Dryer 2</x:v>
      </x:c>
      <x:c r="E541" t="str">
        <x:v>Sup 2</x:v>
      </x:c>
      <x:c r="F541" t="n">
        <x:v>420</x:v>
      </x:c>
      <x:c r="G541" t="n">
        <x:v>40</x:v>
      </x:c>
      <x:c r="H541" t="n">
        <x:v>74</x:v>
      </x:c>
      <x:c r="I541" t="n">
        <x:v>1580</x:v>
      </x:c>
      <x:c r="J541" t="n">
        <x:v>1199</x:v>
      </x:c>
      <x:c r="K541" t="n">
        <x:v>56</x:v>
      </x:c>
      <x:c r="L541" t="n">
        <x:v>30</x:v>
      </x:c>
      <x:c r="M541" t="n">
        <x:v>99.2</x:v>
      </x:c>
      <x:c r="N541" t="n">
        <x:v>79.6</x:v>
      </x:c>
      <x:c r="O541" t="n">
        <x:v>73.3</x:v>
      </x:c>
      <x:c r="P541" t="n">
        <x:v>5</x:v>
      </x:c>
      <x:c r="Q541" t="str">
        <x:v>No incident</x:v>
      </x:c>
      <x:c r="R541" t="str">
        <x:v>N/A</x:v>
      </x:c>
      <x:c r="S541" t="str">
        <x:v>Preventive</x:v>
      </x:c>
      <x:c r="T541" t="n">
        <x:v>1.26</x:v>
      </x:c>
      <x:c r="U541" t="n">
        <x:v>9.1</x:v>
      </x:c>
    </x:row>
  </x:sheetData>
  <x:pageMargins left="0.7" right="0.7" top="0.75" bottom="0.75" header="0.3" footer="0.3"/>
  <x:tableParts count="1">
    <x:tablePart xmlns:r="http://schemas.openxmlformats.org/officeDocument/2006/relationships" r:id="Rdd6d8ea18af94df5"/>
  </x:tableParts>
</x:worksheet>
</file>

<file path=xl/worksheets/sheet2.xml><?xml version="1.0" encoding="utf-8"?>
<x:worksheet xmlns:x="http://schemas.openxmlformats.org/spreadsheetml/2006/main">
  <x:sheetFormatPr defaultRowHeight="15"/>
  <x:cols>
    <x:col min="1" max="1" width="12" hidden="0" customWidth="1"/>
    <x:col min="2" max="2" width="9" hidden="0" customWidth="1"/>
    <x:col min="3" max="3" width="20" hidden="0" customWidth="1"/>
    <x:col min="4" max="4" width="11" hidden="0" customWidth="1"/>
    <x:col min="5" max="5" width="13" hidden="0" customWidth="1"/>
    <x:col min="6" max="6" width="15" hidden="0" customWidth="1"/>
    <x:col min="7" max="7" width="22" hidden="0" customWidth="1"/>
    <x:col min="8" max="8" width="16" hidden="0" customWidth="1"/>
    <x:col min="9" max="9" width="15" hidden="0" customWidth="1"/>
    <x:col min="10" max="10" width="15" hidden="0" customWidth="1"/>
    <x:col min="11" max="11" width="12" hidden="0" customWidth="1"/>
    <x:col min="12" max="12" width="12" hidden="0" customWidth="1"/>
    <x:col min="13" max="13" width="16" hidden="0" customWidth="1"/>
    <x:col min="14" max="14" width="17" hidden="0" customWidth="1"/>
    <x:col min="15" max="15" width="12" hidden="0" customWidth="1"/>
    <x:col min="16" max="16" width="18" hidden="0" customWidth="1"/>
    <x:col min="17" max="17" width="16" hidden="0" customWidth="1"/>
    <x:col min="18" max="18" width="24" hidden="0" customWidth="1"/>
    <x:col min="19" max="19" width="18" hidden="0" customWidth="1"/>
    <x:col min="20" max="20" width="20" hidden="0" customWidth="1"/>
    <x:col min="21" max="21" width="12" hidden="0" customWidth="1"/>
    <x:col min="22" max="22" width="20" hidden="0" customWidth="1"/>
    <x:col min="23" max="23" width="15" hidden="0" customWidth="1"/>
    <x:col min="24" max="24" width="17" hidden="0" customWidth="1"/>
    <x:col min="25" max="25" width="18" hidden="0" customWidth="1"/>
    <x:col min="26" max="26" width="14" hidden="0" customWidth="1"/>
  </x:cols>
  <x:sheetData>
    <x:row r="1">
      <x:c r="A1" s="6" t="str">
        <x:v>Date</x:v>
      </x:c>
      <x:c r="B1" s="6" t="str">
        <x:v>Shift</x:v>
      </x:c>
      <x:c r="C1" s="6" t="str">
        <x:v>Product</x:v>
      </x:c>
      <x:c r="D1" s="6" t="str">
        <x:v>Machine</x:v>
      </x:c>
      <x:c r="E1" s="6" t="str">
        <x:v>Supervisor</x:v>
      </x:c>
      <x:c r="F1" s="6" t="str">
        <x:v>Scheduled_Minutes</x:v>
      </x:c>
      <x:c r="G1" s="6" t="str">
        <x:v>Planned_Changeover_Min</x:v>
      </x:c>
      <x:c r="H1" s="6" t="str">
        <x:v>Downtime_Minutes</x:v>
      </x:c>
      <x:c r="I1" s="6" t="str">
        <x:v>Target_Output_kg</x:v>
      </x:c>
      <x:c r="J1" s="6" t="str">
        <x:v>Actual_Output_kg</x:v>
      </x:c>
      <x:c r="K1" s="6" t="str">
        <x:v>Rejects_kg</x:v>
      </x:c>
      <x:c r="L1" s="6" t="str">
        <x:v>Rework_kg</x:v>
      </x:c>
      <x:c r="M1" s="6" t="str">
        <x:v>PPE_Compliance_pct</x:v>
      </x:c>
      <x:c r="N1" s="6" t="str">
        <x:v>Housekeeping_Score</x:v>
      </x:c>
      <x:c r="O1" s="6" t="str">
        <x:v>GMP_Score</x:v>
      </x:c>
      <x:c r="P1" s="6" t="str">
        <x:v>Safety_Observations</x:v>
      </x:c>
      <x:c r="Q1" s="6" t="str">
        <x:v>Incident_Type</x:v>
      </x:c>
      <x:c r="R1" s="6" t="str">
        <x:v>Corrective_Action_Status</x:v>
      </x:c>
      <x:c r="S1" s="6" t="str">
        <x:v>Maintenance_Type</x:v>
      </x:c>
      <x:c r="T1" s="6" t="str">
        <x:v>Maintenance_Duration_hr</x:v>
      </x:c>
      <x:c r="U1" s="6" t="str">
        <x:v>Fuel_Units</x:v>
      </x:c>
      <x:c r="V1" s="6" t="str">
        <x:v>Production_Attainment_pct</x:v>
      </x:c>
      <x:c r="W1" s="6" t="str">
        <x:v>Reject_Rate_pct</x:v>
      </x:c>
      <x:c r="X1" s="6" t="str">
        <x:v>Downtime_Rate_pct</x:v>
      </x:c>
      <x:c r="Y1" s="6" t="str">
        <x:v>Net_Good_Output_kg</x:v>
      </x:c>
      <x:c r="Z1" s="6" t="str">
        <x:v>OEE_like_pct</x:v>
      </x:c>
    </x:row>
    <x:row r="2">
      <x:c r="A2" s="12" t="n">
        <x:v>46027</x:v>
      </x:c>
      <x:c r="B2" t="str">
        <x:v>A</x:v>
      </x:c>
      <x:c r="C2" t="str">
        <x:v>Desiccated Coconut</x:v>
      </x:c>
      <x:c r="D2" t="str">
        <x:v>Dryer 3</x:v>
      </x:c>
      <x:c r="E2" t="str">
        <x:v>Sup 1</x:v>
      </x:c>
      <x:c r="F2" t="n">
        <x:v>450</x:v>
      </x:c>
      <x:c r="G2" t="n">
        <x:v>0</x:v>
      </x:c>
      <x:c r="H2" t="n">
        <x:v>51</x:v>
      </x:c>
      <x:c r="I2" t="n">
        <x:v>1261</x:v>
      </x:c>
      <x:c r="J2" t="n">
        <x:v>1041</x:v>
      </x:c>
      <x:c r="K2" t="n">
        <x:v>35</x:v>
      </x:c>
      <x:c r="L2" t="n">
        <x:v>16</x:v>
      </x:c>
      <x:c r="M2" t="n">
        <x:v>89.4</x:v>
      </x:c>
      <x:c r="N2" t="n">
        <x:v>76.8</x:v>
      </x:c>
      <x:c r="O2" t="n">
        <x:v>81.2</x:v>
      </x:c>
      <x:c r="P2" t="n">
        <x:v>2</x:v>
      </x:c>
      <x:c r="Q2" t="str">
        <x:v>No incident</x:v>
      </x:c>
      <x:c r="R2" t="str">
        <x:v>N/A</x:v>
      </x:c>
      <x:c r="S2" t="str">
        <x:v>Inspection</x:v>
      </x:c>
      <x:c r="T2" t="n">
        <x:v>0.87</x:v>
      </x:c>
      <x:c r="U2" t="n">
        <x:v>8.7</x:v>
      </x:c>
      <x:c r="V2" t="n">
        <x:f>IFERROR(J2/I2*100,0)</x:f>
        <x:v>82.55352894528151</x:v>
      </x:c>
      <x:c r="W2" t="n">
        <x:f>IFERROR(K2/J2*100,0)</x:f>
        <x:v>3.3621517771373677</x:v>
      </x:c>
      <x:c r="X2" t="n">
        <x:f>IFERROR(H2/F2*100,0)</x:f>
        <x:v>11.333333333333332</x:v>
      </x:c>
      <x:c r="Y2" t="n">
        <x:f>J2-K2</x:f>
        <x:v>1006</x:v>
      </x:c>
      <x:c r="Z2" t="n">
        <x:f>MAX(0,MIN(100,(V2/100)*(1-X2/100)*(1-W2/100)*100))</x:f>
        <x:v>70.73645255088555</x:v>
      </x:c>
    </x:row>
    <x:row r="3">
      <x:c r="A3" s="12" t="n">
        <x:v>46027</x:v>
      </x:c>
      <x:c r="B3" t="str">
        <x:v>B</x:v>
      </x:c>
      <x:c r="C3" t="str">
        <x:v>Desiccated Coconut</x:v>
      </x:c>
      <x:c r="D3" t="str">
        <x:v>Dryer 3</x:v>
      </x:c>
      <x:c r="E3" t="str">
        <x:v>Sup 2</x:v>
      </x:c>
      <x:c r="F3" t="n">
        <x:v>420</x:v>
      </x:c>
      <x:c r="G3" t="n">
        <x:v>40</x:v>
      </x:c>
      <x:c r="H3" t="n">
        <x:v>59</x:v>
      </x:c>
      <x:c r="I3" t="n">
        <x:v>1134</x:v>
      </x:c>
      <x:c r="J3" t="n">
        <x:v>984</x:v>
      </x:c>
      <x:c r="K3" t="n">
        <x:v>31</x:v>
      </x:c>
      <x:c r="L3" t="n">
        <x:v>15</x:v>
      </x:c>
      <x:c r="M3" t="n">
        <x:v>83</x:v>
      </x:c>
      <x:c r="N3" t="n">
        <x:v>89.7</x:v>
      </x:c>
      <x:c r="O3" t="n">
        <x:v>74.6</x:v>
      </x:c>
      <x:c r="P3" t="n">
        <x:v>3</x:v>
      </x:c>
      <x:c r="Q3" t="str">
        <x:v>Near miss</x:v>
      </x:c>
      <x:c r="R3" t="str">
        <x:v>Closed</x:v>
      </x:c>
      <x:c r="S3" t="str">
        <x:v>Preventive</x:v>
      </x:c>
      <x:c r="T3" t="n">
        <x:v>0.72</x:v>
      </x:c>
      <x:c r="U3" t="n">
        <x:v>7.7</x:v>
      </x:c>
      <x:c r="V3" t="n">
        <x:f>IFERROR(J3/I3*100,0)</x:f>
        <x:v>86.77248677248677</x:v>
      </x:c>
      <x:c r="W3" t="n">
        <x:f>IFERROR(K3/J3*100,0)</x:f>
        <x:v>3.1504065040650406</x:v>
      </x:c>
      <x:c r="X3" t="n">
        <x:f>IFERROR(H3/F3*100,0)</x:f>
        <x:v>14.047619047619047</x:v>
      </x:c>
      <x:c r="Y3" t="n">
        <x:f>J3-K3</x:f>
        <x:v>953</x:v>
      </x:c>
      <x:c r="Z3" t="n">
        <x:f>MAX(0,MIN(100,(V3/100)*(1-X3/100)*(1-W3/100)*100))</x:f>
        <x:v>72.23335013017552</x:v>
      </x:c>
    </x:row>
    <x:row r="4">
      <x:c r="A4" s="12" t="n">
        <x:v>46027</x:v>
      </x:c>
      <x:c r="B4" t="str">
        <x:v>C</x:v>
      </x:c>
      <x:c r="C4" t="str">
        <x:v>Desiccated Coconut</x:v>
      </x:c>
      <x:c r="D4" t="str">
        <x:v>Dryer 3</x:v>
      </x:c>
      <x:c r="E4" t="str">
        <x:v>Sup 1</x:v>
      </x:c>
      <x:c r="F4" t="n">
        <x:v>480</x:v>
      </x:c>
      <x:c r="G4" t="n">
        <x:v>20</x:v>
      </x:c>
      <x:c r="H4" t="n">
        <x:v>57</x:v>
      </x:c>
      <x:c r="I4" t="n">
        <x:v>1211</x:v>
      </x:c>
      <x:c r="J4" t="n">
        <x:v>1025</x:v>
      </x:c>
      <x:c r="K4" t="n">
        <x:v>43</x:v>
      </x:c>
      <x:c r="L4" t="n">
        <x:v>22</x:v>
      </x:c>
      <x:c r="M4" t="n">
        <x:v>83.2</x:v>
      </x:c>
      <x:c r="N4" t="n">
        <x:v>79.5</x:v>
      </x:c>
      <x:c r="O4" t="n">
        <x:v>83.8</x:v>
      </x:c>
      <x:c r="P4" t="n">
        <x:v>2</x:v>
      </x:c>
      <x:c r="Q4" t="str">
        <x:v>No incident</x:v>
      </x:c>
      <x:c r="R4" t="str">
        <x:v>N/A</x:v>
      </x:c>
      <x:c r="S4" t="str">
        <x:v>Inspection</x:v>
      </x:c>
      <x:c r="T4" t="n">
        <x:v>0.5</x:v>
      </x:c>
      <x:c r="U4" t="n">
        <x:v>8.1</x:v>
      </x:c>
      <x:c r="V4" t="n">
        <x:f>IFERROR(J4/I4*100,0)</x:f>
        <x:v>84.64079273327827</x:v>
      </x:c>
      <x:c r="W4" t="n">
        <x:f>IFERROR(K4/J4*100,0)</x:f>
        <x:v>4.195121951219512</x:v>
      </x:c>
      <x:c r="X4" t="n">
        <x:f>IFERROR(H4/F4*100,0)</x:f>
        <x:v>11.875</x:v>
      </x:c>
      <x:c r="Y4" t="n">
        <x:f>J4-K4</x:f>
        <x:v>982</x:v>
      </x:c>
      <x:c r="Z4" t="n">
        <x:f>MAX(0,MIN(100,(V4/100)*(1-X4/100)*(1-W4/100)*100))</x:f>
        <x:v>71.46056977704374</x:v>
      </x:c>
    </x:row>
    <x:row r="5">
      <x:c r="A5" s="12" t="n">
        <x:v>46028</x:v>
      </x:c>
      <x:c r="B5" t="str">
        <x:v>A</x:v>
      </x:c>
      <x:c r="C5" t="str">
        <x:v>Dried Mango</x:v>
      </x:c>
      <x:c r="D5" t="str">
        <x:v>Dryer 4</x:v>
      </x:c>
      <x:c r="E5" t="str">
        <x:v>Sup 3</x:v>
      </x:c>
      <x:c r="F5" t="n">
        <x:v>480</x:v>
      </x:c>
      <x:c r="G5" t="n">
        <x:v>30</x:v>
      </x:c>
      <x:c r="H5" t="n">
        <x:v>29</x:v>
      </x:c>
      <x:c r="I5" t="n">
        <x:v>1603</x:v>
      </x:c>
      <x:c r="J5" t="n">
        <x:v>1335</x:v>
      </x:c>
      <x:c r="K5" t="n">
        <x:v>38</x:v>
      </x:c>
      <x:c r="L5" t="n">
        <x:v>12</x:v>
      </x:c>
      <x:c r="M5" t="n">
        <x:v>98</x:v>
      </x:c>
      <x:c r="N5" t="n">
        <x:v>69.8</x:v>
      </x:c>
      <x:c r="O5" t="n">
        <x:v>76</x:v>
      </x:c>
      <x:c r="P5" t="n">
        <x:v>2</x:v>
      </x:c>
      <x:c r="Q5" t="str">
        <x:v>No incident</x:v>
      </x:c>
      <x:c r="R5" t="str">
        <x:v>N/A</x:v>
      </x:c>
      <x:c r="S5" t="str">
        <x:v>Corrective</x:v>
      </x:c>
      <x:c r="T5" t="n">
        <x:v>1.01</x:v>
      </x:c>
      <x:c r="U5" t="n">
        <x:v>12.2</x:v>
      </x:c>
      <x:c r="V5" t="n">
        <x:f>IFERROR(J5/I5*100,0)</x:f>
        <x:v>83.28134747348722</x:v>
      </x:c>
      <x:c r="W5" t="n">
        <x:f>IFERROR(K5/J5*100,0)</x:f>
        <x:v>2.846441947565543</x:v>
      </x:c>
      <x:c r="X5" t="n">
        <x:f>IFERROR(H5/F5*100,0)</x:f>
        <x:v>6.041666666666667</x:v>
      </x:c>
      <x:c r="Y5" t="n">
        <x:f>J5-K5</x:f>
        <x:v>1297</x:v>
      </x:c>
      <x:c r="Z5" t="n">
        <x:f>MAX(0,MIN(100,(V5/100)*(1-X5/100)*(1-W5/100)*100))</x:f>
        <x:v>76.02243189852359</x:v>
      </x:c>
    </x:row>
    <x:row r="6">
      <x:c r="A6" s="12" t="n">
        <x:v>46028</x:v>
      </x:c>
      <x:c r="B6" t="str">
        <x:v>B</x:v>
      </x:c>
      <x:c r="C6" t="str">
        <x:v>Desiccated Coconut</x:v>
      </x:c>
      <x:c r="D6" t="str">
        <x:v>Dryer 4</x:v>
      </x:c>
      <x:c r="E6" t="str">
        <x:v>Sup 2</x:v>
      </x:c>
      <x:c r="F6" t="n">
        <x:v>480</x:v>
      </x:c>
      <x:c r="G6" t="n">
        <x:v>30</x:v>
      </x:c>
      <x:c r="H6" t="n">
        <x:v>61</x:v>
      </x:c>
      <x:c r="I6" t="n">
        <x:v>1257</x:v>
      </x:c>
      <x:c r="J6" t="n">
        <x:v>1081</x:v>
      </x:c>
      <x:c r="K6" t="n">
        <x:v>39</x:v>
      </x:c>
      <x:c r="L6" t="n">
        <x:v>12</x:v>
      </x:c>
      <x:c r="M6" t="n">
        <x:v>99.9</x:v>
      </x:c>
      <x:c r="N6" t="n">
        <x:v>68.5</x:v>
      </x:c>
      <x:c r="O6" t="n">
        <x:v>75.5</x:v>
      </x:c>
      <x:c r="P6" t="n">
        <x:v>5</x:v>
      </x:c>
      <x:c r="Q6" t="str">
        <x:v>No incident</x:v>
      </x:c>
      <x:c r="R6" t="str">
        <x:v>N/A</x:v>
      </x:c>
      <x:c r="S6" t="str">
        <x:v>Corrective</x:v>
      </x:c>
      <x:c r="T6" t="n">
        <x:v>0.88</x:v>
      </x:c>
      <x:c r="U6" t="n">
        <x:v>9.2</x:v>
      </x:c>
      <x:c r="V6" t="n">
        <x:f>IFERROR(J6/I6*100,0)</x:f>
        <x:v>85.99840891010342</x:v>
      </x:c>
      <x:c r="W6" t="n">
        <x:f>IFERROR(K6/J6*100,0)</x:f>
        <x:v>3.6077705827937097</x:v>
      </x:c>
      <x:c r="X6" t="n">
        <x:f>IFERROR(H6/F6*100,0)</x:f>
        <x:v>12.708333333333332</x:v>
      </x:c>
      <x:c r="Y6" t="n">
        <x:f>J6-K6</x:f>
        <x:v>1042</x:v>
      </x:c>
      <x:c r="Z6" t="n">
        <x:f>MAX(0,MIN(100,(V6/100)*(1-X6/100)*(1-W6/100)*100))</x:f>
        <x:v>72.36111111111111</x:v>
      </x:c>
    </x:row>
    <x:row r="7">
      <x:c r="A7" s="12" t="n">
        <x:v>46028</x:v>
      </x:c>
      <x:c r="B7" t="str">
        <x:v>C</x:v>
      </x:c>
      <x:c r="C7" t="str">
        <x:v>Dried Mango</x:v>
      </x:c>
      <x:c r="D7" t="str">
        <x:v>Dryer 3</x:v>
      </x:c>
      <x:c r="E7" t="str">
        <x:v>Sup 3</x:v>
      </x:c>
      <x:c r="F7" t="n">
        <x:v>420</x:v>
      </x:c>
      <x:c r="G7" t="n">
        <x:v>20</x:v>
      </x:c>
      <x:c r="H7" t="n">
        <x:v>40</x:v>
      </x:c>
      <x:c r="I7" t="n">
        <x:v>1667</x:v>
      </x:c>
      <x:c r="J7" t="n">
        <x:v>1388</x:v>
      </x:c>
      <x:c r="K7" t="n">
        <x:v>69</x:v>
      </x:c>
      <x:c r="L7" t="n">
        <x:v>43</x:v>
      </x:c>
      <x:c r="M7" t="n">
        <x:v>93.4</x:v>
      </x:c>
      <x:c r="N7" t="n">
        <x:v>70.7</x:v>
      </x:c>
      <x:c r="O7" t="n">
        <x:v>75.2</x:v>
      </x:c>
      <x:c r="P7" t="n">
        <x:v>3</x:v>
      </x:c>
      <x:c r="Q7" t="str">
        <x:v>Near miss</x:v>
      </x:c>
      <x:c r="R7" t="str">
        <x:v>In progress</x:v>
      </x:c>
      <x:c r="S7" t="str">
        <x:v>Preventive</x:v>
      </x:c>
      <x:c r="T7" t="n">
        <x:v>0.97</x:v>
      </x:c>
      <x:c r="U7" t="n">
        <x:v>11.9</x:v>
      </x:c>
      <x:c r="V7" t="n">
        <x:f>IFERROR(J7/I7*100,0)</x:f>
        <x:v>83.26334733053389</x:v>
      </x:c>
      <x:c r="W7" t="n">
        <x:f>IFERROR(K7/J7*100,0)</x:f>
        <x:v>4.971181556195965</x:v>
      </x:c>
      <x:c r="X7" t="n">
        <x:f>IFERROR(H7/F7*100,0)</x:f>
        <x:v>9.523809523809524</x:v>
      </x:c>
      <x:c r="Y7" t="n">
        <x:f>J7-K7</x:f>
        <x:v>1319</x:v>
      </x:c>
      <x:c r="Z7" t="n">
        <x:f>MAX(0,MIN(100,(V7/100)*(1-X7/100)*(1-W7/100)*100))</x:f>
        <x:v>71.58853943497014</x:v>
      </x:c>
    </x:row>
    <x:row r="8">
      <x:c r="A8" s="12" t="n">
        <x:v>46029</x:v>
      </x:c>
      <x:c r="B8" t="str">
        <x:v>A</x:v>
      </x:c>
      <x:c r="C8" t="str">
        <x:v>Desiccated Coconut</x:v>
      </x:c>
      <x:c r="D8" t="str">
        <x:v>Dryer 1</x:v>
      </x:c>
      <x:c r="E8" t="str">
        <x:v>Sup 1</x:v>
      </x:c>
      <x:c r="F8" t="n">
        <x:v>450</x:v>
      </x:c>
      <x:c r="G8" t="n">
        <x:v>40</x:v>
      </x:c>
      <x:c r="H8" t="n">
        <x:v>44</x:v>
      </x:c>
      <x:c r="I8" t="n">
        <x:v>1273</x:v>
      </x:c>
      <x:c r="J8" t="n">
        <x:v>1170</x:v>
      </x:c>
      <x:c r="K8" t="n">
        <x:v>23</x:v>
      </x:c>
      <x:c r="L8" t="n">
        <x:v>14</x:v>
      </x:c>
      <x:c r="M8" t="n">
        <x:v>91.6</x:v>
      </x:c>
      <x:c r="N8" t="n">
        <x:v>95.3</x:v>
      </x:c>
      <x:c r="O8" t="n">
        <x:v>76.4</x:v>
      </x:c>
      <x:c r="P8" t="n">
        <x:v>2</x:v>
      </x:c>
      <x:c r="Q8" t="str">
        <x:v>No incident</x:v>
      </x:c>
      <x:c r="R8" t="str">
        <x:v>N/A</x:v>
      </x:c>
      <x:c r="S8" t="str">
        <x:v>Corrective</x:v>
      </x:c>
      <x:c r="T8" t="n">
        <x:v>1.95</x:v>
      </x:c>
      <x:c r="U8" t="n">
        <x:v>10.5</x:v>
      </x:c>
      <x:c r="V8" t="n">
        <x:f>IFERROR(J8/I8*100,0)</x:f>
        <x:v>91.90887666928515</x:v>
      </x:c>
      <x:c r="W8" t="n">
        <x:f>IFERROR(K8/J8*100,0)</x:f>
        <x:v>1.9658119658119657</x:v>
      </x:c>
      <x:c r="X8" t="n">
        <x:f>IFERROR(H8/F8*100,0)</x:f>
        <x:v>9.777777777777779</x:v>
      </x:c>
      <x:c r="Y8" t="n">
        <x:f>J8-K8</x:f>
        <x:v>1147</x:v>
      </x:c>
      <x:c r="Z8" t="n">
        <x:f>MAX(0,MIN(100,(V8/100)*(1-X8/100)*(1-W8/100)*100))</x:f>
        <x:v>81.29213581216722</x:v>
      </x:c>
    </x:row>
    <x:row r="9">
      <x:c r="A9" s="12" t="n">
        <x:v>46029</x:v>
      </x:c>
      <x:c r="B9" t="str">
        <x:v>B</x:v>
      </x:c>
      <x:c r="C9" t="str">
        <x:v>Dried Pineapple</x:v>
      </x:c>
      <x:c r="D9" t="str">
        <x:v>Dryer 3</x:v>
      </x:c>
      <x:c r="E9" t="str">
        <x:v>Sup 2</x:v>
      </x:c>
      <x:c r="F9" t="n">
        <x:v>450</x:v>
      </x:c>
      <x:c r="G9" t="n">
        <x:v>0</x:v>
      </x:c>
      <x:c r="H9" t="n">
        <x:v>57</x:v>
      </x:c>
      <x:c r="I9" t="n">
        <x:v>1799</x:v>
      </x:c>
      <x:c r="J9" t="n">
        <x:v>1520</x:v>
      </x:c>
      <x:c r="K9" t="n">
        <x:v>62</x:v>
      </x:c>
      <x:c r="L9" t="n">
        <x:v>29</x:v>
      </x:c>
      <x:c r="M9" t="n">
        <x:v>90.7</x:v>
      </x:c>
      <x:c r="N9" t="n">
        <x:v>79.6</x:v>
      </x:c>
      <x:c r="O9" t="n">
        <x:v>70.7</x:v>
      </x:c>
      <x:c r="P9" t="n">
        <x:v>5</x:v>
      </x:c>
      <x:c r="Q9" t="str">
        <x:v>No incident</x:v>
      </x:c>
      <x:c r="R9" t="str">
        <x:v>N/A</x:v>
      </x:c>
      <x:c r="S9" t="str">
        <x:v>Inspection</x:v>
      </x:c>
      <x:c r="T9" t="n">
        <x:v>1.34</x:v>
      </x:c>
      <x:c r="U9" t="n">
        <x:v>14</x:v>
      </x:c>
      <x:c r="V9" t="n">
        <x:f>IFERROR(J9/I9*100,0)</x:f>
        <x:v>84.49138410227904</x:v>
      </x:c>
      <x:c r="W9" t="n">
        <x:f>IFERROR(K9/J9*100,0)</x:f>
        <x:v>4.078947368421053</x:v>
      </x:c>
      <x:c r="X9" t="n">
        <x:f>IFERROR(H9/F9*100,0)</x:f>
        <x:v>12.666666666666668</x:v>
      </x:c>
      <x:c r="Y9" t="n">
        <x:f>J9-K9</x:f>
        <x:v>1458</x:v>
      </x:c>
      <x:c r="Z9" t="n">
        <x:f>MAX(0,MIN(100,(V9/100)*(1-X9/100)*(1-W9/100)*100))</x:f>
        <x:v>70.7793218454697</x:v>
      </x:c>
    </x:row>
    <x:row r="10">
      <x:c r="A10" s="12" t="n">
        <x:v>46029</x:v>
      </x:c>
      <x:c r="B10" t="str">
        <x:v>C</x:v>
      </x:c>
      <x:c r="C10" t="str">
        <x:v>Desiccated Coconut</x:v>
      </x:c>
      <x:c r="D10" t="str">
        <x:v>Dryer 3</x:v>
      </x:c>
      <x:c r="E10" t="str">
        <x:v>Sup 1</x:v>
      </x:c>
      <x:c r="F10" t="n">
        <x:v>420</x:v>
      </x:c>
      <x:c r="G10" t="n">
        <x:v>30</x:v>
      </x:c>
      <x:c r="H10" t="n">
        <x:v>61</x:v>
      </x:c>
      <x:c r="I10" t="n">
        <x:v>1211</x:v>
      </x:c>
      <x:c r="J10" t="n">
        <x:v>916</x:v>
      </x:c>
      <x:c r="K10" t="n">
        <x:v>40</x:v>
      </x:c>
      <x:c r="L10" t="n">
        <x:v>21</x:v>
      </x:c>
      <x:c r="M10" t="n">
        <x:v>85.2</x:v>
      </x:c>
      <x:c r="N10" t="n">
        <x:v>77.6</x:v>
      </x:c>
      <x:c r="O10" t="n">
        <x:v>71.6</x:v>
      </x:c>
      <x:c r="P10" t="n">
        <x:v>1</x:v>
      </x:c>
      <x:c r="Q10" t="str">
        <x:v>Near miss</x:v>
      </x:c>
      <x:c r="R10" t="str">
        <x:v>In progress</x:v>
      </x:c>
      <x:c r="S10" t="str">
        <x:v>Corrective</x:v>
      </x:c>
      <x:c r="T10" t="n">
        <x:v>0.81</x:v>
      </x:c>
      <x:c r="U10" t="n">
        <x:v>7.5</x:v>
      </x:c>
      <x:c r="V10" t="n">
        <x:f>IFERROR(J10/I10*100,0)</x:f>
        <x:v>75.63996696944673</x:v>
      </x:c>
      <x:c r="W10" t="n">
        <x:f>IFERROR(K10/J10*100,0)</x:f>
        <x:v>4.366812227074235</x:v>
      </x:c>
      <x:c r="X10" t="n">
        <x:f>IFERROR(H10/F10*100,0)</x:f>
        <x:v>14.523809523809526</x:v>
      </x:c>
      <x:c r="Y10" t="n">
        <x:f>J10-K10</x:f>
        <x:v>876</x:v>
      </x:c>
      <x:c r="Z10" t="n">
        <x:f>MAX(0,MIN(100,(V10/100)*(1-X10/100)*(1-W10/100)*100))</x:f>
        <x:v>61.830836380795084</x:v>
      </x:c>
    </x:row>
    <x:row r="11">
      <x:c r="A11" s="12" t="n">
        <x:v>46030</x:v>
      </x:c>
      <x:c r="B11" t="str">
        <x:v>A</x:v>
      </x:c>
      <x:c r="C11" t="str">
        <x:v>Desiccated Coconut</x:v>
      </x:c>
      <x:c r="D11" t="str">
        <x:v>Dryer 4</x:v>
      </x:c>
      <x:c r="E11" t="str">
        <x:v>Sup 2</x:v>
      </x:c>
      <x:c r="F11" t="n">
        <x:v>420</x:v>
      </x:c>
      <x:c r="G11" t="n">
        <x:v>40</x:v>
      </x:c>
      <x:c r="H11" t="n">
        <x:v>28</x:v>
      </x:c>
      <x:c r="I11" t="n">
        <x:v>1207</x:v>
      </x:c>
      <x:c r="J11" t="n">
        <x:v>1127</x:v>
      </x:c>
      <x:c r="K11" t="n">
        <x:v>35</x:v>
      </x:c>
      <x:c r="L11" t="n">
        <x:v>13</x:v>
      </x:c>
      <x:c r="M11" t="n">
        <x:v>91.4</x:v>
      </x:c>
      <x:c r="N11" t="n">
        <x:v>71.1</x:v>
      </x:c>
      <x:c r="O11" t="n">
        <x:v>76.1</x:v>
      </x:c>
      <x:c r="P11" t="n">
        <x:v>2</x:v>
      </x:c>
      <x:c r="Q11" t="str">
        <x:v>No incident</x:v>
      </x:c>
      <x:c r="R11" t="str">
        <x:v>N/A</x:v>
      </x:c>
      <x:c r="S11" t="str">
        <x:v>Inspection</x:v>
      </x:c>
      <x:c r="T11" t="n">
        <x:v>0.68</x:v>
      </x:c>
      <x:c r="U11" t="n">
        <x:v>9.5</x:v>
      </x:c>
      <x:c r="V11" t="n">
        <x:f>IFERROR(J11/I11*100,0)</x:f>
        <x:v>93.37199668599834</x:v>
      </x:c>
      <x:c r="W11" t="n">
        <x:f>IFERROR(K11/J11*100,0)</x:f>
        <x:v>3.1055900621118013</x:v>
      </x:c>
      <x:c r="X11" t="n">
        <x:f>IFERROR(H11/F11*100,0)</x:f>
        <x:v>6.666666666666667</x:v>
      </x:c>
      <x:c r="Y11" t="n">
        <x:f>J11-K11</x:f>
        <x:v>1092</x:v>
      </x:c>
      <x:c r="Z11" t="n">
        <x:f>MAX(0,MIN(100,(V11/100)*(1-X11/100)*(1-W11/100)*100))</x:f>
        <x:v>84.4407622203811</x:v>
      </x:c>
    </x:row>
    <x:row r="12">
      <x:c r="A12" s="12" t="n">
        <x:v>46030</x:v>
      </x:c>
      <x:c r="B12" t="str">
        <x:v>B</x:v>
      </x:c>
      <x:c r="C12" t="str">
        <x:v>Desiccated Coconut</x:v>
      </x:c>
      <x:c r="D12" t="str">
        <x:v>Dryer 1</x:v>
      </x:c>
      <x:c r="E12" t="str">
        <x:v>Sup 1</x:v>
      </x:c>
      <x:c r="F12" t="n">
        <x:v>450</x:v>
      </x:c>
      <x:c r="G12" t="n">
        <x:v>20</x:v>
      </x:c>
      <x:c r="H12" t="n">
        <x:v>30</x:v>
      </x:c>
      <x:c r="I12" t="n">
        <x:v>1273</x:v>
      </x:c>
      <x:c r="J12" t="n">
        <x:v>1146</x:v>
      </x:c>
      <x:c r="K12" t="n">
        <x:v>35</x:v>
      </x:c>
      <x:c r="L12" t="n">
        <x:v>9</x:v>
      </x:c>
      <x:c r="M12" t="n">
        <x:v>98</x:v>
      </x:c>
      <x:c r="N12" t="n">
        <x:v>79.8</x:v>
      </x:c>
      <x:c r="O12" t="n">
        <x:v>83.4</x:v>
      </x:c>
      <x:c r="P12" t="n">
        <x:v>0</x:v>
      </x:c>
      <x:c r="Q12" t="str">
        <x:v>No incident</x:v>
      </x:c>
      <x:c r="R12" t="str">
        <x:v>N/A</x:v>
      </x:c>
      <x:c r="S12" t="str">
        <x:v>Inspection</x:v>
      </x:c>
      <x:c r="T12" t="n">
        <x:v>0.95</x:v>
      </x:c>
      <x:c r="U12" t="n">
        <x:v>8.8</x:v>
      </x:c>
      <x:c r="V12" t="n">
        <x:f>IFERROR(J12/I12*100,0)</x:f>
        <x:v>90.02356637863315</x:v>
      </x:c>
      <x:c r="W12" t="n">
        <x:f>IFERROR(K12/J12*100,0)</x:f>
        <x:v>3.054101221640489</x:v>
      </x:c>
      <x:c r="X12" t="n">
        <x:f>IFERROR(H12/F12*100,0)</x:f>
        <x:v>6.666666666666667</x:v>
      </x:c>
      <x:c r="Y12" t="n">
        <x:f>J12-K12</x:f>
        <x:v>1111</x:v>
      </x:c>
      <x:c r="Z12" t="n">
        <x:f>MAX(0,MIN(100,(V12/100)*(1-X12/100)*(1-W12/100)*100))</x:f>
        <x:v>81.45587850222572</x:v>
      </x:c>
    </x:row>
    <x:row r="13">
      <x:c r="A13" s="12" t="n">
        <x:v>46030</x:v>
      </x:c>
      <x:c r="B13" t="str">
        <x:v>C</x:v>
      </x:c>
      <x:c r="C13" t="str">
        <x:v>Dried Mango</x:v>
      </x:c>
      <x:c r="D13" t="str">
        <x:v>Dryer 2</x:v>
      </x:c>
      <x:c r="E13" t="str">
        <x:v>Sup 2</x:v>
      </x:c>
      <x:c r="F13" t="n">
        <x:v>480</x:v>
      </x:c>
      <x:c r="G13" t="n">
        <x:v>0</x:v>
      </x:c>
      <x:c r="H13" t="n">
        <x:v>67</x:v>
      </x:c>
      <x:c r="I13" t="n">
        <x:v>1695</x:v>
      </x:c>
      <x:c r="J13" t="n">
        <x:v>1288</x:v>
      </x:c>
      <x:c r="K13" t="n">
        <x:v>55</x:v>
      </x:c>
      <x:c r="L13" t="n">
        <x:v>36</x:v>
      </x:c>
      <x:c r="M13" t="n">
        <x:v>86.3</x:v>
      </x:c>
      <x:c r="N13" t="n">
        <x:v>76</x:v>
      </x:c>
      <x:c r="O13" t="n">
        <x:v>79.2</x:v>
      </x:c>
      <x:c r="P13" t="n">
        <x:v>2</x:v>
      </x:c>
      <x:c r="Q13" t="str">
        <x:v>Recordable</x:v>
      </x:c>
      <x:c r="R13" t="str">
        <x:v>In progress</x:v>
      </x:c>
      <x:c r="S13" t="str">
        <x:v>Inspection</x:v>
      </x:c>
      <x:c r="T13" t="n">
        <x:v>1.15</x:v>
      </x:c>
      <x:c r="U13" t="n">
        <x:v>11.7</x:v>
      </x:c>
      <x:c r="V13" t="n">
        <x:f>IFERROR(J13/I13*100,0)</x:f>
        <x:v>75.9882005899705</x:v>
      </x:c>
      <x:c r="W13" t="n">
        <x:f>IFERROR(K13/J13*100,0)</x:f>
        <x:v>4.270186335403727</x:v>
      </x:c>
      <x:c r="X13" t="n">
        <x:f>IFERROR(H13/F13*100,0)</x:f>
        <x:v>13.958333333333334</x:v>
      </x:c>
      <x:c r="Y13" t="n">
        <x:f>J13-K13</x:f>
        <x:v>1233</x:v>
      </x:c>
      <x:c r="Z13" t="n">
        <x:f>MAX(0,MIN(100,(V13/100)*(1-X13/100)*(1-W13/100)*100))</x:f>
        <x:v>62.589601769911496</x:v>
      </x:c>
    </x:row>
    <x:row r="14">
      <x:c r="A14" s="12" t="n">
        <x:v>46031</x:v>
      </x:c>
      <x:c r="B14" t="str">
        <x:v>A</x:v>
      </x:c>
      <x:c r="C14" t="str">
        <x:v>Dried Pineapple</x:v>
      </x:c>
      <x:c r="D14" t="str">
        <x:v>Dryer 2</x:v>
      </x:c>
      <x:c r="E14" t="str">
        <x:v>Sup 2</x:v>
      </x:c>
      <x:c r="F14" t="n">
        <x:v>420</x:v>
      </x:c>
      <x:c r="G14" t="n">
        <x:v>20</x:v>
      </x:c>
      <x:c r="H14" t="n">
        <x:v>32</x:v>
      </x:c>
      <x:c r="I14" t="n">
        <x:v>1713</x:v>
      </x:c>
      <x:c r="J14" t="n">
        <x:v>1390</x:v>
      </x:c>
      <x:c r="K14" t="n">
        <x:v>37</x:v>
      </x:c>
      <x:c r="L14" t="n">
        <x:v>16</x:v>
      </x:c>
      <x:c r="M14" t="n">
        <x:v>90.4</x:v>
      </x:c>
      <x:c r="N14" t="n">
        <x:v>72.6</x:v>
      </x:c>
      <x:c r="O14" t="n">
        <x:v>76.5</x:v>
      </x:c>
      <x:c r="P14" t="n">
        <x:v>0</x:v>
      </x:c>
      <x:c r="Q14" t="str">
        <x:v>No incident</x:v>
      </x:c>
      <x:c r="R14" t="str">
        <x:v>N/A</x:v>
      </x:c>
      <x:c r="S14" t="str">
        <x:v>Corrective</x:v>
      </x:c>
      <x:c r="T14" t="n">
        <x:v>1.45</x:v>
      </x:c>
      <x:c r="U14" t="n">
        <x:v>11.8</x:v>
      </x:c>
      <x:c r="V14" t="n">
        <x:f>IFERROR(J14/I14*100,0)</x:f>
        <x:v>81.14419147694105</x:v>
      </x:c>
      <x:c r="W14" t="n">
        <x:f>IFERROR(K14/J14*100,0)</x:f>
        <x:v>2.661870503597122</x:v>
      </x:c>
      <x:c r="X14" t="n">
        <x:f>IFERROR(H14/F14*100,0)</x:f>
        <x:v>7.6190476190476195</x:v>
      </x:c>
      <x:c r="Y14" t="n">
        <x:f>J14-K14</x:f>
        <x:v>1353</x:v>
      </x:c>
      <x:c r="Z14" t="n">
        <x:f>MAX(0,MIN(100,(V14/100)*(1-X14/100)*(1-W14/100)*100))</x:f>
        <x:v>72.96639146026187</x:v>
      </x:c>
    </x:row>
    <x:row r="15">
      <x:c r="A15" s="12" t="n">
        <x:v>46031</x:v>
      </x:c>
      <x:c r="B15" t="str">
        <x:v>B</x:v>
      </x:c>
      <x:c r="C15" t="str">
        <x:v>Desiccated Coconut</x:v>
      </x:c>
      <x:c r="D15" t="str">
        <x:v>Dryer 2</x:v>
      </x:c>
      <x:c r="E15" t="str">
        <x:v>Sup 1</x:v>
      </x:c>
      <x:c r="F15" t="n">
        <x:v>420</x:v>
      </x:c>
      <x:c r="G15" t="n">
        <x:v>20</x:v>
      </x:c>
      <x:c r="H15" t="n">
        <x:v>49</x:v>
      </x:c>
      <x:c r="I15" t="n">
        <x:v>1202</x:v>
      </x:c>
      <x:c r="J15" t="n">
        <x:v>979</x:v>
      </x:c>
      <x:c r="K15" t="n">
        <x:v>25</x:v>
      </x:c>
      <x:c r="L15" t="n">
        <x:v>14</x:v>
      </x:c>
      <x:c r="M15" t="n">
        <x:v>86.4</x:v>
      </x:c>
      <x:c r="N15" t="n">
        <x:v>85.2</x:v>
      </x:c>
      <x:c r="O15" t="n">
        <x:v>73.5</x:v>
      </x:c>
      <x:c r="P15" t="n">
        <x:v>3</x:v>
      </x:c>
      <x:c r="Q15" t="str">
        <x:v>No incident</x:v>
      </x:c>
      <x:c r="R15" t="str">
        <x:v>N/A</x:v>
      </x:c>
      <x:c r="S15" t="str">
        <x:v>Inspection</x:v>
      </x:c>
      <x:c r="T15" t="n">
        <x:v>0.74</x:v>
      </x:c>
      <x:c r="U15" t="n">
        <x:v>8.4</x:v>
      </x:c>
      <x:c r="V15" t="n">
        <x:f>IFERROR(J15/I15*100,0)</x:f>
        <x:v>81.44758735440932</x:v>
      </x:c>
      <x:c r="W15" t="n">
        <x:f>IFERROR(K15/J15*100,0)</x:f>
        <x:v>2.5536261491317673</x:v>
      </x:c>
      <x:c r="X15" t="n">
        <x:f>IFERROR(H15/F15*100,0)</x:f>
        <x:v>11.666666666666666</x:v>
      </x:c>
      <x:c r="Y15" t="n">
        <x:f>J15-K15</x:f>
        <x:v>954</x:v>
      </x:c>
      <x:c r="Z15" t="n">
        <x:f>MAX(0,MIN(100,(V15/100)*(1-X15/100)*(1-W15/100)*100))</x:f>
        <x:v>70.10815307820299</x:v>
      </x:c>
    </x:row>
    <x:row r="16">
      <x:c r="A16" s="12" t="n">
        <x:v>46031</x:v>
      </x:c>
      <x:c r="B16" t="str">
        <x:v>C</x:v>
      </x:c>
      <x:c r="C16" t="str">
        <x:v>Desiccated Coconut</x:v>
      </x:c>
      <x:c r="D16" t="str">
        <x:v>Dryer 3</x:v>
      </x:c>
      <x:c r="E16" t="str">
        <x:v>Sup 1</x:v>
      </x:c>
      <x:c r="F16" t="n">
        <x:v>480</x:v>
      </x:c>
      <x:c r="G16" t="n">
        <x:v>20</x:v>
      </x:c>
      <x:c r="H16" t="n">
        <x:v>64</x:v>
      </x:c>
      <x:c r="I16" t="n">
        <x:v>1260</x:v>
      </x:c>
      <x:c r="J16" t="n">
        <x:v>1107</x:v>
      </x:c>
      <x:c r="K16" t="n">
        <x:v>50</x:v>
      </x:c>
      <x:c r="L16" t="n">
        <x:v>22</x:v>
      </x:c>
      <x:c r="M16" t="n">
        <x:v>93</x:v>
      </x:c>
      <x:c r="N16" t="n">
        <x:v>76.3</x:v>
      </x:c>
      <x:c r="O16" t="n">
        <x:v>72.8</x:v>
      </x:c>
      <x:c r="P16" t="n">
        <x:v>2</x:v>
      </x:c>
      <x:c r="Q16" t="str">
        <x:v>No incident</x:v>
      </x:c>
      <x:c r="R16" t="str">
        <x:v>N/A</x:v>
      </x:c>
      <x:c r="S16" t="str">
        <x:v>Corrective</x:v>
      </x:c>
      <x:c r="T16" t="n">
        <x:v>0.59</x:v>
      </x:c>
      <x:c r="U16" t="n">
        <x:v>8.9</x:v>
      </x:c>
      <x:c r="V16" t="n">
        <x:f>IFERROR(J16/I16*100,0)</x:f>
        <x:v>87.85714285714286</x:v>
      </x:c>
      <x:c r="W16" t="n">
        <x:f>IFERROR(K16/J16*100,0)</x:f>
        <x:v>4.5167118337850045</x:v>
      </x:c>
      <x:c r="X16" t="n">
        <x:f>IFERROR(H16/F16*100,0)</x:f>
        <x:v>13.333333333333334</x:v>
      </x:c>
      <x:c r="Y16" t="n">
        <x:f>J16-K16</x:f>
        <x:v>1057</x:v>
      </x:c>
      <x:c r="Z16" t="n">
        <x:f>MAX(0,MIN(100,(V16/100)*(1-X16/100)*(1-W16/100)*100))</x:f>
        <x:v>72.70370370370371</x:v>
      </x:c>
    </x:row>
    <x:row r="17">
      <x:c r="A17" s="12" t="n">
        <x:v>46032</x:v>
      </x:c>
      <x:c r="B17" t="str">
        <x:v>A</x:v>
      </x:c>
      <x:c r="C17" t="str">
        <x:v>Desiccated Coconut</x:v>
      </x:c>
      <x:c r="D17" t="str">
        <x:v>Dryer 4</x:v>
      </x:c>
      <x:c r="E17" t="str">
        <x:v>Sup 2</x:v>
      </x:c>
      <x:c r="F17" t="n">
        <x:v>480</x:v>
      </x:c>
      <x:c r="G17" t="n">
        <x:v>0</x:v>
      </x:c>
      <x:c r="H17" t="n">
        <x:v>24</x:v>
      </x:c>
      <x:c r="I17" t="n">
        <x:v>1137</x:v>
      </x:c>
      <x:c r="J17" t="n">
        <x:v>956</x:v>
      </x:c>
      <x:c r="K17" t="n">
        <x:v>32</x:v>
      </x:c>
      <x:c r="L17" t="n">
        <x:v>9</x:v>
      </x:c>
      <x:c r="M17" t="n">
        <x:v>90.3</x:v>
      </x:c>
      <x:c r="N17" t="n">
        <x:v>68.8</x:v>
      </x:c>
      <x:c r="O17" t="n">
        <x:v>80.5</x:v>
      </x:c>
      <x:c r="P17" t="n">
        <x:v>0</x:v>
      </x:c>
      <x:c r="Q17" t="str">
        <x:v>Recordable</x:v>
      </x:c>
      <x:c r="R17" t="str">
        <x:v>In progress</x:v>
      </x:c>
      <x:c r="S17" t="str">
        <x:v>Inspection</x:v>
      </x:c>
      <x:c r="T17" t="n">
        <x:v>0.5</x:v>
      </x:c>
      <x:c r="U17" t="n">
        <x:v>7.8</x:v>
      </x:c>
      <x:c r="V17" t="n">
        <x:f>IFERROR(J17/I17*100,0)</x:f>
        <x:v>84.08091468777485</x:v>
      </x:c>
      <x:c r="W17" t="n">
        <x:f>IFERROR(K17/J17*100,0)</x:f>
        <x:v>3.3472803347280333</x:v>
      </x:c>
      <x:c r="X17" t="n">
        <x:f>IFERROR(H17/F17*100,0)</x:f>
        <x:v>5</x:v>
      </x:c>
      <x:c r="Y17" t="n">
        <x:f>J17-K17</x:f>
        <x:v>924</x:v>
      </x:c>
      <x:c r="Z17" t="n">
        <x:f>MAX(0,MIN(100,(V17/100)*(1-X17/100)*(1-W17/100)*100))</x:f>
        <x:v>77.20316622691293</x:v>
      </x:c>
    </x:row>
    <x:row r="18">
      <x:c r="A18" s="12" t="n">
        <x:v>46032</x:v>
      </x:c>
      <x:c r="B18" t="str">
        <x:v>B</x:v>
      </x:c>
      <x:c r="C18" t="str">
        <x:v>Desiccated Coconut</x:v>
      </x:c>
      <x:c r="D18" t="str">
        <x:v>Dryer 4</x:v>
      </x:c>
      <x:c r="E18" t="str">
        <x:v>Sup 3</x:v>
      </x:c>
      <x:c r="F18" t="n">
        <x:v>450</x:v>
      </x:c>
      <x:c r="G18" t="n">
        <x:v>0</x:v>
      </x:c>
      <x:c r="H18" t="n">
        <x:v>56</x:v>
      </x:c>
      <x:c r="I18" t="n">
        <x:v>1222</x:v>
      </x:c>
      <x:c r="J18" t="n">
        <x:v>976</x:v>
      </x:c>
      <x:c r="K18" t="n">
        <x:v>34</x:v>
      </x:c>
      <x:c r="L18" t="n">
        <x:v>13</x:v>
      </x:c>
      <x:c r="M18" t="n">
        <x:v>85.5</x:v>
      </x:c>
      <x:c r="N18" t="n">
        <x:v>83.8</x:v>
      </x:c>
      <x:c r="O18" t="n">
        <x:v>73.7</x:v>
      </x:c>
      <x:c r="P18" t="n">
        <x:v>1</x:v>
      </x:c>
      <x:c r="Q18" t="str">
        <x:v>No incident</x:v>
      </x:c>
      <x:c r="R18" t="str">
        <x:v>N/A</x:v>
      </x:c>
      <x:c r="S18" t="str">
        <x:v>Preventive</x:v>
      </x:c>
      <x:c r="T18" t="n">
        <x:v>1.25</x:v>
      </x:c>
      <x:c r="U18" t="n">
        <x:v>8</x:v>
      </x:c>
      <x:c r="V18" t="n">
        <x:f>IFERROR(J18/I18*100,0)</x:f>
        <x:v>79.86906710310966</x:v>
      </x:c>
      <x:c r="W18" t="n">
        <x:f>IFERROR(K18/J18*100,0)</x:f>
        <x:v>3.483606557377049</x:v>
      </x:c>
      <x:c r="X18" t="n">
        <x:f>IFERROR(H18/F18*100,0)</x:f>
        <x:v>12.444444444444445</x:v>
      </x:c>
      <x:c r="Y18" t="n">
        <x:f>J18-K18</x:f>
        <x:v>942</x:v>
      </x:c>
      <x:c r="Z18" t="n">
        <x:f>MAX(0,MIN(100,(V18/100)*(1-X18/100)*(1-W18/100)*100))</x:f>
        <x:v>67.493726132024</x:v>
      </x:c>
    </x:row>
    <x:row r="19">
      <x:c r="A19" s="12" t="n">
        <x:v>46032</x:v>
      </x:c>
      <x:c r="B19" t="str">
        <x:v>C</x:v>
      </x:c>
      <x:c r="C19" t="str">
        <x:v>Desiccated Coconut</x:v>
      </x:c>
      <x:c r="D19" t="str">
        <x:v>Dryer 1</x:v>
      </x:c>
      <x:c r="E19" t="str">
        <x:v>Sup 2</x:v>
      </x:c>
      <x:c r="F19" t="n">
        <x:v>450</x:v>
      </x:c>
      <x:c r="G19" t="n">
        <x:v>0</x:v>
      </x:c>
      <x:c r="H19" t="n">
        <x:v>47</x:v>
      </x:c>
      <x:c r="I19" t="n">
        <x:v>1233</x:v>
      </x:c>
      <x:c r="J19" t="n">
        <x:v>1097</x:v>
      </x:c>
      <x:c r="K19" t="n">
        <x:v>25</x:v>
      </x:c>
      <x:c r="L19" t="n">
        <x:v>14</x:v>
      </x:c>
      <x:c r="M19" t="n">
        <x:v>88.3</x:v>
      </x:c>
      <x:c r="N19" t="n">
        <x:v>65.5</x:v>
      </x:c>
      <x:c r="O19" t="n">
        <x:v>73.7</x:v>
      </x:c>
      <x:c r="P19" t="n">
        <x:v>3</x:v>
      </x:c>
      <x:c r="Q19" t="str">
        <x:v>No incident</x:v>
      </x:c>
      <x:c r="R19" t="str">
        <x:v>N/A</x:v>
      </x:c>
      <x:c r="S19" t="str">
        <x:v>Preventive</x:v>
      </x:c>
      <x:c r="T19" t="n">
        <x:v>0.67</x:v>
      </x:c>
      <x:c r="U19" t="n">
        <x:v>8.8</x:v>
      </x:c>
      <x:c r="V19" t="n">
        <x:f>IFERROR(J19/I19*100,0)</x:f>
        <x:v>88.96999188969991</x:v>
      </x:c>
      <x:c r="W19" t="n">
        <x:f>IFERROR(K19/J19*100,0)</x:f>
        <x:v>2.2789425706472195</x:v>
      </x:c>
      <x:c r="X19" t="n">
        <x:f>IFERROR(H19/F19*100,0)</x:f>
        <x:v>10.444444444444445</x:v>
      </x:c>
      <x:c r="Y19" t="n">
        <x:f>J19-K19</x:f>
        <x:v>1072</x:v>
      </x:c>
      <x:c r="Z19" t="n">
        <x:f>MAX(0,MIN(100,(V19/100)*(1-X19/100)*(1-W19/100)*100))</x:f>
        <x:v>77.86176444083986</x:v>
      </x:c>
    </x:row>
    <x:row r="20">
      <x:c r="A20" s="12" t="n">
        <x:v>46033</x:v>
      </x:c>
      <x:c r="B20" t="str">
        <x:v>A</x:v>
      </x:c>
      <x:c r="C20" t="str">
        <x:v>Dried Pineapple</x:v>
      </x:c>
      <x:c r="D20" t="str">
        <x:v>Dryer 1</x:v>
      </x:c>
      <x:c r="E20" t="str">
        <x:v>Sup 2</x:v>
      </x:c>
      <x:c r="F20" t="n">
        <x:v>420</x:v>
      </x:c>
      <x:c r="G20" t="n">
        <x:v>30</x:v>
      </x:c>
      <x:c r="H20" t="n">
        <x:v>36</x:v>
      </x:c>
      <x:c r="I20" t="n">
        <x:v>1838</x:v>
      </x:c>
      <x:c r="J20" t="n">
        <x:v>1610</x:v>
      </x:c>
      <x:c r="K20" t="n">
        <x:v>65</x:v>
      </x:c>
      <x:c r="L20" t="n">
        <x:v>15</x:v>
      </x:c>
      <x:c r="M20" t="n">
        <x:v>97.4</x:v>
      </x:c>
      <x:c r="N20" t="n">
        <x:v>68.8</x:v>
      </x:c>
      <x:c r="O20" t="n">
        <x:v>84</x:v>
      </x:c>
      <x:c r="P20" t="n">
        <x:v>4</x:v>
      </x:c>
      <x:c r="Q20" t="str">
        <x:v>No incident</x:v>
      </x:c>
      <x:c r="R20" t="str">
        <x:v>N/A</x:v>
      </x:c>
      <x:c r="S20" t="str">
        <x:v>Preventive</x:v>
      </x:c>
      <x:c r="T20" t="n">
        <x:v>0.5</x:v>
      </x:c>
      <x:c r="U20" t="n">
        <x:v>12.6</x:v>
      </x:c>
      <x:c r="V20" t="n">
        <x:f>IFERROR(J20/I20*100,0)</x:f>
        <x:v>87.59521218715996</x:v>
      </x:c>
      <x:c r="W20" t="n">
        <x:f>IFERROR(K20/J20*100,0)</x:f>
        <x:v>4.037267080745342</x:v>
      </x:c>
      <x:c r="X20" t="n">
        <x:f>IFERROR(H20/F20*100,0)</x:f>
        <x:v>8.571428571428571</x:v>
      </x:c>
      <x:c r="Y20" t="n">
        <x:f>J20-K20</x:f>
        <x:v>1545</x:v>
      </x:c>
      <x:c r="Z20" t="n">
        <x:f>MAX(0,MIN(100,(V20/100)*(1-X20/100)*(1-W20/100)*100))</x:f>
        <x:v>76.85372299082853</x:v>
      </x:c>
    </x:row>
    <x:row r="21">
      <x:c r="A21" s="12" t="n">
        <x:v>46033</x:v>
      </x:c>
      <x:c r="B21" t="str">
        <x:v>B</x:v>
      </x:c>
      <x:c r="C21" t="str">
        <x:v>Dried Mango</x:v>
      </x:c>
      <x:c r="D21" t="str">
        <x:v>Dryer 1</x:v>
      </x:c>
      <x:c r="E21" t="str">
        <x:v>Sup 3</x:v>
      </x:c>
      <x:c r="F21" t="n">
        <x:v>420</x:v>
      </x:c>
      <x:c r="G21" t="n">
        <x:v>30</x:v>
      </x:c>
      <x:c r="H21" t="n">
        <x:v>40</x:v>
      </x:c>
      <x:c r="I21" t="n">
        <x:v>1689</x:v>
      </x:c>
      <x:c r="J21" t="n">
        <x:v>1467</x:v>
      </x:c>
      <x:c r="K21" t="n">
        <x:v>44</x:v>
      </x:c>
      <x:c r="L21" t="n">
        <x:v>9</x:v>
      </x:c>
      <x:c r="M21" t="n">
        <x:v>94.3</x:v>
      </x:c>
      <x:c r="N21" t="n">
        <x:v>76.1</x:v>
      </x:c>
      <x:c r="O21" t="n">
        <x:v>57.5</x:v>
      </x:c>
      <x:c r="P21" t="n">
        <x:v>6</x:v>
      </x:c>
      <x:c r="Q21" t="str">
        <x:v>No incident</x:v>
      </x:c>
      <x:c r="R21" t="str">
        <x:v>N/A</x:v>
      </x:c>
      <x:c r="S21" t="str">
        <x:v>Preventive</x:v>
      </x:c>
      <x:c r="T21" t="n">
        <x:v>0.5</x:v>
      </x:c>
      <x:c r="U21" t="n">
        <x:v>13.2</x:v>
      </x:c>
      <x:c r="V21" t="n">
        <x:f>IFERROR(J21/I21*100,0)</x:f>
        <x:v>86.85612788632326</x:v>
      </x:c>
      <x:c r="W21" t="n">
        <x:f>IFERROR(K21/J21*100,0)</x:f>
        <x:v>2.99931833674165</x:v>
      </x:c>
      <x:c r="X21" t="n">
        <x:f>IFERROR(H21/F21*100,0)</x:f>
        <x:v>9.523809523809524</x:v>
      </x:c>
      <x:c r="Y21" t="n">
        <x:f>J21-K21</x:f>
        <x:v>1423</x:v>
      </x:c>
      <x:c r="Z21" t="n">
        <x:f>MAX(0,MIN(100,(V21/100)*(1-X21/100)*(1-W21/100)*100))</x:f>
        <x:v>76.2271279145169</x:v>
      </x:c>
    </x:row>
    <x:row r="22">
      <x:c r="A22" s="12" t="n">
        <x:v>46033</x:v>
      </x:c>
      <x:c r="B22" t="str">
        <x:v>C</x:v>
      </x:c>
      <x:c r="C22" t="str">
        <x:v>Desiccated Coconut</x:v>
      </x:c>
      <x:c r="D22" t="str">
        <x:v>Dryer 1</x:v>
      </x:c>
      <x:c r="E22" t="str">
        <x:v>Sup 3</x:v>
      </x:c>
      <x:c r="F22" t="n">
        <x:v>480</x:v>
      </x:c>
      <x:c r="G22" t="n">
        <x:v>20</x:v>
      </x:c>
      <x:c r="H22" t="n">
        <x:v>83</x:v>
      </x:c>
      <x:c r="I22" t="n">
        <x:v>1129</x:v>
      </x:c>
      <x:c r="J22" t="n">
        <x:v>916</x:v>
      </x:c>
      <x:c r="K22" t="n">
        <x:v>33</x:v>
      </x:c>
      <x:c r="L22" t="n">
        <x:v>21</x:v>
      </x:c>
      <x:c r="M22" t="n">
        <x:v>82.1</x:v>
      </x:c>
      <x:c r="N22" t="n">
        <x:v>66.8</x:v>
      </x:c>
      <x:c r="O22" t="n">
        <x:v>79.1</x:v>
      </x:c>
      <x:c r="P22" t="n">
        <x:v>3</x:v>
      </x:c>
      <x:c r="Q22" t="str">
        <x:v>No incident</x:v>
      </x:c>
      <x:c r="R22" t="str">
        <x:v>N/A</x:v>
      </x:c>
      <x:c r="S22" t="str">
        <x:v>Inspection</x:v>
      </x:c>
      <x:c r="T22" t="n">
        <x:v>1.8</x:v>
      </x:c>
      <x:c r="U22" t="n">
        <x:v>7.6</x:v>
      </x:c>
      <x:c r="V22" t="n">
        <x:f>IFERROR(J22/I22*100,0)</x:f>
        <x:v>81.13374667847653</x:v>
      </x:c>
      <x:c r="W22" t="n">
        <x:f>IFERROR(K22/J22*100,0)</x:f>
        <x:v>3.602620087336245</x:v>
      </x:c>
      <x:c r="X22" t="n">
        <x:f>IFERROR(H22/F22*100,0)</x:f>
        <x:v>17.291666666666668</x:v>
      </x:c>
      <x:c r="Y22" t="n">
        <x:f>J22-K22</x:f>
        <x:v>883</x:v>
      </x:c>
      <x:c r="Z22" t="n">
        <x:f>MAX(0,MIN(100,(V22/100)*(1-X22/100)*(1-W22/100)*100))</x:f>
        <x:v>64.68685414821375</x:v>
      </x:c>
    </x:row>
    <x:row r="23">
      <x:c r="A23" s="12" t="n">
        <x:v>46034</x:v>
      </x:c>
      <x:c r="B23" t="str">
        <x:v>A</x:v>
      </x:c>
      <x:c r="C23" t="str">
        <x:v>Dried Mango</x:v>
      </x:c>
      <x:c r="D23" t="str">
        <x:v>Dryer 2</x:v>
      </x:c>
      <x:c r="E23" t="str">
        <x:v>Sup 1</x:v>
      </x:c>
      <x:c r="F23" t="n">
        <x:v>480</x:v>
      </x:c>
      <x:c r="G23" t="n">
        <x:v>30</x:v>
      </x:c>
      <x:c r="H23" t="n">
        <x:v>55</x:v>
      </x:c>
      <x:c r="I23" t="n">
        <x:v>1747</x:v>
      </x:c>
      <x:c r="J23" t="n">
        <x:v>1389</x:v>
      </x:c>
      <x:c r="K23" t="n">
        <x:v>62</x:v>
      </x:c>
      <x:c r="L23" t="n">
        <x:v>34</x:v>
      </x:c>
      <x:c r="M23" t="n">
        <x:v>87.9</x:v>
      </x:c>
      <x:c r="N23" t="n">
        <x:v>71.7</x:v>
      </x:c>
      <x:c r="O23" t="n">
        <x:v>74.2</x:v>
      </x:c>
      <x:c r="P23" t="n">
        <x:v>4</x:v>
      </x:c>
      <x:c r="Q23" t="str">
        <x:v>No incident</x:v>
      </x:c>
      <x:c r="R23" t="str">
        <x:v>N/A</x:v>
      </x:c>
      <x:c r="S23" t="str">
        <x:v>Inspection</x:v>
      </x:c>
      <x:c r="T23" t="n">
        <x:v>0.56</x:v>
      </x:c>
      <x:c r="U23" t="n">
        <x:v>11.9</x:v>
      </x:c>
      <x:c r="V23" t="n">
        <x:f>IFERROR(J23/I23*100,0)</x:f>
        <x:v>79.50772753291356</x:v>
      </x:c>
      <x:c r="W23" t="n">
        <x:f>IFERROR(K23/J23*100,0)</x:f>
        <x:v>4.463642908567315</x:v>
      </x:c>
      <x:c r="X23" t="n">
        <x:f>IFERROR(H23/F23*100,0)</x:f>
        <x:v>11.458333333333332</x:v>
      </x:c>
      <x:c r="Y23" t="n">
        <x:f>J23-K23</x:f>
        <x:v>1327</x:v>
      </x:c>
      <x:c r="Z23" t="n">
        <x:f>MAX(0,MIN(100,(V23/100)*(1-X23/100)*(1-W23/100)*100))</x:f>
        <x:v>67.25517553901928</x:v>
      </x:c>
    </x:row>
    <x:row r="24">
      <x:c r="A24" s="12" t="n">
        <x:v>46034</x:v>
      </x:c>
      <x:c r="B24" t="str">
        <x:v>B</x:v>
      </x:c>
      <x:c r="C24" t="str">
        <x:v>Dried Mango</x:v>
      </x:c>
      <x:c r="D24" t="str">
        <x:v>Dryer 3</x:v>
      </x:c>
      <x:c r="E24" t="str">
        <x:v>Sup 1</x:v>
      </x:c>
      <x:c r="F24" t="n">
        <x:v>480</x:v>
      </x:c>
      <x:c r="G24" t="n">
        <x:v>0</x:v>
      </x:c>
      <x:c r="H24" t="n">
        <x:v>39</x:v>
      </x:c>
      <x:c r="I24" t="n">
        <x:v>1538</x:v>
      </x:c>
      <x:c r="J24" t="n">
        <x:v>1385</x:v>
      </x:c>
      <x:c r="K24" t="n">
        <x:v>68</x:v>
      </x:c>
      <x:c r="L24" t="n">
        <x:v>34</x:v>
      </x:c>
      <x:c r="M24" t="n">
        <x:v>91.1</x:v>
      </x:c>
      <x:c r="N24" t="n">
        <x:v>70.9</x:v>
      </x:c>
      <x:c r="O24" t="n">
        <x:v>73.3</x:v>
      </x:c>
      <x:c r="P24" t="n">
        <x:v>2</x:v>
      </x:c>
      <x:c r="Q24" t="str">
        <x:v>Near miss</x:v>
      </x:c>
      <x:c r="R24" t="str">
        <x:v>Open</x:v>
      </x:c>
      <x:c r="S24" t="str">
        <x:v>Inspection</x:v>
      </x:c>
      <x:c r="T24" t="n">
        <x:v>0.5</x:v>
      </x:c>
      <x:c r="U24" t="n">
        <x:v>12.4</x:v>
      </x:c>
      <x:c r="V24" t="n">
        <x:f>IFERROR(J24/I24*100,0)</x:f>
        <x:v>90.0520156046814</x:v>
      </x:c>
      <x:c r="W24" t="n">
        <x:f>IFERROR(K24/J24*100,0)</x:f>
        <x:v>4.909747292418772</x:v>
      </x:c>
      <x:c r="X24" t="n">
        <x:f>IFERROR(H24/F24*100,0)</x:f>
        <x:v>8.125</x:v>
      </x:c>
      <x:c r="Y24" t="n">
        <x:f>J24-K24</x:f>
        <x:v>1317</x:v>
      </x:c>
      <x:c r="Z24" t="n">
        <x:f>MAX(0,MIN(100,(V24/100)*(1-X24/100)*(1-W24/100)*100))</x:f>
        <x:v>78.67319570871261</x:v>
      </x:c>
    </x:row>
    <x:row r="25">
      <x:c r="A25" s="12" t="n">
        <x:v>46034</x:v>
      </x:c>
      <x:c r="B25" t="str">
        <x:v>C</x:v>
      </x:c>
      <x:c r="C25" t="str">
        <x:v>Dried Mango</x:v>
      </x:c>
      <x:c r="D25" t="str">
        <x:v>Dryer 1</x:v>
      </x:c>
      <x:c r="E25" t="str">
        <x:v>Sup 3</x:v>
      </x:c>
      <x:c r="F25" t="n">
        <x:v>480</x:v>
      </x:c>
      <x:c r="G25" t="n">
        <x:v>40</x:v>
      </x:c>
      <x:c r="H25" t="n">
        <x:v>46</x:v>
      </x:c>
      <x:c r="I25" t="n">
        <x:v>1604</x:v>
      </x:c>
      <x:c r="J25" t="n">
        <x:v>1355</x:v>
      </x:c>
      <x:c r="K25" t="n">
        <x:v>46</x:v>
      </x:c>
      <x:c r="L25" t="n">
        <x:v>26</x:v>
      </x:c>
      <x:c r="M25" t="n">
        <x:v>81.3</x:v>
      </x:c>
      <x:c r="N25" t="n">
        <x:v>76</x:v>
      </x:c>
      <x:c r="O25" t="n">
        <x:v>71.3</x:v>
      </x:c>
      <x:c r="P25" t="n">
        <x:v>2</x:v>
      </x:c>
      <x:c r="Q25" t="str">
        <x:v>No incident</x:v>
      </x:c>
      <x:c r="R25" t="str">
        <x:v>N/A</x:v>
      </x:c>
      <x:c r="S25" t="str">
        <x:v>Preventive</x:v>
      </x:c>
      <x:c r="T25" t="n">
        <x:v>0.81</x:v>
      </x:c>
      <x:c r="U25" t="n">
        <x:v>10.9</x:v>
      </x:c>
      <x:c r="V25" t="n">
        <x:f>IFERROR(J25/I25*100,0)</x:f>
        <x:v>84.47630922693267</x:v>
      </x:c>
      <x:c r="W25" t="n">
        <x:f>IFERROR(K25/J25*100,0)</x:f>
        <x:v>3.394833948339483</x:v>
      </x:c>
      <x:c r="X25" t="n">
        <x:f>IFERROR(H25/F25*100,0)</x:f>
        <x:v>9.583333333333334</x:v>
      </x:c>
      <x:c r="Y25" t="n">
        <x:f>J25-K25</x:f>
        <x:v>1309</x:v>
      </x:c>
      <x:c r="Z25" t="n">
        <x:f>MAX(0,MIN(100,(V25/100)*(1-X25/100)*(1-W25/100)*100))</x:f>
        <x:v>73.78766625103907</x:v>
      </x:c>
    </x:row>
    <x:row r="26">
      <x:c r="A26" s="12" t="n">
        <x:v>46035</x:v>
      </x:c>
      <x:c r="B26" t="str">
        <x:v>A</x:v>
      </x:c>
      <x:c r="C26" t="str">
        <x:v>Dried Pineapple</x:v>
      </x:c>
      <x:c r="D26" t="str">
        <x:v>Dryer 1</x:v>
      </x:c>
      <x:c r="E26" t="str">
        <x:v>Sup 3</x:v>
      </x:c>
      <x:c r="F26" t="n">
        <x:v>450</x:v>
      </x:c>
      <x:c r="G26" t="n">
        <x:v>0</x:v>
      </x:c>
      <x:c r="H26" t="n">
        <x:v>54</x:v>
      </x:c>
      <x:c r="I26" t="n">
        <x:v>1730</x:v>
      </x:c>
      <x:c r="J26" t="n">
        <x:v>1543</x:v>
      </x:c>
      <x:c r="K26" t="n">
        <x:v>49</x:v>
      </x:c>
      <x:c r="L26" t="n">
        <x:v>16</x:v>
      </x:c>
      <x:c r="M26" t="n">
        <x:v>98</x:v>
      </x:c>
      <x:c r="N26" t="n">
        <x:v>77.3</x:v>
      </x:c>
      <x:c r="O26" t="n">
        <x:v>78.8</x:v>
      </x:c>
      <x:c r="P26" t="n">
        <x:v>3</x:v>
      </x:c>
      <x:c r="Q26" t="str">
        <x:v>No incident</x:v>
      </x:c>
      <x:c r="R26" t="str">
        <x:v>N/A</x:v>
      </x:c>
      <x:c r="S26" t="str">
        <x:v>Corrective</x:v>
      </x:c>
      <x:c r="T26" t="n">
        <x:v>1.79</x:v>
      </x:c>
      <x:c r="U26" t="n">
        <x:v>12.3</x:v>
      </x:c>
      <x:c r="V26" t="n">
        <x:f>IFERROR(J26/I26*100,0)</x:f>
        <x:v>89.1907514450867</x:v>
      </x:c>
      <x:c r="W26" t="n">
        <x:f>IFERROR(K26/J26*100,0)</x:f>
        <x:v>3.175631885936488</x:v>
      </x:c>
      <x:c r="X26" t="n">
        <x:f>IFERROR(H26/F26*100,0)</x:f>
        <x:v>12</x:v>
      </x:c>
      <x:c r="Y26" t="n">
        <x:f>J26-K26</x:f>
        <x:v>1494</x:v>
      </x:c>
      <x:c r="Z26" t="n">
        <x:f>MAX(0,MIN(100,(V26/100)*(1-X26/100)*(1-W26/100)*100))</x:f>
        <x:v>75.99537572254334</x:v>
      </x:c>
    </x:row>
    <x:row r="27">
      <x:c r="A27" s="12" t="n">
        <x:v>46035</x:v>
      </x:c>
      <x:c r="B27" t="str">
        <x:v>B</x:v>
      </x:c>
      <x:c r="C27" t="str">
        <x:v>Dried Mango</x:v>
      </x:c>
      <x:c r="D27" t="str">
        <x:v>Dryer 1</x:v>
      </x:c>
      <x:c r="E27" t="str">
        <x:v>Sup 2</x:v>
      </x:c>
      <x:c r="F27" t="n">
        <x:v>450</x:v>
      </x:c>
      <x:c r="G27" t="n">
        <x:v>20</x:v>
      </x:c>
      <x:c r="H27" t="n">
        <x:v>48</x:v>
      </x:c>
      <x:c r="I27" t="n">
        <x:v>1566</x:v>
      </x:c>
      <x:c r="J27" t="n">
        <x:v>1307</x:v>
      </x:c>
      <x:c r="K27" t="n">
        <x:v>35</x:v>
      </x:c>
      <x:c r="L27" t="n">
        <x:v>12</x:v>
      </x:c>
      <x:c r="M27" t="n">
        <x:v>93.4</x:v>
      </x:c>
      <x:c r="N27" t="n">
        <x:v>69.9</x:v>
      </x:c>
      <x:c r="O27" t="n">
        <x:v>75.9</x:v>
      </x:c>
      <x:c r="P27" t="n">
        <x:v>3</x:v>
      </x:c>
      <x:c r="Q27" t="str">
        <x:v>No incident</x:v>
      </x:c>
      <x:c r="R27" t="str">
        <x:v>N/A</x:v>
      </x:c>
      <x:c r="S27" t="str">
        <x:v>Corrective</x:v>
      </x:c>
      <x:c r="T27" t="n">
        <x:v>1.26</x:v>
      </x:c>
      <x:c r="U27" t="n">
        <x:v>11</x:v>
      </x:c>
      <x:c r="V27" t="n">
        <x:f>IFERROR(J27/I27*100,0)</x:f>
        <x:v>83.4610472541507</x:v>
      </x:c>
      <x:c r="W27" t="n">
        <x:f>IFERROR(K27/J27*100,0)</x:f>
        <x:v>2.6778882938026016</x:v>
      </x:c>
      <x:c r="X27" t="n">
        <x:f>IFERROR(H27/F27*100,0)</x:f>
        <x:v>10.666666666666668</x:v>
      </x:c>
      <x:c r="Y27" t="n">
        <x:f>J27-K27</x:f>
        <x:v>1272</x:v>
      </x:c>
      <x:c r="Z27" t="n">
        <x:f>MAX(0,MIN(100,(V27/100)*(1-X27/100)*(1-W27/100)*100))</x:f>
        <x:v>72.56194125159642</x:v>
      </x:c>
    </x:row>
    <x:row r="28">
      <x:c r="A28" s="12" t="n">
        <x:v>46035</x:v>
      </x:c>
      <x:c r="B28" t="str">
        <x:v>C</x:v>
      </x:c>
      <x:c r="C28" t="str">
        <x:v>Desiccated Coconut</x:v>
      </x:c>
      <x:c r="D28" t="str">
        <x:v>Dryer 2</x:v>
      </x:c>
      <x:c r="E28" t="str">
        <x:v>Sup 2</x:v>
      </x:c>
      <x:c r="F28" t="n">
        <x:v>450</x:v>
      </x:c>
      <x:c r="G28" t="n">
        <x:v>0</x:v>
      </x:c>
      <x:c r="H28" t="n">
        <x:v>66</x:v>
      </x:c>
      <x:c r="I28" t="n">
        <x:v>1293</x:v>
      </x:c>
      <x:c r="J28" t="n">
        <x:v>1101</x:v>
      </x:c>
      <x:c r="K28" t="n">
        <x:v>36</x:v>
      </x:c>
      <x:c r="L28" t="n">
        <x:v>19</x:v>
      </x:c>
      <x:c r="M28" t="n">
        <x:v>81.6</x:v>
      </x:c>
      <x:c r="N28" t="n">
        <x:v>62.9</x:v>
      </x:c>
      <x:c r="O28" t="n">
        <x:v>73.6</x:v>
      </x:c>
      <x:c r="P28" t="n">
        <x:v>0</x:v>
      </x:c>
      <x:c r="Q28" t="str">
        <x:v>No incident</x:v>
      </x:c>
      <x:c r="R28" t="str">
        <x:v>N/A</x:v>
      </x:c>
      <x:c r="S28" t="str">
        <x:v>Inspection</x:v>
      </x:c>
      <x:c r="T28" t="n">
        <x:v>0.91</x:v>
      </x:c>
      <x:c r="U28" t="n">
        <x:v>8.4</x:v>
      </x:c>
      <x:c r="V28" t="n">
        <x:f>IFERROR(J28/I28*100,0)</x:f>
        <x:v>85.1508120649652</x:v>
      </x:c>
      <x:c r="W28" t="n">
        <x:f>IFERROR(K28/J28*100,0)</x:f>
        <x:v>3.2697547683923704</x:v>
      </x:c>
      <x:c r="X28" t="n">
        <x:f>IFERROR(H28/F28*100,0)</x:f>
        <x:v>14.666666666666666</x:v>
      </x:c>
      <x:c r="Y28" t="n">
        <x:f>J28-K28</x:f>
        <x:v>1065</x:v>
      </x:c>
      <x:c r="Z28" t="n">
        <x:f>MAX(0,MIN(100,(V28/100)*(1-X28/100)*(1-W28/100)*100))</x:f>
        <x:v>70.28615622583139</x:v>
      </x:c>
    </x:row>
    <x:row r="29">
      <x:c r="A29" s="12" t="n">
        <x:v>46036</x:v>
      </x:c>
      <x:c r="B29" t="str">
        <x:v>A</x:v>
      </x:c>
      <x:c r="C29" t="str">
        <x:v>Dried Pineapple</x:v>
      </x:c>
      <x:c r="D29" t="str">
        <x:v>Dryer 1</x:v>
      </x:c>
      <x:c r="E29" t="str">
        <x:v>Sup 3</x:v>
      </x:c>
      <x:c r="F29" t="n">
        <x:v>450</x:v>
      </x:c>
      <x:c r="G29" t="n">
        <x:v>40</x:v>
      </x:c>
      <x:c r="H29" t="n">
        <x:v>68</x:v>
      </x:c>
      <x:c r="I29" t="n">
        <x:v>1690</x:v>
      </x:c>
      <x:c r="J29" t="n">
        <x:v>1327</x:v>
      </x:c>
      <x:c r="K29" t="n">
        <x:v>44</x:v>
      </x:c>
      <x:c r="L29" t="n">
        <x:v>16</x:v>
      </x:c>
      <x:c r="M29" t="n">
        <x:v>90.2</x:v>
      </x:c>
      <x:c r="N29" t="n">
        <x:v>78.7</x:v>
      </x:c>
      <x:c r="O29" t="n">
        <x:v>72.4</x:v>
      </x:c>
      <x:c r="P29" t="n">
        <x:v>0</x:v>
      </x:c>
      <x:c r="Q29" t="str">
        <x:v>No incident</x:v>
      </x:c>
      <x:c r="R29" t="str">
        <x:v>N/A</x:v>
      </x:c>
      <x:c r="S29" t="str">
        <x:v>Inspection</x:v>
      </x:c>
      <x:c r="T29" t="n">
        <x:v>1.04</x:v>
      </x:c>
      <x:c r="U29" t="n">
        <x:v>10.2</x:v>
      </x:c>
      <x:c r="V29" t="n">
        <x:f>IFERROR(J29/I29*100,0)</x:f>
        <x:v>78.52071005917159</x:v>
      </x:c>
      <x:c r="W29" t="n">
        <x:f>IFERROR(K29/J29*100,0)</x:f>
        <x:v>3.3157498116051247</x:v>
      </x:c>
      <x:c r="X29" t="n">
        <x:f>IFERROR(H29/F29*100,0)</x:f>
        <x:v>15.11111111111111</x:v>
      </x:c>
      <x:c r="Y29" t="n">
        <x:f>J29-K29</x:f>
        <x:v>1283</x:v>
      </x:c>
      <x:c r="Z29" t="n">
        <x:f>MAX(0,MIN(100,(V29/100)*(1-X29/100)*(1-W29/100)*100))</x:f>
        <x:v>64.44523339907956</x:v>
      </x:c>
    </x:row>
    <x:row r="30">
      <x:c r="A30" s="12" t="n">
        <x:v>46036</x:v>
      </x:c>
      <x:c r="B30" t="str">
        <x:v>B</x:v>
      </x:c>
      <x:c r="C30" t="str">
        <x:v>Dried Pineapple</x:v>
      </x:c>
      <x:c r="D30" t="str">
        <x:v>Dryer 3</x:v>
      </x:c>
      <x:c r="E30" t="str">
        <x:v>Sup 3</x:v>
      </x:c>
      <x:c r="F30" t="n">
        <x:v>450</x:v>
      </x:c>
      <x:c r="G30" t="n">
        <x:v>30</x:v>
      </x:c>
      <x:c r="H30" t="n">
        <x:v>65</x:v>
      </x:c>
      <x:c r="I30" t="n">
        <x:v>1803</x:v>
      </x:c>
      <x:c r="J30" t="n">
        <x:v>1583</x:v>
      </x:c>
      <x:c r="K30" t="n">
        <x:v>73</x:v>
      </x:c>
      <x:c r="L30" t="n">
        <x:v>29</x:v>
      </x:c>
      <x:c r="M30" t="n">
        <x:v>86.3</x:v>
      </x:c>
      <x:c r="N30" t="n">
        <x:v>75.7</x:v>
      </x:c>
      <x:c r="O30" t="n">
        <x:v>82.9</x:v>
      </x:c>
      <x:c r="P30" t="n">
        <x:v>2</x:v>
      </x:c>
      <x:c r="Q30" t="str">
        <x:v>No incident</x:v>
      </x:c>
      <x:c r="R30" t="str">
        <x:v>N/A</x:v>
      </x:c>
      <x:c r="S30" t="str">
        <x:v>Inspection</x:v>
      </x:c>
      <x:c r="T30" t="n">
        <x:v>1.23</x:v>
      </x:c>
      <x:c r="U30" t="n">
        <x:v>13.8</x:v>
      </x:c>
      <x:c r="V30" t="n">
        <x:f>IFERROR(J30/I30*100,0)</x:f>
        <x:v>87.79811425402107</x:v>
      </x:c>
      <x:c r="W30" t="n">
        <x:f>IFERROR(K30/J30*100,0)</x:f>
        <x:v>4.611497157296273</x:v>
      </x:c>
      <x:c r="X30" t="n">
        <x:f>IFERROR(H30/F30*100,0)</x:f>
        <x:v>14.444444444444443</x:v>
      </x:c>
      <x:c r="Y30" t="n">
        <x:f>J30-K30</x:f>
        <x:v>1510</x:v>
      </x:c>
      <x:c r="Z30" t="n">
        <x:f>MAX(0,MIN(100,(V30/100)*(1-X30/100)*(1-W30/100)*100))</x:f>
        <x:v>71.65218463055402</x:v>
      </x:c>
    </x:row>
    <x:row r="31">
      <x:c r="A31" s="12" t="n">
        <x:v>46036</x:v>
      </x:c>
      <x:c r="B31" t="str">
        <x:v>C</x:v>
      </x:c>
      <x:c r="C31" t="str">
        <x:v>Desiccated Coconut</x:v>
      </x:c>
      <x:c r="D31" t="str">
        <x:v>Dryer 1</x:v>
      </x:c>
      <x:c r="E31" t="str">
        <x:v>Sup 1</x:v>
      </x:c>
      <x:c r="F31" t="n">
        <x:v>480</x:v>
      </x:c>
      <x:c r="G31" t="n">
        <x:v>20</x:v>
      </x:c>
      <x:c r="H31" t="n">
        <x:v>26</x:v>
      </x:c>
      <x:c r="I31" t="n">
        <x:v>1117</x:v>
      </x:c>
      <x:c r="J31" t="n">
        <x:v>1026</x:v>
      </x:c>
      <x:c r="K31" t="n">
        <x:v>29</x:v>
      </x:c>
      <x:c r="L31" t="n">
        <x:v>6</x:v>
      </x:c>
      <x:c r="M31" t="n">
        <x:v>89.5</x:v>
      </x:c>
      <x:c r="N31" t="n">
        <x:v>86.1</x:v>
      </x:c>
      <x:c r="O31" t="n">
        <x:v>80.5</x:v>
      </x:c>
      <x:c r="P31" t="n">
        <x:v>4</x:v>
      </x:c>
      <x:c r="Q31" t="str">
        <x:v>No incident</x:v>
      </x:c>
      <x:c r="R31" t="str">
        <x:v>N/A</x:v>
      </x:c>
      <x:c r="S31" t="str">
        <x:v>Corrective</x:v>
      </x:c>
      <x:c r="T31" t="n">
        <x:v>1.89</x:v>
      </x:c>
      <x:c r="U31" t="n">
        <x:v>9.3</x:v>
      </x:c>
      <x:c r="V31" t="n">
        <x:f>IFERROR(J31/I31*100,0)</x:f>
        <x:v>91.8531781557744</x:v>
      </x:c>
      <x:c r="W31" t="n">
        <x:f>IFERROR(K31/J31*100,0)</x:f>
        <x:v>2.8265107212475633</x:v>
      </x:c>
      <x:c r="X31" t="n">
        <x:f>IFERROR(H31/F31*100,0)</x:f>
        <x:v>5.416666666666667</x:v>
      </x:c>
      <x:c r="Y31" t="n">
        <x:f>J31-K31</x:f>
        <x:v>997</x:v>
      </x:c>
      <x:c r="Z31" t="n">
        <x:f>MAX(0,MIN(100,(V31/100)*(1-X31/100)*(1-W31/100)*100))</x:f>
        <x:v>84.42218740674426</x:v>
      </x:c>
    </x:row>
    <x:row r="32">
      <x:c r="A32" s="12" t="n">
        <x:v>46037</x:v>
      </x:c>
      <x:c r="B32" t="str">
        <x:v>A</x:v>
      </x:c>
      <x:c r="C32" t="str">
        <x:v>Dried Pineapple</x:v>
      </x:c>
      <x:c r="D32" t="str">
        <x:v>Dryer 1</x:v>
      </x:c>
      <x:c r="E32" t="str">
        <x:v>Sup 2</x:v>
      </x:c>
      <x:c r="F32" t="n">
        <x:v>450</x:v>
      </x:c>
      <x:c r="G32" t="n">
        <x:v>30</x:v>
      </x:c>
      <x:c r="H32" t="n">
        <x:v>26</x:v>
      </x:c>
      <x:c r="I32" t="n">
        <x:v>1697</x:v>
      </x:c>
      <x:c r="J32" t="n">
        <x:v>1448</x:v>
      </x:c>
      <x:c r="K32" t="n">
        <x:v>58</x:v>
      </x:c>
      <x:c r="L32" t="n">
        <x:v>32</x:v>
      </x:c>
      <x:c r="M32" t="n">
        <x:v>94.3</x:v>
      </x:c>
      <x:c r="N32" t="n">
        <x:v>83.4</x:v>
      </x:c>
      <x:c r="O32" t="n">
        <x:v>75.1</x:v>
      </x:c>
      <x:c r="P32" t="n">
        <x:v>5</x:v>
      </x:c>
      <x:c r="Q32" t="str">
        <x:v>No incident</x:v>
      </x:c>
      <x:c r="R32" t="str">
        <x:v>N/A</x:v>
      </x:c>
      <x:c r="S32" t="str">
        <x:v>Preventive</x:v>
      </x:c>
      <x:c r="T32" t="n">
        <x:v>0.66</x:v>
      </x:c>
      <x:c r="U32" t="n">
        <x:v>13</x:v>
      </x:c>
      <x:c r="V32" t="n">
        <x:f>IFERROR(J32/I32*100,0)</x:f>
        <x:v>85.32704773129052</x:v>
      </x:c>
      <x:c r="W32" t="n">
        <x:f>IFERROR(K32/J32*100,0)</x:f>
        <x:v>4.005524861878453</x:v>
      </x:c>
      <x:c r="X32" t="n">
        <x:f>IFERROR(H32/F32*100,0)</x:f>
        <x:v>5.777777777777778</x:v>
      </x:c>
      <x:c r="Y32" t="n">
        <x:f>J32-K32</x:f>
        <x:v>1390</x:v>
      </x:c>
      <x:c r="Z32" t="n">
        <x:f>MAX(0,MIN(100,(V32/100)*(1-X32/100)*(1-W32/100)*100))</x:f>
        <x:v>77.17671708243306</x:v>
      </x:c>
    </x:row>
    <x:row r="33">
      <x:c r="A33" s="12" t="n">
        <x:v>46037</x:v>
      </x:c>
      <x:c r="B33" t="str">
        <x:v>B</x:v>
      </x:c>
      <x:c r="C33" t="str">
        <x:v>Desiccated Coconut</x:v>
      </x:c>
      <x:c r="D33" t="str">
        <x:v>Dryer 3</x:v>
      </x:c>
      <x:c r="E33" t="str">
        <x:v>Sup 2</x:v>
      </x:c>
      <x:c r="F33" t="n">
        <x:v>480</x:v>
      </x:c>
      <x:c r="G33" t="n">
        <x:v>40</x:v>
      </x:c>
      <x:c r="H33" t="n">
        <x:v>91</x:v>
      </x:c>
      <x:c r="I33" t="n">
        <x:v>1231</x:v>
      </x:c>
      <x:c r="J33" t="n">
        <x:v>881</x:v>
      </x:c>
      <x:c r="K33" t="n">
        <x:v>32</x:v>
      </x:c>
      <x:c r="L33" t="n">
        <x:v>10</x:v>
      </x:c>
      <x:c r="M33" t="n">
        <x:v>98</x:v>
      </x:c>
      <x:c r="N33" t="n">
        <x:v>85.7</x:v>
      </x:c>
      <x:c r="O33" t="n">
        <x:v>80</x:v>
      </x:c>
      <x:c r="P33" t="n">
        <x:v>5</x:v>
      </x:c>
      <x:c r="Q33" t="str">
        <x:v>No incident</x:v>
      </x:c>
      <x:c r="R33" t="str">
        <x:v>N/A</x:v>
      </x:c>
      <x:c r="S33" t="str">
        <x:v>Inspection</x:v>
      </x:c>
      <x:c r="T33" t="n">
        <x:v>0.54</x:v>
      </x:c>
      <x:c r="U33" t="n">
        <x:v>6.8</x:v>
      </x:c>
      <x:c r="V33" t="n">
        <x:f>IFERROR(J33/I33*100,0)</x:f>
        <x:v>71.56783103168156</x:v>
      </x:c>
      <x:c r="W33" t="n">
        <x:f>IFERROR(K33/J33*100,0)</x:f>
        <x:v>3.6322360953461974</x:v>
      </x:c>
      <x:c r="X33" t="n">
        <x:f>IFERROR(H33/F33*100,0)</x:f>
        <x:v>18.958333333333332</x:v>
      </x:c>
      <x:c r="Y33" t="n">
        <x:f>J33-K33</x:f>
        <x:v>849</x:v>
      </x:c>
      <x:c r="Z33" t="n">
        <x:f>MAX(0,MIN(100,(V33/100)*(1-X33/100)*(1-W33/100)*100))</x:f>
        <x:v>55.893074735987</x:v>
      </x:c>
    </x:row>
    <x:row r="34">
      <x:c r="A34" s="12" t="n">
        <x:v>46037</x:v>
      </x:c>
      <x:c r="B34" t="str">
        <x:v>C</x:v>
      </x:c>
      <x:c r="C34" t="str">
        <x:v>Dried Pineapple</x:v>
      </x:c>
      <x:c r="D34" t="str">
        <x:v>Dryer 4</x:v>
      </x:c>
      <x:c r="E34" t="str">
        <x:v>Sup 1</x:v>
      </x:c>
      <x:c r="F34" t="n">
        <x:v>420</x:v>
      </x:c>
      <x:c r="G34" t="n">
        <x:v>40</x:v>
      </x:c>
      <x:c r="H34" t="n">
        <x:v>37</x:v>
      </x:c>
      <x:c r="I34" t="n">
        <x:v>1865</x:v>
      </x:c>
      <x:c r="J34" t="n">
        <x:v>1590</x:v>
      </x:c>
      <x:c r="K34" t="n">
        <x:v>64</x:v>
      </x:c>
      <x:c r="L34" t="n">
        <x:v>22</x:v>
      </x:c>
      <x:c r="M34" t="n">
        <x:v>79.2</x:v>
      </x:c>
      <x:c r="N34" t="n">
        <x:v>70.2</x:v>
      </x:c>
      <x:c r="O34" t="n">
        <x:v>78.7</x:v>
      </x:c>
      <x:c r="P34" t="n">
        <x:v>1</x:v>
      </x:c>
      <x:c r="Q34" t="str">
        <x:v>No incident</x:v>
      </x:c>
      <x:c r="R34" t="str">
        <x:v>N/A</x:v>
      </x:c>
      <x:c r="S34" t="str">
        <x:v>Preventive</x:v>
      </x:c>
      <x:c r="T34" t="n">
        <x:v>0.5</x:v>
      </x:c>
      <x:c r="U34" t="n">
        <x:v>13</x:v>
      </x:c>
      <x:c r="V34" t="n">
        <x:f>IFERROR(J34/I34*100,0)</x:f>
        <x:v>85.25469168900804</x:v>
      </x:c>
      <x:c r="W34" t="n">
        <x:f>IFERROR(K34/J34*100,0)</x:f>
        <x:v>4.0251572327044025</x:v>
      </x:c>
      <x:c r="X34" t="n">
        <x:f>IFERROR(H34/F34*100,0)</x:f>
        <x:v>8.80952380952381</x:v>
      </x:c>
      <x:c r="Y34" t="n">
        <x:f>J34-K34</x:f>
        <x:v>1526</x:v>
      </x:c>
      <x:c r="Z34" t="n">
        <x:f>MAX(0,MIN(100,(V34/100)*(1-X34/100)*(1-W34/100)*100))</x:f>
        <x:v>74.6148346738159</x:v>
      </x:c>
    </x:row>
    <x:row r="35">
      <x:c r="A35" s="12" t="n">
        <x:v>46038</x:v>
      </x:c>
      <x:c r="B35" t="str">
        <x:v>A</x:v>
      </x:c>
      <x:c r="C35" t="str">
        <x:v>Dried Mango</x:v>
      </x:c>
      <x:c r="D35" t="str">
        <x:v>Dryer 2</x:v>
      </x:c>
      <x:c r="E35" t="str">
        <x:v>Sup 3</x:v>
      </x:c>
      <x:c r="F35" t="n">
        <x:v>480</x:v>
      </x:c>
      <x:c r="G35" t="n">
        <x:v>40</x:v>
      </x:c>
      <x:c r="H35" t="n">
        <x:v>41</x:v>
      </x:c>
      <x:c r="I35" t="n">
        <x:v>1740</x:v>
      </x:c>
      <x:c r="J35" t="n">
        <x:v>1619</x:v>
      </x:c>
      <x:c r="K35" t="n">
        <x:v>72</x:v>
      </x:c>
      <x:c r="L35" t="n">
        <x:v>17</x:v>
      </x:c>
      <x:c r="M35" t="n">
        <x:v>92.8</x:v>
      </x:c>
      <x:c r="N35" t="n">
        <x:v>86.3</x:v>
      </x:c>
      <x:c r="O35" t="n">
        <x:v>84.4</x:v>
      </x:c>
      <x:c r="P35" t="n">
        <x:v>3</x:v>
      </x:c>
      <x:c r="Q35" t="str">
        <x:v>No incident</x:v>
      </x:c>
      <x:c r="R35" t="str">
        <x:v>N/A</x:v>
      </x:c>
      <x:c r="S35" t="str">
        <x:v>Inspection</x:v>
      </x:c>
      <x:c r="T35" t="n">
        <x:v>1.3</x:v>
      </x:c>
      <x:c r="U35" t="n">
        <x:v>14.8</x:v>
      </x:c>
      <x:c r="V35" t="n">
        <x:f>IFERROR(J35/I35*100,0)</x:f>
        <x:v>93.04597701149426</x:v>
      </x:c>
      <x:c r="W35" t="n">
        <x:f>IFERROR(K35/J35*100,0)</x:f>
        <x:v>4.4471896232242125</x:v>
      </x:c>
      <x:c r="X35" t="n">
        <x:f>IFERROR(H35/F35*100,0)</x:f>
        <x:v>8.541666666666666</x:v>
      </x:c>
      <x:c r="Y35" t="n">
        <x:f>J35-K35</x:f>
        <x:v>1547</x:v>
      </x:c>
      <x:c r="Z35" t="n">
        <x:f>MAX(0,MIN(100,(V35/100)*(1-X35/100)*(1-W35/100)*100))</x:f>
        <x:v>81.31381704980843</x:v>
      </x:c>
    </x:row>
    <x:row r="36">
      <x:c r="A36" s="12" t="n">
        <x:v>46038</x:v>
      </x:c>
      <x:c r="B36" t="str">
        <x:v>B</x:v>
      </x:c>
      <x:c r="C36" t="str">
        <x:v>Desiccated Coconut</x:v>
      </x:c>
      <x:c r="D36" t="str">
        <x:v>Dryer 4</x:v>
      </x:c>
      <x:c r="E36" t="str">
        <x:v>Sup 2</x:v>
      </x:c>
      <x:c r="F36" t="n">
        <x:v>420</x:v>
      </x:c>
      <x:c r="G36" t="n">
        <x:v>30</x:v>
      </x:c>
      <x:c r="H36" t="n">
        <x:v>58</x:v>
      </x:c>
      <x:c r="I36" t="n">
        <x:v>1246</x:v>
      </x:c>
      <x:c r="J36" t="n">
        <x:v>1026</x:v>
      </x:c>
      <x:c r="K36" t="n">
        <x:v>33</x:v>
      </x:c>
      <x:c r="L36" t="n">
        <x:v>19</x:v>
      </x:c>
      <x:c r="M36" t="n">
        <x:v>88.3</x:v>
      </x:c>
      <x:c r="N36" t="n">
        <x:v>77.1</x:v>
      </x:c>
      <x:c r="O36" t="n">
        <x:v>68.4</x:v>
      </x:c>
      <x:c r="P36" t="n">
        <x:v>3</x:v>
      </x:c>
      <x:c r="Q36" t="str">
        <x:v>No incident</x:v>
      </x:c>
      <x:c r="R36" t="str">
        <x:v>N/A</x:v>
      </x:c>
      <x:c r="S36" t="str">
        <x:v>Preventive</x:v>
      </x:c>
      <x:c r="T36" t="n">
        <x:v>1.17</x:v>
      </x:c>
      <x:c r="U36" t="n">
        <x:v>9</x:v>
      </x:c>
      <x:c r="V36" t="n">
        <x:f>IFERROR(J36/I36*100,0)</x:f>
        <x:v>82.34349919743178</x:v>
      </x:c>
      <x:c r="W36" t="n">
        <x:f>IFERROR(K36/J36*100,0)</x:f>
        <x:v>3.216374269005848</x:v>
      </x:c>
      <x:c r="X36" t="n">
        <x:f>IFERROR(H36/F36*100,0)</x:f>
        <x:v>13.80952380952381</x:v>
      </x:c>
      <x:c r="Y36" t="n">
        <x:f>J36-K36</x:f>
        <x:v>993</x:v>
      </x:c>
      <x:c r="Z36" t="n">
        <x:f>MAX(0,MIN(100,(V36/100)*(1-X36/100)*(1-W36/100)*100))</x:f>
        <x:v>68.68952075212107</x:v>
      </x:c>
    </x:row>
    <x:row r="37">
      <x:c r="A37" s="12" t="n">
        <x:v>46038</x:v>
      </x:c>
      <x:c r="B37" t="str">
        <x:v>C</x:v>
      </x:c>
      <x:c r="C37" t="str">
        <x:v>Desiccated Coconut</x:v>
      </x:c>
      <x:c r="D37" t="str">
        <x:v>Dryer 1</x:v>
      </x:c>
      <x:c r="E37" t="str">
        <x:v>Sup 3</x:v>
      </x:c>
      <x:c r="F37" t="n">
        <x:v>450</x:v>
      </x:c>
      <x:c r="G37" t="n">
        <x:v>30</x:v>
      </x:c>
      <x:c r="H37" t="n">
        <x:v>22</x:v>
      </x:c>
      <x:c r="I37" t="n">
        <x:v>1172</x:v>
      </x:c>
      <x:c r="J37" t="n">
        <x:v>1081</x:v>
      </x:c>
      <x:c r="K37" t="n">
        <x:v>36</x:v>
      </x:c>
      <x:c r="L37" t="n">
        <x:v>23</x:v>
      </x:c>
      <x:c r="M37" t="n">
        <x:v>78.8</x:v>
      </x:c>
      <x:c r="N37" t="n">
        <x:v>63</x:v>
      </x:c>
      <x:c r="O37" t="n">
        <x:v>73.5</x:v>
      </x:c>
      <x:c r="P37" t="n">
        <x:v>5</x:v>
      </x:c>
      <x:c r="Q37" t="str">
        <x:v>No incident</x:v>
      </x:c>
      <x:c r="R37" t="str">
        <x:v>N/A</x:v>
      </x:c>
      <x:c r="S37" t="str">
        <x:v>Preventive</x:v>
      </x:c>
      <x:c r="T37" t="n">
        <x:v>0.84</x:v>
      </x:c>
      <x:c r="U37" t="n">
        <x:v>9.6</x:v>
      </x:c>
      <x:c r="V37" t="n">
        <x:f>IFERROR(J37/I37*100,0)</x:f>
        <x:v>92.23549488054607</x:v>
      </x:c>
      <x:c r="W37" t="n">
        <x:f>IFERROR(K37/J37*100,0)</x:f>
        <x:v>3.330249768732655</x:v>
      </x:c>
      <x:c r="X37" t="n">
        <x:f>IFERROR(H37/F37*100,0)</x:f>
        <x:v>4.888888888888889</x:v>
      </x:c>
      <x:c r="Y37" t="n">
        <x:f>J37-K37</x:f>
        <x:v>1045</x:v>
      </x:c>
      <x:c r="Z37" t="n">
        <x:f>MAX(0,MIN(100,(V37/100)*(1-X37/100)*(1-W37/100)*100))</x:f>
        <x:v>84.80470231323474</x:v>
      </x:c>
    </x:row>
    <x:row r="38">
      <x:c r="A38" s="12" t="n">
        <x:v>46039</x:v>
      </x:c>
      <x:c r="B38" t="str">
        <x:v>A</x:v>
      </x:c>
      <x:c r="C38" t="str">
        <x:v>Dried Pineapple</x:v>
      </x:c>
      <x:c r="D38" t="str">
        <x:v>Dryer 3</x:v>
      </x:c>
      <x:c r="E38" t="str">
        <x:v>Sup 1</x:v>
      </x:c>
      <x:c r="F38" t="n">
        <x:v>420</x:v>
      </x:c>
      <x:c r="G38" t="n">
        <x:v>20</x:v>
      </x:c>
      <x:c r="H38" t="n">
        <x:v>50</x:v>
      </x:c>
      <x:c r="I38" t="n">
        <x:v>1743</x:v>
      </x:c>
      <x:c r="J38" t="n">
        <x:v>1544</x:v>
      </x:c>
      <x:c r="K38" t="n">
        <x:v>83</x:v>
      </x:c>
      <x:c r="L38" t="n">
        <x:v>46</x:v>
      </x:c>
      <x:c r="M38" t="n">
        <x:v>90.7</x:v>
      </x:c>
      <x:c r="N38" t="n">
        <x:v>74.8</x:v>
      </x:c>
      <x:c r="O38" t="n">
        <x:v>58.7</x:v>
      </x:c>
      <x:c r="P38" t="n">
        <x:v>0</x:v>
      </x:c>
      <x:c r="Q38" t="str">
        <x:v>Near miss</x:v>
      </x:c>
      <x:c r="R38" t="str">
        <x:v>In progress</x:v>
      </x:c>
      <x:c r="S38" t="str">
        <x:v>Inspection</x:v>
      </x:c>
      <x:c r="T38" t="n">
        <x:v>0.5</x:v>
      </x:c>
      <x:c r="U38" t="n">
        <x:v>11.8</x:v>
      </x:c>
      <x:c r="V38" t="n">
        <x:f>IFERROR(J38/I38*100,0)</x:f>
        <x:v>88.58290304073437</x:v>
      </x:c>
      <x:c r="W38" t="n">
        <x:f>IFERROR(K38/J38*100,0)</x:f>
        <x:v>5.375647668393782</x:v>
      </x:c>
      <x:c r="X38" t="n">
        <x:f>IFERROR(H38/F38*100,0)</x:f>
        <x:v>11.904761904761903</x:v>
      </x:c>
      <x:c r="Y38" t="n">
        <x:f>J38-K38</x:f>
        <x:v>1461</x:v>
      </x:c>
      <x:c r="Z38" t="n">
        <x:f>MAX(0,MIN(100,(V38/100)*(1-X38/100)*(1-W38/100)*100))</x:f>
        <x:v>73.84230800754035</x:v>
      </x:c>
    </x:row>
    <x:row r="39">
      <x:c r="A39" s="12" t="n">
        <x:v>46039</x:v>
      </x:c>
      <x:c r="B39" t="str">
        <x:v>B</x:v>
      </x:c>
      <x:c r="C39" t="str">
        <x:v>Desiccated Coconut</x:v>
      </x:c>
      <x:c r="D39" t="str">
        <x:v>Dryer 4</x:v>
      </x:c>
      <x:c r="E39" t="str">
        <x:v>Sup 1</x:v>
      </x:c>
      <x:c r="F39" t="n">
        <x:v>450</x:v>
      </x:c>
      <x:c r="G39" t="n">
        <x:v>30</x:v>
      </x:c>
      <x:c r="H39" t="n">
        <x:v>35</x:v>
      </x:c>
      <x:c r="I39" t="n">
        <x:v>1222</x:v>
      </x:c>
      <x:c r="J39" t="n">
        <x:v>1003</x:v>
      </x:c>
      <x:c r="K39" t="n">
        <x:v>31</x:v>
      </x:c>
      <x:c r="L39" t="n">
        <x:v>18</x:v>
      </x:c>
      <x:c r="M39" t="n">
        <x:v>90.9</x:v>
      </x:c>
      <x:c r="N39" t="n">
        <x:v>77</x:v>
      </x:c>
      <x:c r="O39" t="n">
        <x:v>74.1</x:v>
      </x:c>
      <x:c r="P39" t="n">
        <x:v>6</x:v>
      </x:c>
      <x:c r="Q39" t="str">
        <x:v>No incident</x:v>
      </x:c>
      <x:c r="R39" t="str">
        <x:v>N/A</x:v>
      </x:c>
      <x:c r="S39" t="str">
        <x:v>Inspection</x:v>
      </x:c>
      <x:c r="T39" t="n">
        <x:v>0.76</x:v>
      </x:c>
      <x:c r="U39" t="n">
        <x:v>8</x:v>
      </x:c>
      <x:c r="V39" t="n">
        <x:f>IFERROR(J39/I39*100,0)</x:f>
        <x:v>82.0785597381342</x:v>
      </x:c>
      <x:c r="W39" t="n">
        <x:f>IFERROR(K39/J39*100,0)</x:f>
        <x:v>3.090727816550349</x:v>
      </x:c>
      <x:c r="X39" t="n">
        <x:f>IFERROR(H39/F39*100,0)</x:f>
        <x:v>7.777777777777778</x:v>
      </x:c>
      <x:c r="Y39" t="n">
        <x:f>J39-K39</x:f>
        <x:v>972</x:v>
      </x:c>
      <x:c r="Z39" t="n">
        <x:f>MAX(0,MIN(100,(V39/100)*(1-X39/100)*(1-W39/100)*100))</x:f>
        <x:v>73.35515548281506</x:v>
      </x:c>
    </x:row>
    <x:row r="40">
      <x:c r="A40" s="12" t="n">
        <x:v>46039</x:v>
      </x:c>
      <x:c r="B40" t="str">
        <x:v>C</x:v>
      </x:c>
      <x:c r="C40" t="str">
        <x:v>Dried Mango</x:v>
      </x:c>
      <x:c r="D40" t="str">
        <x:v>Dryer 2</x:v>
      </x:c>
      <x:c r="E40" t="str">
        <x:v>Sup 2</x:v>
      </x:c>
      <x:c r="F40" t="n">
        <x:v>420</x:v>
      </x:c>
      <x:c r="G40" t="n">
        <x:v>30</x:v>
      </x:c>
      <x:c r="H40" t="n">
        <x:v>32</x:v>
      </x:c>
      <x:c r="I40" t="n">
        <x:v>1671</x:v>
      </x:c>
      <x:c r="J40" t="n">
        <x:v>1487</x:v>
      </x:c>
      <x:c r="K40" t="n">
        <x:v>48</x:v>
      </x:c>
      <x:c r="L40" t="n">
        <x:v>31</x:v>
      </x:c>
      <x:c r="M40" t="n">
        <x:v>84</x:v>
      </x:c>
      <x:c r="N40" t="n">
        <x:v>71</x:v>
      </x:c>
      <x:c r="O40" t="n">
        <x:v>79.2</x:v>
      </x:c>
      <x:c r="P40" t="n">
        <x:v>1</x:v>
      </x:c>
      <x:c r="Q40" t="str">
        <x:v>No incident</x:v>
      </x:c>
      <x:c r="R40" t="str">
        <x:v>N/A</x:v>
      </x:c>
      <x:c r="S40" t="str">
        <x:v>Inspection</x:v>
      </x:c>
      <x:c r="T40" t="n">
        <x:v>0.5</x:v>
      </x:c>
      <x:c r="U40" t="n">
        <x:v>12.2</x:v>
      </x:c>
      <x:c r="V40" t="n">
        <x:f>IFERROR(J40/I40*100,0)</x:f>
        <x:v>88.98862956313585</x:v>
      </x:c>
      <x:c r="W40" t="n">
        <x:f>IFERROR(K40/J40*100,0)</x:f>
        <x:v>3.2279757901815738</x:v>
      </x:c>
      <x:c r="X40" t="n">
        <x:f>IFERROR(H40/F40*100,0)</x:f>
        <x:v>7.6190476190476195</x:v>
      </x:c>
      <x:c r="Y40" t="n">
        <x:f>J40-K40</x:f>
        <x:v>1439</x:v>
      </x:c>
      <x:c r="Z40" t="n">
        <x:f>MAX(0,MIN(100,(V40/100)*(1-X40/100)*(1-W40/100)*100))</x:f>
        <x:v>79.55487161950357</x:v>
      </x:c>
    </x:row>
    <x:row r="41">
      <x:c r="A41" s="12" t="n">
        <x:v>46040</x:v>
      </x:c>
      <x:c r="B41" t="str">
        <x:v>A</x:v>
      </x:c>
      <x:c r="C41" t="str">
        <x:v>Dried Pineapple</x:v>
      </x:c>
      <x:c r="D41" t="str">
        <x:v>Dryer 2</x:v>
      </x:c>
      <x:c r="E41" t="str">
        <x:v>Sup 1</x:v>
      </x:c>
      <x:c r="F41" t="n">
        <x:v>420</x:v>
      </x:c>
      <x:c r="G41" t="n">
        <x:v>0</x:v>
      </x:c>
      <x:c r="H41" t="n">
        <x:v>26</x:v>
      </x:c>
      <x:c r="I41" t="n">
        <x:v>1711</x:v>
      </x:c>
      <x:c r="J41" t="n">
        <x:v>1436</x:v>
      </x:c>
      <x:c r="K41" t="n">
        <x:v>35</x:v>
      </x:c>
      <x:c r="L41" t="n">
        <x:v>17</x:v>
      </x:c>
      <x:c r="M41" t="n">
        <x:v>100</x:v>
      </x:c>
      <x:c r="N41" t="n">
        <x:v>70.3</x:v>
      </x:c>
      <x:c r="O41" t="n">
        <x:v>73.6</x:v>
      </x:c>
      <x:c r="P41" t="n">
        <x:v>3</x:v>
      </x:c>
      <x:c r="Q41" t="str">
        <x:v>No incident</x:v>
      </x:c>
      <x:c r="R41" t="str">
        <x:v>N/A</x:v>
      </x:c>
      <x:c r="S41" t="str">
        <x:v>Corrective</x:v>
      </x:c>
      <x:c r="T41" t="n">
        <x:v>1.12</x:v>
      </x:c>
      <x:c r="U41" t="n">
        <x:v>10.8</x:v>
      </x:c>
      <x:c r="V41" t="n">
        <x:f>IFERROR(J41/I41*100,0)</x:f>
        <x:v>83.92752776154295</x:v>
      </x:c>
      <x:c r="W41" t="n">
        <x:f>IFERROR(K41/J41*100,0)</x:f>
        <x:v>2.437325905292479</x:v>
      </x:c>
      <x:c r="X41" t="n">
        <x:f>IFERROR(H41/F41*100,0)</x:f>
        <x:v>6.190476190476191</x:v>
      </x:c>
      <x:c r="Y41" t="n">
        <x:f>J41-K41</x:f>
        <x:v>1401</x:v>
      </x:c>
      <x:c r="Z41" t="n">
        <x:f>MAX(0,MIN(100,(V41/100)*(1-X41/100)*(1-W41/100)*100))</x:f>
        <x:v>76.81305836186023</x:v>
      </x:c>
    </x:row>
    <x:row r="42">
      <x:c r="A42" s="12" t="n">
        <x:v>46040</x:v>
      </x:c>
      <x:c r="B42" t="str">
        <x:v>B</x:v>
      </x:c>
      <x:c r="C42" t="str">
        <x:v>Dried Mango</x:v>
      </x:c>
      <x:c r="D42" t="str">
        <x:v>Dryer 1</x:v>
      </x:c>
      <x:c r="E42" t="str">
        <x:v>Sup 2</x:v>
      </x:c>
      <x:c r="F42" t="n">
        <x:v>420</x:v>
      </x:c>
      <x:c r="G42" t="n">
        <x:v>40</x:v>
      </x:c>
      <x:c r="H42" t="n">
        <x:v>39</x:v>
      </x:c>
      <x:c r="I42" t="n">
        <x:v>1761</x:v>
      </x:c>
      <x:c r="J42" t="n">
        <x:v>1450</x:v>
      </x:c>
      <x:c r="K42" t="n">
        <x:v>51</x:v>
      </x:c>
      <x:c r="L42" t="n">
        <x:v>10</x:v>
      </x:c>
      <x:c r="M42" t="n">
        <x:v>85.7</x:v>
      </x:c>
      <x:c r="N42" t="n">
        <x:v>84.3</x:v>
      </x:c>
      <x:c r="O42" t="n">
        <x:v>69.9</x:v>
      </x:c>
      <x:c r="P42" t="n">
        <x:v>5</x:v>
      </x:c>
      <x:c r="Q42" t="str">
        <x:v>No incident</x:v>
      </x:c>
      <x:c r="R42" t="str">
        <x:v>N/A</x:v>
      </x:c>
      <x:c r="S42" t="str">
        <x:v>Preventive</x:v>
      </x:c>
      <x:c r="T42" t="n">
        <x:v>1.07</x:v>
      </x:c>
      <x:c r="U42" t="n">
        <x:v>12.2</x:v>
      </x:c>
      <x:c r="V42" t="n">
        <x:f>IFERROR(J42/I42*100,0)</x:f>
        <x:v>82.33957978421351</x:v>
      </x:c>
      <x:c r="W42" t="n">
        <x:f>IFERROR(K42/J42*100,0)</x:f>
        <x:v>3.517241379310345</x:v>
      </x:c>
      <x:c r="X42" t="n">
        <x:f>IFERROR(H42/F42*100,0)</x:f>
        <x:v>9.285714285714286</x:v>
      </x:c>
      <x:c r="Y42" t="n">
        <x:f>J42-K42</x:f>
        <x:v>1399</x:v>
      </x:c>
      <x:c r="Z42" t="n">
        <x:f>MAX(0,MIN(100,(V42/100)*(1-X42/100)*(1-W42/100)*100))</x:f>
        <x:v>72.0666017684757</x:v>
      </x:c>
    </x:row>
    <x:row r="43">
      <x:c r="A43" s="12" t="n">
        <x:v>46040</x:v>
      </x:c>
      <x:c r="B43" t="str">
        <x:v>C</x:v>
      </x:c>
      <x:c r="C43" t="str">
        <x:v>Dried Mango</x:v>
      </x:c>
      <x:c r="D43" t="str">
        <x:v>Dryer 2</x:v>
      </x:c>
      <x:c r="E43" t="str">
        <x:v>Sup 3</x:v>
      </x:c>
      <x:c r="F43" t="n">
        <x:v>450</x:v>
      </x:c>
      <x:c r="G43" t="n">
        <x:v>40</x:v>
      </x:c>
      <x:c r="H43" t="n">
        <x:v>15</x:v>
      </x:c>
      <x:c r="I43" t="n">
        <x:v>1619</x:v>
      </x:c>
      <x:c r="J43" t="n">
        <x:v>1475</x:v>
      </x:c>
      <x:c r="K43" t="n">
        <x:v>66</x:v>
      </x:c>
      <x:c r="L43" t="n">
        <x:v>19</x:v>
      </x:c>
      <x:c r="M43" t="n">
        <x:v>94.6</x:v>
      </x:c>
      <x:c r="N43" t="n">
        <x:v>93.5</x:v>
      </x:c>
      <x:c r="O43" t="n">
        <x:v>85.2</x:v>
      </x:c>
      <x:c r="P43" t="n">
        <x:v>5</x:v>
      </x:c>
      <x:c r="Q43" t="str">
        <x:v>No incident</x:v>
      </x:c>
      <x:c r="R43" t="str">
        <x:v>N/A</x:v>
      </x:c>
      <x:c r="S43" t="str">
        <x:v>Corrective</x:v>
      </x:c>
      <x:c r="T43" t="n">
        <x:v>1.52</x:v>
      </x:c>
      <x:c r="U43" t="n">
        <x:v>12.5</x:v>
      </x:c>
      <x:c r="V43" t="n">
        <x:f>IFERROR(J43/I43*100,0)</x:f>
        <x:v>91.10562075355158</x:v>
      </x:c>
      <x:c r="W43" t="n">
        <x:f>IFERROR(K43/J43*100,0)</x:f>
        <x:v>4.474576271186441</x:v>
      </x:c>
      <x:c r="X43" t="n">
        <x:f>IFERROR(H43/F43*100,0)</x:f>
        <x:v>3.3333333333333335</x:v>
      </x:c>
      <x:c r="Y43" t="n">
        <x:f>J43-K43</x:f>
        <x:v>1409</x:v>
      </x:c>
      <x:c r="Z43" t="n">
        <x:f>MAX(0,MIN(100,(V43/100)*(1-X43/100)*(1-W43/100)*100))</x:f>
        <x:v>84.12806259007618</x:v>
      </x:c>
    </x:row>
    <x:row r="44">
      <x:c r="A44" s="12" t="n">
        <x:v>46041</x:v>
      </x:c>
      <x:c r="B44" t="str">
        <x:v>A</x:v>
      </x:c>
      <x:c r="C44" t="str">
        <x:v>Dried Mango</x:v>
      </x:c>
      <x:c r="D44" t="str">
        <x:v>Dryer 4</x:v>
      </x:c>
      <x:c r="E44" t="str">
        <x:v>Sup 2</x:v>
      </x:c>
      <x:c r="F44" t="n">
        <x:v>480</x:v>
      </x:c>
      <x:c r="G44" t="n">
        <x:v>30</x:v>
      </x:c>
      <x:c r="H44" t="n">
        <x:v>37</x:v>
      </x:c>
      <x:c r="I44" t="n">
        <x:v>1541</x:v>
      </x:c>
      <x:c r="J44" t="n">
        <x:v>1279</x:v>
      </x:c>
      <x:c r="K44" t="n">
        <x:v>39</x:v>
      </x:c>
      <x:c r="L44" t="n">
        <x:v>21</x:v>
      </x:c>
      <x:c r="M44" t="n">
        <x:v>88.4</x:v>
      </x:c>
      <x:c r="N44" t="n">
        <x:v>65.9</x:v>
      </x:c>
      <x:c r="O44" t="n">
        <x:v>81.6</x:v>
      </x:c>
      <x:c r="P44" t="n">
        <x:v>0</x:v>
      </x:c>
      <x:c r="Q44" t="str">
        <x:v>No incident</x:v>
      </x:c>
      <x:c r="R44" t="str">
        <x:v>N/A</x:v>
      </x:c>
      <x:c r="S44" t="str">
        <x:v>Inspection</x:v>
      </x:c>
      <x:c r="T44" t="n">
        <x:v>0.5</x:v>
      </x:c>
      <x:c r="U44" t="n">
        <x:v>9.8</x:v>
      </x:c>
      <x:c r="V44" t="n">
        <x:f>IFERROR(J44/I44*100,0)</x:f>
        <x:v>82.99805321219988</x:v>
      </x:c>
      <x:c r="W44" t="n">
        <x:f>IFERROR(K44/J44*100,0)</x:f>
        <x:v>3.0492572322126663</x:v>
      </x:c>
      <x:c r="X44" t="n">
        <x:f>IFERROR(H44/F44*100,0)</x:f>
        <x:v>7.708333333333334</x:v>
      </x:c>
      <x:c r="Y44" t="n">
        <x:f>J44-K44</x:f>
        <x:v>1240</x:v>
      </x:c>
      <x:c r="Z44" t="n">
        <x:f>MAX(0,MIN(100,(V44/100)*(1-X44/100)*(1-W44/100)*100))</x:f>
        <x:v>74.26454683106208</x:v>
      </x:c>
    </x:row>
    <x:row r="45">
      <x:c r="A45" s="12" t="n">
        <x:v>46041</x:v>
      </x:c>
      <x:c r="B45" t="str">
        <x:v>B</x:v>
      </x:c>
      <x:c r="C45" t="str">
        <x:v>Dried Mango</x:v>
      </x:c>
      <x:c r="D45" t="str">
        <x:v>Dryer 1</x:v>
      </x:c>
      <x:c r="E45" t="str">
        <x:v>Sup 1</x:v>
      </x:c>
      <x:c r="F45" t="n">
        <x:v>450</x:v>
      </x:c>
      <x:c r="G45" t="n">
        <x:v>40</x:v>
      </x:c>
      <x:c r="H45" t="n">
        <x:v>29</x:v>
      </x:c>
      <x:c r="I45" t="n">
        <x:v>1591</x:v>
      </x:c>
      <x:c r="J45" t="n">
        <x:v>1357</x:v>
      </x:c>
      <x:c r="K45" t="n">
        <x:v>59</x:v>
      </x:c>
      <x:c r="L45" t="n">
        <x:v>25</x:v>
      </x:c>
      <x:c r="M45" t="n">
        <x:v>92.8</x:v>
      </x:c>
      <x:c r="N45" t="n">
        <x:v>79.3</x:v>
      </x:c>
      <x:c r="O45" t="n">
        <x:v>73.7</x:v>
      </x:c>
      <x:c r="P45" t="n">
        <x:v>5</x:v>
      </x:c>
      <x:c r="Q45" t="str">
        <x:v>No incident</x:v>
      </x:c>
      <x:c r="R45" t="str">
        <x:v>N/A</x:v>
      </x:c>
      <x:c r="S45" t="str">
        <x:v>Preventive</x:v>
      </x:c>
      <x:c r="T45" t="n">
        <x:v>1.18</x:v>
      </x:c>
      <x:c r="U45" t="n">
        <x:v>10.5</x:v>
      </x:c>
      <x:c r="V45" t="n">
        <x:f>IFERROR(J45/I45*100,0)</x:f>
        <x:v>85.29226901319925</x:v>
      </x:c>
      <x:c r="W45" t="n">
        <x:f>IFERROR(K45/J45*100,0)</x:f>
        <x:v>4.3478260869565215</x:v>
      </x:c>
      <x:c r="X45" t="n">
        <x:f>IFERROR(H45/F45*100,0)</x:f>
        <x:v>6.444444444444445</x:v>
      </x:c>
      <x:c r="Y45" t="n">
        <x:f>J45-K45</x:f>
        <x:v>1298</x:v>
      </x:c>
      <x:c r="Z45" t="n">
        <x:f>MAX(0,MIN(100,(V45/100)*(1-X45/100)*(1-W45/100)*100))</x:f>
        <x:v>76.32627976814024</x:v>
      </x:c>
    </x:row>
    <x:row r="46">
      <x:c r="A46" s="12" t="n">
        <x:v>46041</x:v>
      </x:c>
      <x:c r="B46" t="str">
        <x:v>C</x:v>
      </x:c>
      <x:c r="C46" t="str">
        <x:v>Desiccated Coconut</x:v>
      </x:c>
      <x:c r="D46" t="str">
        <x:v>Dryer 1</x:v>
      </x:c>
      <x:c r="E46" t="str">
        <x:v>Sup 1</x:v>
      </x:c>
      <x:c r="F46" t="n">
        <x:v>480</x:v>
      </x:c>
      <x:c r="G46" t="n">
        <x:v>0</x:v>
      </x:c>
      <x:c r="H46" t="n">
        <x:v>44</x:v>
      </x:c>
      <x:c r="I46" t="n">
        <x:v>1290</x:v>
      </x:c>
      <x:c r="J46" t="n">
        <x:v>1146</x:v>
      </x:c>
      <x:c r="K46" t="n">
        <x:v>41</x:v>
      </x:c>
      <x:c r="L46" t="n">
        <x:v>8</x:v>
      </x:c>
      <x:c r="M46" t="n">
        <x:v>93.7</x:v>
      </x:c>
      <x:c r="N46" t="n">
        <x:v>81.2</x:v>
      </x:c>
      <x:c r="O46" t="n">
        <x:v>69.3</x:v>
      </x:c>
      <x:c r="P46" t="n">
        <x:v>2</x:v>
      </x:c>
      <x:c r="Q46" t="str">
        <x:v>No incident</x:v>
      </x:c>
      <x:c r="R46" t="str">
        <x:v>N/A</x:v>
      </x:c>
      <x:c r="S46" t="str">
        <x:v>Inspection</x:v>
      </x:c>
      <x:c r="T46" t="n">
        <x:v>1.18</x:v>
      </x:c>
      <x:c r="U46" t="n">
        <x:v>10.2</x:v>
      </x:c>
      <x:c r="V46" t="n">
        <x:f>IFERROR(J46/I46*100,0)</x:f>
        <x:v>88.83720930232558</x:v>
      </x:c>
      <x:c r="W46" t="n">
        <x:f>IFERROR(K46/J46*100,0)</x:f>
        <x:v>3.5776614310645725</x:v>
      </x:c>
      <x:c r="X46" t="n">
        <x:f>IFERROR(H46/F46*100,0)</x:f>
        <x:v>9.166666666666666</x:v>
      </x:c>
      <x:c r="Y46" t="n">
        <x:f>J46-K46</x:f>
        <x:v>1105</x:v>
      </x:c>
      <x:c r="Z46" t="n">
        <x:f>MAX(0,MIN(100,(V46/100)*(1-X46/100)*(1-W46/100)*100))</x:f>
        <x:v>77.80684754521964</x:v>
      </x:c>
    </x:row>
    <x:row r="47">
      <x:c r="A47" s="12" t="n">
        <x:v>46042</x:v>
      </x:c>
      <x:c r="B47" t="str">
        <x:v>A</x:v>
      </x:c>
      <x:c r="C47" t="str">
        <x:v>Dried Pineapple</x:v>
      </x:c>
      <x:c r="D47" t="str">
        <x:v>Dryer 4</x:v>
      </x:c>
      <x:c r="E47" t="str">
        <x:v>Sup 3</x:v>
      </x:c>
      <x:c r="F47" t="n">
        <x:v>480</x:v>
      </x:c>
      <x:c r="G47" t="n">
        <x:v>30</x:v>
      </x:c>
      <x:c r="H47" t="n">
        <x:v>44</x:v>
      </x:c>
      <x:c r="I47" t="n">
        <x:v>1650</x:v>
      </x:c>
      <x:c r="J47" t="n">
        <x:v>1495</x:v>
      </x:c>
      <x:c r="K47" t="n">
        <x:v>40</x:v>
      </x:c>
      <x:c r="L47" t="n">
        <x:v>14</x:v>
      </x:c>
      <x:c r="M47" t="n">
        <x:v>85.9</x:v>
      </x:c>
      <x:c r="N47" t="n">
        <x:v>84.2</x:v>
      </x:c>
      <x:c r="O47" t="n">
        <x:v>71.3</x:v>
      </x:c>
      <x:c r="P47" t="n">
        <x:v>5</x:v>
      </x:c>
      <x:c r="Q47" t="str">
        <x:v>No incident</x:v>
      </x:c>
      <x:c r="R47" t="str">
        <x:v>N/A</x:v>
      </x:c>
      <x:c r="S47" t="str">
        <x:v>Corrective</x:v>
      </x:c>
      <x:c r="T47" t="n">
        <x:v>1.57</x:v>
      </x:c>
      <x:c r="U47" t="n">
        <x:v>13.2</x:v>
      </x:c>
      <x:c r="V47" t="n">
        <x:f>IFERROR(J47/I47*100,0)</x:f>
        <x:v>90.6060606060606</x:v>
      </x:c>
      <x:c r="W47" t="n">
        <x:f>IFERROR(K47/J47*100,0)</x:f>
        <x:v>2.6755852842809364</x:v>
      </x:c>
      <x:c r="X47" t="n">
        <x:f>IFERROR(H47/F47*100,0)</x:f>
        <x:v>9.166666666666666</x:v>
      </x:c>
      <x:c r="Y47" t="n">
        <x:f>J47-K47</x:f>
        <x:v>1455</x:v>
      </x:c>
      <x:c r="Z47" t="n">
        <x:f>MAX(0,MIN(100,(V47/100)*(1-X47/100)*(1-W47/100)*100))</x:f>
        <x:v>80.09848484848483</x:v>
      </x:c>
    </x:row>
    <x:row r="48">
      <x:c r="A48" s="12" t="n">
        <x:v>46042</x:v>
      </x:c>
      <x:c r="B48" t="str">
        <x:v>B</x:v>
      </x:c>
      <x:c r="C48" t="str">
        <x:v>Dried Mango</x:v>
      </x:c>
      <x:c r="D48" t="str">
        <x:v>Dryer 4</x:v>
      </x:c>
      <x:c r="E48" t="str">
        <x:v>Sup 2</x:v>
      </x:c>
      <x:c r="F48" t="n">
        <x:v>450</x:v>
      </x:c>
      <x:c r="G48" t="n">
        <x:v>20</x:v>
      </x:c>
      <x:c r="H48" t="n">
        <x:v>19</x:v>
      </x:c>
      <x:c r="I48" t="n">
        <x:v>1626</x:v>
      </x:c>
      <x:c r="J48" t="n">
        <x:v>1477</x:v>
      </x:c>
      <x:c r="K48" t="n">
        <x:v>50</x:v>
      </x:c>
      <x:c r="L48" t="n">
        <x:v>22</x:v>
      </x:c>
      <x:c r="M48" t="n">
        <x:v>96.2</x:v>
      </x:c>
      <x:c r="N48" t="n">
        <x:v>95.9</x:v>
      </x:c>
      <x:c r="O48" t="n">
        <x:v>72.1</x:v>
      </x:c>
      <x:c r="P48" t="n">
        <x:v>5</x:v>
      </x:c>
      <x:c r="Q48" t="str">
        <x:v>No incident</x:v>
      </x:c>
      <x:c r="R48" t="str">
        <x:v>N/A</x:v>
      </x:c>
      <x:c r="S48" t="str">
        <x:v>Preventive</x:v>
      </x:c>
      <x:c r="T48" t="n">
        <x:v>0.95</x:v>
      </x:c>
      <x:c r="U48" t="n">
        <x:v>12.4</x:v>
      </x:c>
      <x:c r="V48" t="n">
        <x:f>IFERROR(J48/I48*100,0)</x:f>
        <x:v>90.83640836408364</x:v>
      </x:c>
      <x:c r="W48" t="n">
        <x:f>IFERROR(K48/J48*100,0)</x:f>
        <x:v>3.3852403520649963</x:v>
      </x:c>
      <x:c r="X48" t="n">
        <x:f>IFERROR(H48/F48*100,0)</x:f>
        <x:v>4.222222222222222</x:v>
      </x:c>
      <x:c r="Y48" t="n">
        <x:f>J48-K48</x:f>
        <x:v>1427</x:v>
      </x:c>
      <x:c r="Z48" t="n">
        <x:f>MAX(0,MIN(100,(V48/100)*(1-X48/100)*(1-W48/100)*100))</x:f>
        <x:v>84.05589722563892</x:v>
      </x:c>
    </x:row>
    <x:row r="49">
      <x:c r="A49" s="12" t="n">
        <x:v>46042</x:v>
      </x:c>
      <x:c r="B49" t="str">
        <x:v>C</x:v>
      </x:c>
      <x:c r="C49" t="str">
        <x:v>Dried Pineapple</x:v>
      </x:c>
      <x:c r="D49" t="str">
        <x:v>Dryer 2</x:v>
      </x:c>
      <x:c r="E49" t="str">
        <x:v>Sup 2</x:v>
      </x:c>
      <x:c r="F49" t="n">
        <x:v>450</x:v>
      </x:c>
      <x:c r="G49" t="n">
        <x:v>0</x:v>
      </x:c>
      <x:c r="H49" t="n">
        <x:v>5</x:v>
      </x:c>
      <x:c r="I49" t="n">
        <x:v>1737</x:v>
      </x:c>
      <x:c r="J49" t="n">
        <x:v>1543</x:v>
      </x:c>
      <x:c r="K49" t="n">
        <x:v>41</x:v>
      </x:c>
      <x:c r="L49" t="n">
        <x:v>20</x:v>
      </x:c>
      <x:c r="M49" t="n">
        <x:v>98</x:v>
      </x:c>
      <x:c r="N49" t="n">
        <x:v>82.7</x:v>
      </x:c>
      <x:c r="O49" t="n">
        <x:v>76.5</x:v>
      </x:c>
      <x:c r="P49" t="n">
        <x:v>1</x:v>
      </x:c>
      <x:c r="Q49" t="str">
        <x:v>Recordable</x:v>
      </x:c>
      <x:c r="R49" t="str">
        <x:v>Open</x:v>
      </x:c>
      <x:c r="S49" t="str">
        <x:v>Corrective</x:v>
      </x:c>
      <x:c r="T49" t="n">
        <x:v>0.96</x:v>
      </x:c>
      <x:c r="U49" t="n">
        <x:v>12.4</x:v>
      </x:c>
      <x:c r="V49" t="n">
        <x:f>IFERROR(J49/I49*100,0)</x:f>
        <x:v>88.83131836499713</x:v>
      </x:c>
      <x:c r="W49" t="n">
        <x:f>IFERROR(K49/J49*100,0)</x:f>
        <x:v>2.657161373946857</x:v>
      </x:c>
      <x:c r="X49" t="n">
        <x:f>IFERROR(H49/F49*100,0)</x:f>
        <x:v>1.1111111111111112</x:v>
      </x:c>
      <x:c r="Y49" t="n">
        <x:f>J49-K49</x:f>
        <x:v>1502</x:v>
      </x:c>
      <x:c r="Z49" t="n">
        <x:f>MAX(0,MIN(100,(V49/100)*(1-X49/100)*(1-W49/100)*100))</x:f>
        <x:v>85.51013880892985</x:v>
      </x:c>
    </x:row>
    <x:row r="50">
      <x:c r="A50" s="12" t="n">
        <x:v>46043</x:v>
      </x:c>
      <x:c r="B50" t="str">
        <x:v>A</x:v>
      </x:c>
      <x:c r="C50" t="str">
        <x:v>Dried Mango</x:v>
      </x:c>
      <x:c r="D50" t="str">
        <x:v>Dryer 3</x:v>
      </x:c>
      <x:c r="E50" t="str">
        <x:v>Sup 3</x:v>
      </x:c>
      <x:c r="F50" t="n">
        <x:v>420</x:v>
      </x:c>
      <x:c r="G50" t="n">
        <x:v>30</x:v>
      </x:c>
      <x:c r="H50" t="n">
        <x:v>64</x:v>
      </x:c>
      <x:c r="I50" t="n">
        <x:v>1553</x:v>
      </x:c>
      <x:c r="J50" t="n">
        <x:v>1278</x:v>
      </x:c>
      <x:c r="K50" t="n">
        <x:v>54</x:v>
      </x:c>
      <x:c r="L50" t="n">
        <x:v>21</x:v>
      </x:c>
      <x:c r="M50" t="n">
        <x:v>100</x:v>
      </x:c>
      <x:c r="N50" t="n">
        <x:v>89.8</x:v>
      </x:c>
      <x:c r="O50" t="n">
        <x:v>80.4</x:v>
      </x:c>
      <x:c r="P50" t="n">
        <x:v>8</x:v>
      </x:c>
      <x:c r="Q50" t="str">
        <x:v>No incident</x:v>
      </x:c>
      <x:c r="R50" t="str">
        <x:v>N/A</x:v>
      </x:c>
      <x:c r="S50" t="str">
        <x:v>Inspection</x:v>
      </x:c>
      <x:c r="T50" t="n">
        <x:v>0.53</x:v>
      </x:c>
      <x:c r="U50" t="n">
        <x:v>11.5</x:v>
      </x:c>
      <x:c r="V50" t="n">
        <x:f>IFERROR(J50/I50*100,0)</x:f>
        <x:v>82.29233741146169</x:v>
      </x:c>
      <x:c r="W50" t="n">
        <x:f>IFERROR(K50/J50*100,0)</x:f>
        <x:v>4.225352112676056</x:v>
      </x:c>
      <x:c r="X50" t="n">
        <x:f>IFERROR(H50/F50*100,0)</x:f>
        <x:v>15.238095238095239</x:v>
      </x:c>
      <x:c r="Y50" t="n">
        <x:f>J50-K50</x:f>
        <x:v>1224</x:v>
      </x:c>
      <x:c r="Z50" t="n">
        <x:f>MAX(0,MIN(100,(V50/100)*(1-X50/100)*(1-W50/100)*100))</x:f>
        <x:v>66.80526170545488</x:v>
      </x:c>
    </x:row>
    <x:row r="51">
      <x:c r="A51" s="12" t="n">
        <x:v>46043</x:v>
      </x:c>
      <x:c r="B51" t="str">
        <x:v>B</x:v>
      </x:c>
      <x:c r="C51" t="str">
        <x:v>Dried Pineapple</x:v>
      </x:c>
      <x:c r="D51" t="str">
        <x:v>Dryer 2</x:v>
      </x:c>
      <x:c r="E51" t="str">
        <x:v>Sup 3</x:v>
      </x:c>
      <x:c r="F51" t="n">
        <x:v>420</x:v>
      </x:c>
      <x:c r="G51" t="n">
        <x:v>20</x:v>
      </x:c>
      <x:c r="H51" t="n">
        <x:v>38</x:v>
      </x:c>
      <x:c r="I51" t="n">
        <x:v>1639</x:v>
      </x:c>
      <x:c r="J51" t="n">
        <x:v>1452</x:v>
      </x:c>
      <x:c r="K51" t="n">
        <x:v>56</x:v>
      </x:c>
      <x:c r="L51" t="n">
        <x:v>32</x:v>
      </x:c>
      <x:c r="M51" t="n">
        <x:v>91.6</x:v>
      </x:c>
      <x:c r="N51" t="n">
        <x:v>82.7</x:v>
      </x:c>
      <x:c r="O51" t="n">
        <x:v>81.5</x:v>
      </x:c>
      <x:c r="P51" t="n">
        <x:v>3</x:v>
      </x:c>
      <x:c r="Q51" t="str">
        <x:v>No incident</x:v>
      </x:c>
      <x:c r="R51" t="str">
        <x:v>N/A</x:v>
      </x:c>
      <x:c r="S51" t="str">
        <x:v>Preventive</x:v>
      </x:c>
      <x:c r="T51" t="n">
        <x:v>0.89</x:v>
      </x:c>
      <x:c r="U51" t="n">
        <x:v>11.4</x:v>
      </x:c>
      <x:c r="V51" t="n">
        <x:f>IFERROR(J51/I51*100,0)</x:f>
        <x:v>88.59060402684564</x:v>
      </x:c>
      <x:c r="W51" t="n">
        <x:f>IFERROR(K51/J51*100,0)</x:f>
        <x:v>3.8567493112947657</x:v>
      </x:c>
      <x:c r="X51" t="n">
        <x:f>IFERROR(H51/F51*100,0)</x:f>
        <x:v>9.047619047619047</x:v>
      </x:c>
      <x:c r="Y51" t="n">
        <x:f>J51-K51</x:f>
        <x:v>1396</x:v>
      </x:c>
      <x:c r="Z51" t="n">
        <x:f>MAX(0,MIN(100,(V51/100)*(1-X51/100)*(1-W51/100)*100))</x:f>
        <x:v>77.46767773613412</x:v>
      </x:c>
    </x:row>
    <x:row r="52">
      <x:c r="A52" s="12" t="n">
        <x:v>46043</x:v>
      </x:c>
      <x:c r="B52" t="str">
        <x:v>C</x:v>
      </x:c>
      <x:c r="C52" t="str">
        <x:v>Desiccated Coconut</x:v>
      </x:c>
      <x:c r="D52" t="str">
        <x:v>Dryer 3</x:v>
      </x:c>
      <x:c r="E52" t="str">
        <x:v>Sup 3</x:v>
      </x:c>
      <x:c r="F52" t="n">
        <x:v>480</x:v>
      </x:c>
      <x:c r="G52" t="n">
        <x:v>0</x:v>
      </x:c>
      <x:c r="H52" t="n">
        <x:v>110</x:v>
      </x:c>
      <x:c r="I52" t="n">
        <x:v>1274</x:v>
      </x:c>
      <x:c r="J52" t="n">
        <x:v>1016</x:v>
      </x:c>
      <x:c r="K52" t="n">
        <x:v>44</x:v>
      </x:c>
      <x:c r="L52" t="n">
        <x:v>19</x:v>
      </x:c>
      <x:c r="M52" t="n">
        <x:v>80.2</x:v>
      </x:c>
      <x:c r="N52" t="n">
        <x:v>75</x:v>
      </x:c>
      <x:c r="O52" t="n">
        <x:v>68.3</x:v>
      </x:c>
      <x:c r="P52" t="n">
        <x:v>0</x:v>
      </x:c>
      <x:c r="Q52" t="str">
        <x:v>No incident</x:v>
      </x:c>
      <x:c r="R52" t="str">
        <x:v>N/A</x:v>
      </x:c>
      <x:c r="S52" t="str">
        <x:v>Inspection</x:v>
      </x:c>
      <x:c r="T52" t="n">
        <x:v>0.5</x:v>
      </x:c>
      <x:c r="U52" t="n">
        <x:v>8.9</x:v>
      </x:c>
      <x:c r="V52" t="n">
        <x:f>IFERROR(J52/I52*100,0)</x:f>
        <x:v>79.74882260596546</x:v>
      </x:c>
      <x:c r="W52" t="n">
        <x:f>IFERROR(K52/J52*100,0)</x:f>
        <x:v>4.330708661417323</x:v>
      </x:c>
      <x:c r="X52" t="n">
        <x:f>IFERROR(H52/F52*100,0)</x:f>
        <x:v>22.916666666666664</x:v>
      </x:c>
      <x:c r="Y52" t="n">
        <x:f>J52-K52</x:f>
        <x:v>972</x:v>
      </x:c>
      <x:c r="Z52" t="n">
        <x:f>MAX(0,MIN(100,(V52/100)*(1-X52/100)*(1-W52/100)*100))</x:f>
        <x:v>58.81083202511773</x:v>
      </x:c>
    </x:row>
    <x:row r="53">
      <x:c r="A53" s="12" t="n">
        <x:v>46044</x:v>
      </x:c>
      <x:c r="B53" t="str">
        <x:v>A</x:v>
      </x:c>
      <x:c r="C53" t="str">
        <x:v>Dried Mango</x:v>
      </x:c>
      <x:c r="D53" t="str">
        <x:v>Dryer 2</x:v>
      </x:c>
      <x:c r="E53" t="str">
        <x:v>Sup 2</x:v>
      </x:c>
      <x:c r="F53" t="n">
        <x:v>420</x:v>
      </x:c>
      <x:c r="G53" t="n">
        <x:v>40</x:v>
      </x:c>
      <x:c r="H53" t="n">
        <x:v>42</x:v>
      </x:c>
      <x:c r="I53" t="n">
        <x:v>1751</x:v>
      </x:c>
      <x:c r="J53" t="n">
        <x:v>1615</x:v>
      </x:c>
      <x:c r="K53" t="n">
        <x:v>43</x:v>
      </x:c>
      <x:c r="L53" t="n">
        <x:v>18</x:v>
      </x:c>
      <x:c r="M53" t="n">
        <x:v>92.5</x:v>
      </x:c>
      <x:c r="N53" t="n">
        <x:v>75.1</x:v>
      </x:c>
      <x:c r="O53" t="n">
        <x:v>78.1</x:v>
      </x:c>
      <x:c r="P53" t="n">
        <x:v>3</x:v>
      </x:c>
      <x:c r="Q53" t="str">
        <x:v>Near miss</x:v>
      </x:c>
      <x:c r="R53" t="str">
        <x:v>Closed</x:v>
      </x:c>
      <x:c r="S53" t="str">
        <x:v>Inspection</x:v>
      </x:c>
      <x:c r="T53" t="n">
        <x:v>0.88</x:v>
      </x:c>
      <x:c r="U53" t="n">
        <x:v>14.2</x:v>
      </x:c>
      <x:c r="V53" t="n">
        <x:f>IFERROR(J53/I53*100,0)</x:f>
        <x:v>92.23300970873787</x:v>
      </x:c>
      <x:c r="W53" t="n">
        <x:f>IFERROR(K53/J53*100,0)</x:f>
        <x:v>2.6625386996904026</x:v>
      </x:c>
      <x:c r="X53" t="n">
        <x:f>IFERROR(H53/F53*100,0)</x:f>
        <x:v>10</x:v>
      </x:c>
      <x:c r="Y53" t="n">
        <x:f>J53-K53</x:f>
        <x:v>1572</x:v>
      </x:c>
      <x:c r="Z53" t="n">
        <x:f>MAX(0,MIN(100,(V53/100)*(1-X53/100)*(1-W53/100)*100))</x:f>
        <x:v>80.79954311821818</x:v>
      </x:c>
    </x:row>
    <x:row r="54">
      <x:c r="A54" s="12" t="n">
        <x:v>46044</x:v>
      </x:c>
      <x:c r="B54" t="str">
        <x:v>B</x:v>
      </x:c>
      <x:c r="C54" t="str">
        <x:v>Dried Pineapple</x:v>
      </x:c>
      <x:c r="D54" t="str">
        <x:v>Dryer 2</x:v>
      </x:c>
      <x:c r="E54" t="str">
        <x:v>Sup 3</x:v>
      </x:c>
      <x:c r="F54" t="n">
        <x:v>480</x:v>
      </x:c>
      <x:c r="G54" t="n">
        <x:v>40</x:v>
      </x:c>
      <x:c r="H54" t="n">
        <x:v>16</x:v>
      </x:c>
      <x:c r="I54" t="n">
        <x:v>1763</x:v>
      </x:c>
      <x:c r="J54" t="n">
        <x:v>1684</x:v>
      </x:c>
      <x:c r="K54" t="n">
        <x:v>68</x:v>
      </x:c>
      <x:c r="L54" t="n">
        <x:v>38</x:v>
      </x:c>
      <x:c r="M54" t="n">
        <x:v>91.6</x:v>
      </x:c>
      <x:c r="N54" t="n">
        <x:v>88.1</x:v>
      </x:c>
      <x:c r="O54" t="n">
        <x:v>86.1</x:v>
      </x:c>
      <x:c r="P54" t="n">
        <x:v>2</x:v>
      </x:c>
      <x:c r="Q54" t="str">
        <x:v>Near miss</x:v>
      </x:c>
      <x:c r="R54" t="str">
        <x:v>In progress</x:v>
      </x:c>
      <x:c r="S54" t="str">
        <x:v>Preventive</x:v>
      </x:c>
      <x:c r="T54" t="n">
        <x:v>0.9</x:v>
      </x:c>
      <x:c r="U54" t="n">
        <x:v>14.4</x:v>
      </x:c>
      <x:c r="V54" t="n">
        <x:f>IFERROR(J54/I54*100,0)</x:f>
        <x:v>95.51900170164492</x:v>
      </x:c>
      <x:c r="W54" t="n">
        <x:f>IFERROR(K54/J54*100,0)</x:f>
        <x:v>4.038004750593824</x:v>
      </x:c>
      <x:c r="X54" t="n">
        <x:f>IFERROR(H54/F54*100,0)</x:f>
        <x:v>3.3333333333333335</x:v>
      </x:c>
      <x:c r="Y54" t="n">
        <x:f>J54-K54</x:f>
        <x:v>1616</x:v>
      </x:c>
      <x:c r="Z54" t="n">
        <x:f>MAX(0,MIN(100,(V54/100)*(1-X54/100)*(1-W54/100)*100))</x:f>
        <x:v>88.60654187937229</x:v>
      </x:c>
    </x:row>
    <x:row r="55">
      <x:c r="A55" s="12" t="n">
        <x:v>46044</x:v>
      </x:c>
      <x:c r="B55" t="str">
        <x:v>C</x:v>
      </x:c>
      <x:c r="C55" t="str">
        <x:v>Dried Pineapple</x:v>
      </x:c>
      <x:c r="D55" t="str">
        <x:v>Dryer 3</x:v>
      </x:c>
      <x:c r="E55" t="str">
        <x:v>Sup 1</x:v>
      </x:c>
      <x:c r="F55" t="n">
        <x:v>480</x:v>
      </x:c>
      <x:c r="G55" t="n">
        <x:v>0</x:v>
      </x:c>
      <x:c r="H55" t="n">
        <x:v>51</x:v>
      </x:c>
      <x:c r="I55" t="n">
        <x:v>1814</x:v>
      </x:c>
      <x:c r="J55" t="n">
        <x:v>1471</x:v>
      </x:c>
      <x:c r="K55" t="n">
        <x:v>57</x:v>
      </x:c>
      <x:c r="L55" t="n">
        <x:v>15</x:v>
      </x:c>
      <x:c r="M55" t="n">
        <x:v>89.5</x:v>
      </x:c>
      <x:c r="N55" t="n">
        <x:v>72.7</x:v>
      </x:c>
      <x:c r="O55" t="n">
        <x:v>76.7</x:v>
      </x:c>
      <x:c r="P55" t="n">
        <x:v>1</x:v>
      </x:c>
      <x:c r="Q55" t="str">
        <x:v>Recordable</x:v>
      </x:c>
      <x:c r="R55" t="str">
        <x:v>In progress</x:v>
      </x:c>
      <x:c r="S55" t="str">
        <x:v>Corrective</x:v>
      </x:c>
      <x:c r="T55" t="n">
        <x:v>1.13</x:v>
      </x:c>
      <x:c r="U55" t="n">
        <x:v>12.9</x:v>
      </x:c>
      <x:c r="V55" t="n">
        <x:f>IFERROR(J55/I55*100,0)</x:f>
        <x:v>81.09151047409041</x:v>
      </x:c>
      <x:c r="W55" t="n">
        <x:f>IFERROR(K55/J55*100,0)</x:f>
        <x:v>3.8749150237933376</x:v>
      </x:c>
      <x:c r="X55" t="n">
        <x:f>IFERROR(H55/F55*100,0)</x:f>
        <x:v>10.625</x:v>
      </x:c>
      <x:c r="Y55" t="n">
        <x:f>J55-K55</x:f>
        <x:v>1414</x:v>
      </x:c>
      <x:c r="Z55" t="n">
        <x:f>MAX(0,MIN(100,(V55/100)*(1-X55/100)*(1-W55/100)*100))</x:f>
        <x:v>69.66717199558987</x:v>
      </x:c>
    </x:row>
    <x:row r="56">
      <x:c r="A56" s="12" t="n">
        <x:v>46045</x:v>
      </x:c>
      <x:c r="B56" t="str">
        <x:v>A</x:v>
      </x:c>
      <x:c r="C56" t="str">
        <x:v>Desiccated Coconut</x:v>
      </x:c>
      <x:c r="D56" t="str">
        <x:v>Dryer 1</x:v>
      </x:c>
      <x:c r="E56" t="str">
        <x:v>Sup 1</x:v>
      </x:c>
      <x:c r="F56" t="n">
        <x:v>480</x:v>
      </x:c>
      <x:c r="G56" t="n">
        <x:v>20</x:v>
      </x:c>
      <x:c r="H56" t="n">
        <x:v>48</x:v>
      </x:c>
      <x:c r="I56" t="n">
        <x:v>1233</x:v>
      </x:c>
      <x:c r="J56" t="n">
        <x:v>991</x:v>
      </x:c>
      <x:c r="K56" t="n">
        <x:v>21</x:v>
      </x:c>
      <x:c r="L56" t="n">
        <x:v>4</x:v>
      </x:c>
      <x:c r="M56" t="n">
        <x:v>81.8</x:v>
      </x:c>
      <x:c r="N56" t="n">
        <x:v>94.9</x:v>
      </x:c>
      <x:c r="O56" t="n">
        <x:v>79.8</x:v>
      </x:c>
      <x:c r="P56" t="n">
        <x:v>7</x:v>
      </x:c>
      <x:c r="Q56" t="str">
        <x:v>No incident</x:v>
      </x:c>
      <x:c r="R56" t="str">
        <x:v>N/A</x:v>
      </x:c>
      <x:c r="S56" t="str">
        <x:v>Corrective</x:v>
      </x:c>
      <x:c r="T56" t="n">
        <x:v>1.22</x:v>
      </x:c>
      <x:c r="U56" t="n">
        <x:v>9</x:v>
      </x:c>
      <x:c r="V56" t="n">
        <x:f>IFERROR(J56/I56*100,0)</x:f>
        <x:v>80.37307380373075</x:v>
      </x:c>
      <x:c r="W56" t="n">
        <x:f>IFERROR(K56/J56*100,0)</x:f>
        <x:v>2.119071644803229</x:v>
      </x:c>
      <x:c r="X56" t="n">
        <x:f>IFERROR(H56/F56*100,0)</x:f>
        <x:v>10</x:v>
      </x:c>
      <x:c r="Y56" t="n">
        <x:f>J56-K56</x:f>
        <x:v>970</x:v>
      </x:c>
      <x:c r="Z56" t="n">
        <x:f>MAX(0,MIN(100,(V56/100)*(1-X56/100)*(1-W56/100)*100))</x:f>
        <x:v>70.80291970802921</x:v>
      </x:c>
    </x:row>
    <x:row r="57">
      <x:c r="A57" s="12" t="n">
        <x:v>46045</x:v>
      </x:c>
      <x:c r="B57" t="str">
        <x:v>B</x:v>
      </x:c>
      <x:c r="C57" t="str">
        <x:v>Dried Pineapple</x:v>
      </x:c>
      <x:c r="D57" t="str">
        <x:v>Dryer 1</x:v>
      </x:c>
      <x:c r="E57" t="str">
        <x:v>Sup 2</x:v>
      </x:c>
      <x:c r="F57" t="n">
        <x:v>420</x:v>
      </x:c>
      <x:c r="G57" t="n">
        <x:v>30</x:v>
      </x:c>
      <x:c r="H57" t="n">
        <x:v>30</x:v>
      </x:c>
      <x:c r="I57" t="n">
        <x:v>1826</x:v>
      </x:c>
      <x:c r="J57" t="n">
        <x:v>1668</x:v>
      </x:c>
      <x:c r="K57" t="n">
        <x:v>67</x:v>
      </x:c>
      <x:c r="L57" t="n">
        <x:v>29</x:v>
      </x:c>
      <x:c r="M57" t="n">
        <x:v>86</x:v>
      </x:c>
      <x:c r="N57" t="n">
        <x:v>80.5</x:v>
      </x:c>
      <x:c r="O57" t="n">
        <x:v>81.5</x:v>
      </x:c>
      <x:c r="P57" t="n">
        <x:v>5</x:v>
      </x:c>
      <x:c r="Q57" t="str">
        <x:v>No incident</x:v>
      </x:c>
      <x:c r="R57" t="str">
        <x:v>N/A</x:v>
      </x:c>
      <x:c r="S57" t="str">
        <x:v>Corrective</x:v>
      </x:c>
      <x:c r="T57" t="n">
        <x:v>1.22</x:v>
      </x:c>
      <x:c r="U57" t="n">
        <x:v>14.3</x:v>
      </x:c>
      <x:c r="V57" t="n">
        <x:f>IFERROR(J57/I57*100,0)</x:f>
        <x:v>91.34720700985761</x:v>
      </x:c>
      <x:c r="W57" t="n">
        <x:f>IFERROR(K57/J57*100,0)</x:f>
        <x:v>4.016786570743405</x:v>
      </x:c>
      <x:c r="X57" t="n">
        <x:f>IFERROR(H57/F57*100,0)</x:f>
        <x:v>7.142857142857142</x:v>
      </x:c>
      <x:c r="Y57" t="n">
        <x:f>J57-K57</x:f>
        <x:v>1601</x:v>
      </x:c>
      <x:c r="Z57" t="n">
        <x:f>MAX(0,MIN(100,(V57/100)*(1-X57/100)*(1-W57/100)*100))</x:f>
        <x:v>81.41527147551245</x:v>
      </x:c>
    </x:row>
    <x:row r="58">
      <x:c r="A58" s="12" t="n">
        <x:v>46045</x:v>
      </x:c>
      <x:c r="B58" t="str">
        <x:v>C</x:v>
      </x:c>
      <x:c r="C58" t="str">
        <x:v>Dried Mango</x:v>
      </x:c>
      <x:c r="D58" t="str">
        <x:v>Dryer 1</x:v>
      </x:c>
      <x:c r="E58" t="str">
        <x:v>Sup 3</x:v>
      </x:c>
      <x:c r="F58" t="n">
        <x:v>420</x:v>
      </x:c>
      <x:c r="G58" t="n">
        <x:v>0</x:v>
      </x:c>
      <x:c r="H58" t="n">
        <x:v>42</x:v>
      </x:c>
      <x:c r="I58" t="n">
        <x:v>1724</x:v>
      </x:c>
      <x:c r="J58" t="n">
        <x:v>1386</x:v>
      </x:c>
      <x:c r="K58" t="n">
        <x:v>57</x:v>
      </x:c>
      <x:c r="L58" t="n">
        <x:v>31</x:v>
      </x:c>
      <x:c r="M58" t="n">
        <x:v>89</x:v>
      </x:c>
      <x:c r="N58" t="n">
        <x:v>90.5</x:v>
      </x:c>
      <x:c r="O58" t="n">
        <x:v>82.2</x:v>
      </x:c>
      <x:c r="P58" t="n">
        <x:v>5</x:v>
      </x:c>
      <x:c r="Q58" t="str">
        <x:v>No incident</x:v>
      </x:c>
      <x:c r="R58" t="str">
        <x:v>N/A</x:v>
      </x:c>
      <x:c r="S58" t="str">
        <x:v>Preventive</x:v>
      </x:c>
      <x:c r="T58" t="n">
        <x:v>0.88</x:v>
      </x:c>
      <x:c r="U58" t="n">
        <x:v>10.4</x:v>
      </x:c>
      <x:c r="V58" t="n">
        <x:f>IFERROR(J58/I58*100,0)</x:f>
        <x:v>80.39443155452436</x:v>
      </x:c>
      <x:c r="W58" t="n">
        <x:f>IFERROR(K58/J58*100,0)</x:f>
        <x:v>4.112554112554113</x:v>
      </x:c>
      <x:c r="X58" t="n">
        <x:f>IFERROR(H58/F58*100,0)</x:f>
        <x:v>10</x:v>
      </x:c>
      <x:c r="Y58" t="n">
        <x:f>J58-K58</x:f>
        <x:v>1329</x:v>
      </x:c>
      <x:c r="Z58" t="n">
        <x:f>MAX(0,MIN(100,(V58/100)*(1-X58/100)*(1-W58/100)*100))</x:f>
        <x:v>69.37935034802784</x:v>
      </x:c>
    </x:row>
    <x:row r="59">
      <x:c r="A59" s="12" t="n">
        <x:v>46046</x:v>
      </x:c>
      <x:c r="B59" t="str">
        <x:v>A</x:v>
      </x:c>
      <x:c r="C59" t="str">
        <x:v>Desiccated Coconut</x:v>
      </x:c>
      <x:c r="D59" t="str">
        <x:v>Dryer 4</x:v>
      </x:c>
      <x:c r="E59" t="str">
        <x:v>Sup 2</x:v>
      </x:c>
      <x:c r="F59" t="n">
        <x:v>450</x:v>
      </x:c>
      <x:c r="G59" t="n">
        <x:v>0</x:v>
      </x:c>
      <x:c r="H59" t="n">
        <x:v>48</x:v>
      </x:c>
      <x:c r="I59" t="n">
        <x:v>1208</x:v>
      </x:c>
      <x:c r="J59" t="n">
        <x:v>1048</x:v>
      </x:c>
      <x:c r="K59" t="n">
        <x:v>26</x:v>
      </x:c>
      <x:c r="L59" t="n">
        <x:v>17</x:v>
      </x:c>
      <x:c r="M59" t="n">
        <x:v>84.4</x:v>
      </x:c>
      <x:c r="N59" t="n">
        <x:v>90.3</x:v>
      </x:c>
      <x:c r="O59" t="n">
        <x:v>65.9</x:v>
      </x:c>
      <x:c r="P59" t="n">
        <x:v>3</x:v>
      </x:c>
      <x:c r="Q59" t="str">
        <x:v>No incident</x:v>
      </x:c>
      <x:c r="R59" t="str">
        <x:v>N/A</x:v>
      </x:c>
      <x:c r="S59" t="str">
        <x:v>Inspection</x:v>
      </x:c>
      <x:c r="T59" t="n">
        <x:v>0.5</x:v>
      </x:c>
      <x:c r="U59" t="n">
        <x:v>9.1</x:v>
      </x:c>
      <x:c r="V59" t="n">
        <x:f>IFERROR(J59/I59*100,0)</x:f>
        <x:v>86.75496688741721</x:v>
      </x:c>
      <x:c r="W59" t="n">
        <x:f>IFERROR(K59/J59*100,0)</x:f>
        <x:v>2.480916030534351</x:v>
      </x:c>
      <x:c r="X59" t="n">
        <x:f>IFERROR(H59/F59*100,0)</x:f>
        <x:v>10.666666666666668</x:v>
      </x:c>
      <x:c r="Y59" t="n">
        <x:f>J59-K59</x:f>
        <x:v>1022</x:v>
      </x:c>
      <x:c r="Z59" t="n">
        <x:f>MAX(0,MIN(100,(V59/100)*(1-X59/100)*(1-W59/100)*100))</x:f>
        <x:v>75.5783664459161</x:v>
      </x:c>
    </x:row>
    <x:row r="60">
      <x:c r="A60" s="12" t="n">
        <x:v>46046</x:v>
      </x:c>
      <x:c r="B60" t="str">
        <x:v>B</x:v>
      </x:c>
      <x:c r="C60" t="str">
        <x:v>Desiccated Coconut</x:v>
      </x:c>
      <x:c r="D60" t="str">
        <x:v>Dryer 2</x:v>
      </x:c>
      <x:c r="E60" t="str">
        <x:v>Sup 3</x:v>
      </x:c>
      <x:c r="F60" t="n">
        <x:v>480</x:v>
      </x:c>
      <x:c r="G60" t="n">
        <x:v>40</x:v>
      </x:c>
      <x:c r="H60" t="n">
        <x:v>70</x:v>
      </x:c>
      <x:c r="I60" t="n">
        <x:v>1128</x:v>
      </x:c>
      <x:c r="J60" t="n">
        <x:v>841</x:v>
      </x:c>
      <x:c r="K60" t="n">
        <x:v>14</x:v>
      </x:c>
      <x:c r="L60" t="n">
        <x:v>6</x:v>
      </x:c>
      <x:c r="M60" t="n">
        <x:v>96.7</x:v>
      </x:c>
      <x:c r="N60" t="n">
        <x:v>73.9</x:v>
      </x:c>
      <x:c r="O60" t="n">
        <x:v>63.1</x:v>
      </x:c>
      <x:c r="P60" t="n">
        <x:v>2</x:v>
      </x:c>
      <x:c r="Q60" t="str">
        <x:v>No incident</x:v>
      </x:c>
      <x:c r="R60" t="str">
        <x:v>N/A</x:v>
      </x:c>
      <x:c r="S60" t="str">
        <x:v>Inspection</x:v>
      </x:c>
      <x:c r="T60" t="n">
        <x:v>0.86</x:v>
      </x:c>
      <x:c r="U60" t="n">
        <x:v>6.4</x:v>
      </x:c>
      <x:c r="V60" t="n">
        <x:f>IFERROR(J60/I60*100,0)</x:f>
        <x:v>74.55673758865248</x:v>
      </x:c>
      <x:c r="W60" t="n">
        <x:f>IFERROR(K60/J60*100,0)</x:f>
        <x:v>1.6646848989298455</x:v>
      </x:c>
      <x:c r="X60" t="n">
        <x:f>IFERROR(H60/F60*100,0)</x:f>
        <x:v>14.583333333333334</x:v>
      </x:c>
      <x:c r="Y60" t="n">
        <x:f>J60-K60</x:f>
        <x:v>827</x:v>
      </x:c>
      <x:c r="Z60" t="n">
        <x:f>MAX(0,MIN(100,(V60/100)*(1-X60/100)*(1-W60/100)*100))</x:f>
        <x:v>62.62374408983451</x:v>
      </x:c>
    </x:row>
    <x:row r="61">
      <x:c r="A61" s="12" t="n">
        <x:v>46046</x:v>
      </x:c>
      <x:c r="B61" t="str">
        <x:v>C</x:v>
      </x:c>
      <x:c r="C61" t="str">
        <x:v>Desiccated Coconut</x:v>
      </x:c>
      <x:c r="D61" t="str">
        <x:v>Dryer 3</x:v>
      </x:c>
      <x:c r="E61" t="str">
        <x:v>Sup 2</x:v>
      </x:c>
      <x:c r="F61" t="n">
        <x:v>420</x:v>
      </x:c>
      <x:c r="G61" t="n">
        <x:v>40</x:v>
      </x:c>
      <x:c r="H61" t="n">
        <x:v>83</x:v>
      </x:c>
      <x:c r="I61" t="n">
        <x:v>1168</x:v>
      </x:c>
      <x:c r="J61" t="n">
        <x:v>817</x:v>
      </x:c>
      <x:c r="K61" t="n">
        <x:v>32</x:v>
      </x:c>
      <x:c r="L61" t="n">
        <x:v>17</x:v>
      </x:c>
      <x:c r="M61" t="n">
        <x:v>91.2</x:v>
      </x:c>
      <x:c r="N61" t="n">
        <x:v>66.4</x:v>
      </x:c>
      <x:c r="O61" t="n">
        <x:v>69.4</x:v>
      </x:c>
      <x:c r="P61" t="n">
        <x:v>1</x:v>
      </x:c>
      <x:c r="Q61" t="str">
        <x:v>No incident</x:v>
      </x:c>
      <x:c r="R61" t="str">
        <x:v>N/A</x:v>
      </x:c>
      <x:c r="S61" t="str">
        <x:v>Preventive</x:v>
      </x:c>
      <x:c r="T61" t="n">
        <x:v>0.5</x:v>
      </x:c>
      <x:c r="U61" t="n">
        <x:v>6.4</x:v>
      </x:c>
      <x:c r="V61" t="n">
        <x:f>IFERROR(J61/I61*100,0)</x:f>
        <x:v>69.9486301369863</x:v>
      </x:c>
      <x:c r="W61" t="n">
        <x:f>IFERROR(K61/J61*100,0)</x:f>
        <x:v>3.9167686658506726</x:v>
      </x:c>
      <x:c r="X61" t="n">
        <x:f>IFERROR(H61/F61*100,0)</x:f>
        <x:v>19.761904761904763</x:v>
      </x:c>
      <x:c r="Y61" t="n">
        <x:f>J61-K61</x:f>
        <x:v>785</x:v>
      </x:c>
      <x:c r="Z61" t="n">
        <x:f>MAX(0,MIN(100,(V61/100)*(1-X61/100)*(1-W61/100)*100))</x:f>
        <x:v>53.92714448793217</x:v>
      </x:c>
    </x:row>
    <x:row r="62">
      <x:c r="A62" s="12" t="n">
        <x:v>46047</x:v>
      </x:c>
      <x:c r="B62" t="str">
        <x:v>A</x:v>
      </x:c>
      <x:c r="C62" t="str">
        <x:v>Dried Mango</x:v>
      </x:c>
      <x:c r="D62" t="str">
        <x:v>Dryer 4</x:v>
      </x:c>
      <x:c r="E62" t="str">
        <x:v>Sup 1</x:v>
      </x:c>
      <x:c r="F62" t="n">
        <x:v>450</x:v>
      </x:c>
      <x:c r="G62" t="n">
        <x:v>0</x:v>
      </x:c>
      <x:c r="H62" t="n">
        <x:v>30</x:v>
      </x:c>
      <x:c r="I62" t="n">
        <x:v>1711</x:v>
      </x:c>
      <x:c r="J62" t="n">
        <x:v>1470</x:v>
      </x:c>
      <x:c r="K62" t="n">
        <x:v>60</x:v>
      </x:c>
      <x:c r="L62" t="n">
        <x:v>24</x:v>
      </x:c>
      <x:c r="M62" t="n">
        <x:v>97.8</x:v>
      </x:c>
      <x:c r="N62" t="n">
        <x:v>78.7</x:v>
      </x:c>
      <x:c r="O62" t="n">
        <x:v>83.2</x:v>
      </x:c>
      <x:c r="P62" t="n">
        <x:v>1</x:v>
      </x:c>
      <x:c r="Q62" t="str">
        <x:v>No incident</x:v>
      </x:c>
      <x:c r="R62" t="str">
        <x:v>N/A</x:v>
      </x:c>
      <x:c r="S62" t="str">
        <x:v>Preventive</x:v>
      </x:c>
      <x:c r="T62" t="n">
        <x:v>1.31</x:v>
      </x:c>
      <x:c r="U62" t="n">
        <x:v>13.3</x:v>
      </x:c>
      <x:c r="V62" t="n">
        <x:f>IFERROR(J62/I62*100,0)</x:f>
        <x:v>85.9146697837522</x:v>
      </x:c>
      <x:c r="W62" t="n">
        <x:f>IFERROR(K62/J62*100,0)</x:f>
        <x:v>4.081632653061225</x:v>
      </x:c>
      <x:c r="X62" t="n">
        <x:f>IFERROR(H62/F62*100,0)</x:f>
        <x:v>6.666666666666667</x:v>
      </x:c>
      <x:c r="Y62" t="n">
        <x:f>J62-K62</x:f>
        <x:v>1410</x:v>
      </x:c>
      <x:c r="Z62" t="n">
        <x:f>MAX(0,MIN(100,(V62/100)*(1-X62/100)*(1-W62/100)*100))</x:f>
        <x:v>76.91408533021627</x:v>
      </x:c>
    </x:row>
    <x:row r="63">
      <x:c r="A63" s="12" t="n">
        <x:v>46047</x:v>
      </x:c>
      <x:c r="B63" t="str">
        <x:v>B</x:v>
      </x:c>
      <x:c r="C63" t="str">
        <x:v>Dried Mango</x:v>
      </x:c>
      <x:c r="D63" t="str">
        <x:v>Dryer 2</x:v>
      </x:c>
      <x:c r="E63" t="str">
        <x:v>Sup 1</x:v>
      </x:c>
      <x:c r="F63" t="n">
        <x:v>480</x:v>
      </x:c>
      <x:c r="G63" t="n">
        <x:v>40</x:v>
      </x:c>
      <x:c r="H63" t="n">
        <x:v>41</x:v>
      </x:c>
      <x:c r="I63" t="n">
        <x:v>1539</x:v>
      </x:c>
      <x:c r="J63" t="n">
        <x:v>1285</x:v>
      </x:c>
      <x:c r="K63" t="n">
        <x:v>35</x:v>
      </x:c>
      <x:c r="L63" t="n">
        <x:v>23</x:v>
      </x:c>
      <x:c r="M63" t="n">
        <x:v>86.2</x:v>
      </x:c>
      <x:c r="N63" t="n">
        <x:v>73.4</x:v>
      </x:c>
      <x:c r="O63" t="n">
        <x:v>78.5</x:v>
      </x:c>
      <x:c r="P63" t="n">
        <x:v>3</x:v>
      </x:c>
      <x:c r="Q63" t="str">
        <x:v>No incident</x:v>
      </x:c>
      <x:c r="R63" t="str">
        <x:v>N/A</x:v>
      </x:c>
      <x:c r="S63" t="str">
        <x:v>Corrective</x:v>
      </x:c>
      <x:c r="T63" t="n">
        <x:v>1.38</x:v>
      </x:c>
      <x:c r="U63" t="n">
        <x:v>11.1</x:v>
      </x:c>
      <x:c r="V63" t="n">
        <x:f>IFERROR(J63/I63*100,0)</x:f>
        <x:v>83.49577647823261</x:v>
      </x:c>
      <x:c r="W63" t="n">
        <x:f>IFERROR(K63/J63*100,0)</x:f>
        <x:v>2.7237354085603114</x:v>
      </x:c>
      <x:c r="X63" t="n">
        <x:f>IFERROR(H63/F63*100,0)</x:f>
        <x:v>8.541666666666666</x:v>
      </x:c>
      <x:c r="Y63" t="n">
        <x:f>J63-K63</x:f>
        <x:v>1250</x:v>
      </x:c>
      <x:c r="Z63" t="n">
        <x:f>MAX(0,MIN(100,(V63/100)*(1-X63/100)*(1-W63/100)*100))</x:f>
        <x:v>74.28389646956897</x:v>
      </x:c>
    </x:row>
    <x:row r="64">
      <x:c r="A64" s="12" t="n">
        <x:v>46047</x:v>
      </x:c>
      <x:c r="B64" t="str">
        <x:v>C</x:v>
      </x:c>
      <x:c r="C64" t="str">
        <x:v>Dried Mango</x:v>
      </x:c>
      <x:c r="D64" t="str">
        <x:v>Dryer 3</x:v>
      </x:c>
      <x:c r="E64" t="str">
        <x:v>Sup 3</x:v>
      </x:c>
      <x:c r="F64" t="n">
        <x:v>450</x:v>
      </x:c>
      <x:c r="G64" t="n">
        <x:v>40</x:v>
      </x:c>
      <x:c r="H64" t="n">
        <x:v>79</x:v>
      </x:c>
      <x:c r="I64" t="n">
        <x:v>1736</x:v>
      </x:c>
      <x:c r="J64" t="n">
        <x:v>1274</x:v>
      </x:c>
      <x:c r="K64" t="n">
        <x:v>57</x:v>
      </x:c>
      <x:c r="L64" t="n">
        <x:v>39</x:v>
      </x:c>
      <x:c r="M64" t="n">
        <x:v>89.7</x:v>
      </x:c>
      <x:c r="N64" t="n">
        <x:v>78.1</x:v>
      </x:c>
      <x:c r="O64" t="n">
        <x:v>78.8</x:v>
      </x:c>
      <x:c r="P64" t="n">
        <x:v>3</x:v>
      </x:c>
      <x:c r="Q64" t="str">
        <x:v>Recordable</x:v>
      </x:c>
      <x:c r="R64" t="str">
        <x:v>Open</x:v>
      </x:c>
      <x:c r="S64" t="str">
        <x:v>Preventive</x:v>
      </x:c>
      <x:c r="T64" t="n">
        <x:v>0.76</x:v>
      </x:c>
      <x:c r="U64" t="n">
        <x:v>11.5</x:v>
      </x:c>
      <x:c r="V64" t="n">
        <x:f>IFERROR(J64/I64*100,0)</x:f>
        <x:v>73.38709677419355</x:v>
      </x:c>
      <x:c r="W64" t="n">
        <x:f>IFERROR(K64/J64*100,0)</x:f>
        <x:v>4.474097331240189</x:v>
      </x:c>
      <x:c r="X64" t="n">
        <x:f>IFERROR(H64/F64*100,0)</x:f>
        <x:v>17.555555555555554</x:v>
      </x:c>
      <x:c r="Y64" t="n">
        <x:f>J64-K64</x:f>
        <x:v>1217</x:v>
      </x:c>
      <x:c r="Z64" t="n">
        <x:f>MAX(0,MIN(100,(V64/100)*(1-X64/100)*(1-W64/100)*100))</x:f>
        <x:v>57.79659498207885</x:v>
      </x:c>
    </x:row>
    <x:row r="65">
      <x:c r="A65" s="12" t="n">
        <x:v>46048</x:v>
      </x:c>
      <x:c r="B65" t="str">
        <x:v>A</x:v>
      </x:c>
      <x:c r="C65" t="str">
        <x:v>Dried Pineapple</x:v>
      </x:c>
      <x:c r="D65" t="str">
        <x:v>Dryer 3</x:v>
      </x:c>
      <x:c r="E65" t="str">
        <x:v>Sup 3</x:v>
      </x:c>
      <x:c r="F65" t="n">
        <x:v>450</x:v>
      </x:c>
      <x:c r="G65" t="n">
        <x:v>30</x:v>
      </x:c>
      <x:c r="H65" t="n">
        <x:v>72</x:v>
      </x:c>
      <x:c r="I65" t="n">
        <x:v>1744</x:v>
      </x:c>
      <x:c r="J65" t="n">
        <x:v>1428</x:v>
      </x:c>
      <x:c r="K65" t="n">
        <x:v>53</x:v>
      </x:c>
      <x:c r="L65" t="n">
        <x:v>21</x:v>
      </x:c>
      <x:c r="M65" t="n">
        <x:v>92.9</x:v>
      </x:c>
      <x:c r="N65" t="n">
        <x:v>81</x:v>
      </x:c>
      <x:c r="O65" t="n">
        <x:v>77</x:v>
      </x:c>
      <x:c r="P65" t="n">
        <x:v>5</x:v>
      </x:c>
      <x:c r="Q65" t="str">
        <x:v>No incident</x:v>
      </x:c>
      <x:c r="R65" t="str">
        <x:v>N/A</x:v>
      </x:c>
      <x:c r="S65" t="str">
        <x:v>Inspection</x:v>
      </x:c>
      <x:c r="T65" t="n">
        <x:v>0.65</x:v>
      </x:c>
      <x:c r="U65" t="n">
        <x:v>12.8</x:v>
      </x:c>
      <x:c r="V65" t="n">
        <x:f>IFERROR(J65/I65*100,0)</x:f>
        <x:v>81.88073394495413</x:v>
      </x:c>
      <x:c r="W65" t="n">
        <x:f>IFERROR(K65/J65*100,0)</x:f>
        <x:v>3.711484593837535</x:v>
      </x:c>
      <x:c r="X65" t="n">
        <x:f>IFERROR(H65/F65*100,0)</x:f>
        <x:v>16</x:v>
      </x:c>
      <x:c r="Y65" t="n">
        <x:f>J65-K65</x:f>
        <x:v>1375</x:v>
      </x:c>
      <x:c r="Z65" t="n">
        <x:f>MAX(0,MIN(100,(V65/100)*(1-X65/100)*(1-W65/100)*100))</x:f>
        <x:v>66.2270642201835</x:v>
      </x:c>
    </x:row>
    <x:row r="66">
      <x:c r="A66" s="12" t="n">
        <x:v>46048</x:v>
      </x:c>
      <x:c r="B66" t="str">
        <x:v>B</x:v>
      </x:c>
      <x:c r="C66" t="str">
        <x:v>Desiccated Coconut</x:v>
      </x:c>
      <x:c r="D66" t="str">
        <x:v>Dryer 3</x:v>
      </x:c>
      <x:c r="E66" t="str">
        <x:v>Sup 1</x:v>
      </x:c>
      <x:c r="F66" t="n">
        <x:v>420</x:v>
      </x:c>
      <x:c r="G66" t="n">
        <x:v>20</x:v>
      </x:c>
      <x:c r="H66" t="n">
        <x:v>22</x:v>
      </x:c>
      <x:c r="I66" t="n">
        <x:v>1219</x:v>
      </x:c>
      <x:c r="J66" t="n">
        <x:v>1121</x:v>
      </x:c>
      <x:c r="K66" t="n">
        <x:v>37</x:v>
      </x:c>
      <x:c r="L66" t="n">
        <x:v>19</x:v>
      </x:c>
      <x:c r="M66" t="n">
        <x:v>92</x:v>
      </x:c>
      <x:c r="N66" t="n">
        <x:v>95.5</x:v>
      </x:c>
      <x:c r="O66" t="n">
        <x:v>72.3</x:v>
      </x:c>
      <x:c r="P66" t="n">
        <x:v>1</x:v>
      </x:c>
      <x:c r="Q66" t="str">
        <x:v>No incident</x:v>
      </x:c>
      <x:c r="R66" t="str">
        <x:v>N/A</x:v>
      </x:c>
      <x:c r="S66" t="str">
        <x:v>Inspection</x:v>
      </x:c>
      <x:c r="T66" t="n">
        <x:v>0.72</x:v>
      </x:c>
      <x:c r="U66" t="n">
        <x:v>9.3</x:v>
      </x:c>
      <x:c r="V66" t="n">
        <x:f>IFERROR(J66/I66*100,0)</x:f>
        <x:v>91.96062346185397</x:v>
      </x:c>
      <x:c r="W66" t="n">
        <x:f>IFERROR(K66/J66*100,0)</x:f>
        <x:v>3.300624442462088</x:v>
      </x:c>
      <x:c r="X66" t="n">
        <x:f>IFERROR(H66/F66*100,0)</x:f>
        <x:v>5.238095238095238</x:v>
      </x:c>
      <x:c r="Y66" t="n">
        <x:f>J66-K66</x:f>
        <x:v>1084</x:v>
      </x:c>
      <x:c r="Z66" t="n">
        <x:f>MAX(0,MIN(100,(V66/100)*(1-X66/100)*(1-W66/100)*100))</x:f>
        <x:v>84.26735419352318</x:v>
      </x:c>
    </x:row>
    <x:row r="67">
      <x:c r="A67" s="12" t="n">
        <x:v>46048</x:v>
      </x:c>
      <x:c r="B67" t="str">
        <x:v>C</x:v>
      </x:c>
      <x:c r="C67" t="str">
        <x:v>Dried Mango</x:v>
      </x:c>
      <x:c r="D67" t="str">
        <x:v>Dryer 1</x:v>
      </x:c>
      <x:c r="E67" t="str">
        <x:v>Sup 1</x:v>
      </x:c>
      <x:c r="F67" t="n">
        <x:v>450</x:v>
      </x:c>
      <x:c r="G67" t="n">
        <x:v>20</x:v>
      </x:c>
      <x:c r="H67" t="n">
        <x:v>55</x:v>
      </x:c>
      <x:c r="I67" t="n">
        <x:v>1631</x:v>
      </x:c>
      <x:c r="J67" t="n">
        <x:v>1352</x:v>
      </x:c>
      <x:c r="K67" t="n">
        <x:v>44</x:v>
      </x:c>
      <x:c r="L67" t="n">
        <x:v>16</x:v>
      </x:c>
      <x:c r="M67" t="n">
        <x:v>80.2</x:v>
      </x:c>
      <x:c r="N67" t="n">
        <x:v>56.8</x:v>
      </x:c>
      <x:c r="O67" t="n">
        <x:v>82.2</x:v>
      </x:c>
      <x:c r="P67" t="n">
        <x:v>3</x:v>
      </x:c>
      <x:c r="Q67" t="str">
        <x:v>First aid</x:v>
      </x:c>
      <x:c r="R67" t="str">
        <x:v>Closed</x:v>
      </x:c>
      <x:c r="S67" t="str">
        <x:v>Corrective</x:v>
      </x:c>
      <x:c r="T67" t="n">
        <x:v>1.29</x:v>
      </x:c>
      <x:c r="U67" t="n">
        <x:v>10.9</x:v>
      </x:c>
      <x:c r="V67" t="n">
        <x:f>IFERROR(J67/I67*100,0)</x:f>
        <x:v>82.89393010423053</x:v>
      </x:c>
      <x:c r="W67" t="n">
        <x:f>IFERROR(K67/J67*100,0)</x:f>
        <x:v>3.2544378698224854</x:v>
      </x:c>
      <x:c r="X67" t="n">
        <x:f>IFERROR(H67/F67*100,0)</x:f>
        <x:v>12.222222222222221</x:v>
      </x:c>
      <x:c r="Y67" t="n">
        <x:f>J67-K67</x:f>
        <x:v>1308</x:v>
      </x:c>
      <x:c r="Z67" t="n">
        <x:f>MAX(0,MIN(100,(V67/100)*(1-X67/100)*(1-W67/100)*100))</x:f>
        <x:v>70.39444103821786</x:v>
      </x:c>
    </x:row>
    <x:row r="68">
      <x:c r="A68" s="12" t="n">
        <x:v>46049</x:v>
      </x:c>
      <x:c r="B68" t="str">
        <x:v>A</x:v>
      </x:c>
      <x:c r="C68" t="str">
        <x:v>Dried Pineapple</x:v>
      </x:c>
      <x:c r="D68" t="str">
        <x:v>Dryer 3</x:v>
      </x:c>
      <x:c r="E68" t="str">
        <x:v>Sup 1</x:v>
      </x:c>
      <x:c r="F68" t="n">
        <x:v>480</x:v>
      </x:c>
      <x:c r="G68" t="n">
        <x:v>20</x:v>
      </x:c>
      <x:c r="H68" t="n">
        <x:v>63</x:v>
      </x:c>
      <x:c r="I68" t="n">
        <x:v>1727</x:v>
      </x:c>
      <x:c r="J68" t="n">
        <x:v>1312</x:v>
      </x:c>
      <x:c r="K68" t="n">
        <x:v>68</x:v>
      </x:c>
      <x:c r="L68" t="n">
        <x:v>16</x:v>
      </x:c>
      <x:c r="M68" t="n">
        <x:v>89.3</x:v>
      </x:c>
      <x:c r="N68" t="n">
        <x:v>80.5</x:v>
      </x:c>
      <x:c r="O68" t="n">
        <x:v>68</x:v>
      </x:c>
      <x:c r="P68" t="n">
        <x:v>1</x:v>
      </x:c>
      <x:c r="Q68" t="str">
        <x:v>No incident</x:v>
      </x:c>
      <x:c r="R68" t="str">
        <x:v>N/A</x:v>
      </x:c>
      <x:c r="S68" t="str">
        <x:v>Inspection</x:v>
      </x:c>
      <x:c r="T68" t="n">
        <x:v>0.52</x:v>
      </x:c>
      <x:c r="U68" t="n">
        <x:v>10</x:v>
      </x:c>
      <x:c r="V68" t="n">
        <x:f>IFERROR(J68/I68*100,0)</x:f>
        <x:v>75.96988998262884</x:v>
      </x:c>
      <x:c r="W68" t="n">
        <x:f>IFERROR(K68/J68*100,0)</x:f>
        <x:v>5.182926829268292</x:v>
      </x:c>
      <x:c r="X68" t="n">
        <x:f>IFERROR(H68/F68*100,0)</x:f>
        <x:v>13.125</x:v>
      </x:c>
      <x:c r="Y68" t="n">
        <x:f>J68-K68</x:f>
        <x:v>1244</x:v>
      </x:c>
      <x:c r="Z68" t="n">
        <x:f>MAX(0,MIN(100,(V68/100)*(1-X68/100)*(1-W68/100)*100))</x:f>
        <x:v>62.578170237405914</x:v>
      </x:c>
    </x:row>
    <x:row r="69">
      <x:c r="A69" s="12" t="n">
        <x:v>46049</x:v>
      </x:c>
      <x:c r="B69" t="str">
        <x:v>B</x:v>
      </x:c>
      <x:c r="C69" t="str">
        <x:v>Dried Pineapple</x:v>
      </x:c>
      <x:c r="D69" t="str">
        <x:v>Dryer 2</x:v>
      </x:c>
      <x:c r="E69" t="str">
        <x:v>Sup 3</x:v>
      </x:c>
      <x:c r="F69" t="n">
        <x:v>480</x:v>
      </x:c>
      <x:c r="G69" t="n">
        <x:v>20</x:v>
      </x:c>
      <x:c r="H69" t="n">
        <x:v>31</x:v>
      </x:c>
      <x:c r="I69" t="n">
        <x:v>1786</x:v>
      </x:c>
      <x:c r="J69" t="n">
        <x:v>1496</x:v>
      </x:c>
      <x:c r="K69" t="n">
        <x:v>55</x:v>
      </x:c>
      <x:c r="L69" t="n">
        <x:v>17</x:v>
      </x:c>
      <x:c r="M69" t="n">
        <x:v>90.9</x:v>
      </x:c>
      <x:c r="N69" t="n">
        <x:v>75.2</x:v>
      </x:c>
      <x:c r="O69" t="n">
        <x:v>75.9</x:v>
      </x:c>
      <x:c r="P69" t="n">
        <x:v>5</x:v>
      </x:c>
      <x:c r="Q69" t="str">
        <x:v>No incident</x:v>
      </x:c>
      <x:c r="R69" t="str">
        <x:v>N/A</x:v>
      </x:c>
      <x:c r="S69" t="str">
        <x:v>Inspection</x:v>
      </x:c>
      <x:c r="T69" t="n">
        <x:v>0.59</x:v>
      </x:c>
      <x:c r="U69" t="n">
        <x:v>12.2</x:v>
      </x:c>
      <x:c r="V69" t="n">
        <x:f>IFERROR(J69/I69*100,0)</x:f>
        <x:v>83.76259798432251</x:v>
      </x:c>
      <x:c r="W69" t="n">
        <x:f>IFERROR(K69/J69*100,0)</x:f>
        <x:v>3.6764705882352944</x:v>
      </x:c>
      <x:c r="X69" t="n">
        <x:f>IFERROR(H69/F69*100,0)</x:f>
        <x:v>6.458333333333334</x:v>
      </x:c>
      <x:c r="Y69" t="n">
        <x:f>J69-K69</x:f>
        <x:v>1441</x:v>
      </x:c>
      <x:c r="Z69" t="n">
        <x:f>MAX(0,MIN(100,(V69/100)*(1-X69/100)*(1-W69/100)*100))</x:f>
        <x:v>75.47230776409108</x:v>
      </x:c>
    </x:row>
    <x:row r="70">
      <x:c r="A70" s="12" t="n">
        <x:v>46049</x:v>
      </x:c>
      <x:c r="B70" t="str">
        <x:v>C</x:v>
      </x:c>
      <x:c r="C70" t="str">
        <x:v>Desiccated Coconut</x:v>
      </x:c>
      <x:c r="D70" t="str">
        <x:v>Dryer 2</x:v>
      </x:c>
      <x:c r="E70" t="str">
        <x:v>Sup 2</x:v>
      </x:c>
      <x:c r="F70" t="n">
        <x:v>480</x:v>
      </x:c>
      <x:c r="G70" t="n">
        <x:v>30</x:v>
      </x:c>
      <x:c r="H70" t="n">
        <x:v>43</x:v>
      </x:c>
      <x:c r="I70" t="n">
        <x:v>1115</x:v>
      </x:c>
      <x:c r="J70" t="n">
        <x:v>912</x:v>
      </x:c>
      <x:c r="K70" t="n">
        <x:v>23</x:v>
      </x:c>
      <x:c r="L70" t="n">
        <x:v>15</x:v>
      </x:c>
      <x:c r="M70" t="n">
        <x:v>83</x:v>
      </x:c>
      <x:c r="N70" t="n">
        <x:v>80.3</x:v>
      </x:c>
      <x:c r="O70" t="n">
        <x:v>85.6</x:v>
      </x:c>
      <x:c r="P70" t="n">
        <x:v>5</x:v>
      </x:c>
      <x:c r="Q70" t="str">
        <x:v>First aid</x:v>
      </x:c>
      <x:c r="R70" t="str">
        <x:v>Open</x:v>
      </x:c>
      <x:c r="S70" t="str">
        <x:v>Inspection</x:v>
      </x:c>
      <x:c r="T70" t="n">
        <x:v>0.5</x:v>
      </x:c>
      <x:c r="U70" t="n">
        <x:v>6.9</x:v>
      </x:c>
      <x:c r="V70" t="n">
        <x:f>IFERROR(J70/I70*100,0)</x:f>
        <x:v>81.79372197309416</x:v>
      </x:c>
      <x:c r="W70" t="n">
        <x:f>IFERROR(K70/J70*100,0)</x:f>
        <x:v>2.5219298245614032</x:v>
      </x:c>
      <x:c r="X70" t="n">
        <x:f>IFERROR(H70/F70*100,0)</x:f>
        <x:v>8.958333333333334</x:v>
      </x:c>
      <x:c r="Y70" t="n">
        <x:f>J70-K70</x:f>
        <x:v>889</x:v>
      </x:c>
      <x:c r="Z70" t="n">
        <x:f>MAX(0,MIN(100,(V70/100)*(1-X70/100)*(1-W70/100)*100))</x:f>
        <x:v>72.58837817638265</x:v>
      </x:c>
    </x:row>
    <x:row r="71">
      <x:c r="A71" s="12" t="n">
        <x:v>46050</x:v>
      </x:c>
      <x:c r="B71" t="str">
        <x:v>A</x:v>
      </x:c>
      <x:c r="C71" t="str">
        <x:v>Dried Pineapple</x:v>
      </x:c>
      <x:c r="D71" t="str">
        <x:v>Dryer 4</x:v>
      </x:c>
      <x:c r="E71" t="str">
        <x:v>Sup 1</x:v>
      </x:c>
      <x:c r="F71" t="n">
        <x:v>480</x:v>
      </x:c>
      <x:c r="G71" t="n">
        <x:v>20</x:v>
      </x:c>
      <x:c r="H71" t="n">
        <x:v>34</x:v>
      </x:c>
      <x:c r="I71" t="n">
        <x:v>1632</x:v>
      </x:c>
      <x:c r="J71" t="n">
        <x:v>1418</x:v>
      </x:c>
      <x:c r="K71" t="n">
        <x:v>36</x:v>
      </x:c>
      <x:c r="L71" t="n">
        <x:v>22</x:v>
      </x:c>
      <x:c r="M71" t="n">
        <x:v>92.6</x:v>
      </x:c>
      <x:c r="N71" t="n">
        <x:v>86.3</x:v>
      </x:c>
      <x:c r="O71" t="n">
        <x:v>71.4</x:v>
      </x:c>
      <x:c r="P71" t="n">
        <x:v>2</x:v>
      </x:c>
      <x:c r="Q71" t="str">
        <x:v>No incident</x:v>
      </x:c>
      <x:c r="R71" t="str">
        <x:v>N/A</x:v>
      </x:c>
      <x:c r="S71" t="str">
        <x:v>Preventive</x:v>
      </x:c>
      <x:c r="T71" t="n">
        <x:v>0.5</x:v>
      </x:c>
      <x:c r="U71" t="n">
        <x:v>11</x:v>
      </x:c>
      <x:c r="V71" t="n">
        <x:f>IFERROR(J71/I71*100,0)</x:f>
        <x:v>86.88725490196079</x:v>
      </x:c>
      <x:c r="W71" t="n">
        <x:f>IFERROR(K71/J71*100,0)</x:f>
        <x:v>2.538787023977433</x:v>
      </x:c>
      <x:c r="X71" t="n">
        <x:f>IFERROR(H71/F71*100,0)</x:f>
        <x:v>7.083333333333333</x:v>
      </x:c>
      <x:c r="Y71" t="n">
        <x:f>J71-K71</x:f>
        <x:v>1382</x:v>
      </x:c>
      <x:c r="Z71" t="n">
        <x:f>MAX(0,MIN(100,(V71/100)*(1-X71/100)*(1-W71/100)*100))</x:f>
        <x:v>78.68310866013071</x:v>
      </x:c>
    </x:row>
    <x:row r="72">
      <x:c r="A72" s="12" t="n">
        <x:v>46050</x:v>
      </x:c>
      <x:c r="B72" t="str">
        <x:v>B</x:v>
      </x:c>
      <x:c r="C72" t="str">
        <x:v>Dried Pineapple</x:v>
      </x:c>
      <x:c r="D72" t="str">
        <x:v>Dryer 2</x:v>
      </x:c>
      <x:c r="E72" t="str">
        <x:v>Sup 3</x:v>
      </x:c>
      <x:c r="F72" t="n">
        <x:v>420</x:v>
      </x:c>
      <x:c r="G72" t="n">
        <x:v>30</x:v>
      </x:c>
      <x:c r="H72" t="n">
        <x:v>53</x:v>
      </x:c>
      <x:c r="I72" t="n">
        <x:v>1869</x:v>
      </x:c>
      <x:c r="J72" t="n">
        <x:v>1453</x:v>
      </x:c>
      <x:c r="K72" t="n">
        <x:v>34</x:v>
      </x:c>
      <x:c r="L72" t="n">
        <x:v>8</x:v>
      </x:c>
      <x:c r="M72" t="n">
        <x:v>92.1</x:v>
      </x:c>
      <x:c r="N72" t="n">
        <x:v>65.8</x:v>
      </x:c>
      <x:c r="O72" t="n">
        <x:v>67.7</x:v>
      </x:c>
      <x:c r="P72" t="n">
        <x:v>3</x:v>
      </x:c>
      <x:c r="Q72" t="str">
        <x:v>No incident</x:v>
      </x:c>
      <x:c r="R72" t="str">
        <x:v>N/A</x:v>
      </x:c>
      <x:c r="S72" t="str">
        <x:v>Corrective</x:v>
      </x:c>
      <x:c r="T72" t="n">
        <x:v>0.95</x:v>
      </x:c>
      <x:c r="U72" t="n">
        <x:v>11</x:v>
      </x:c>
      <x:c r="V72" t="n">
        <x:f>IFERROR(J72/I72*100,0)</x:f>
        <x:v>77.74210807918674</x:v>
      </x:c>
      <x:c r="W72" t="n">
        <x:f>IFERROR(K72/J72*100,0)</x:f>
        <x:v>2.3399862353750858</x:v>
      </x:c>
      <x:c r="X72" t="n">
        <x:f>IFERROR(H72/F72*100,0)</x:f>
        <x:v>12.619047619047619</x:v>
      </x:c>
      <x:c r="Y72" t="n">
        <x:f>J72-K72</x:f>
        <x:v>1419</x:v>
      </x:c>
      <x:c r="Z72" t="n">
        <x:f>MAX(0,MIN(100,(V72/100)*(1-X72/100)*(1-W72/100)*100))</x:f>
        <x:v>66.34219980126882</x:v>
      </x:c>
    </x:row>
    <x:row r="73">
      <x:c r="A73" s="12" t="n">
        <x:v>46050</x:v>
      </x:c>
      <x:c r="B73" t="str">
        <x:v>C</x:v>
      </x:c>
      <x:c r="C73" t="str">
        <x:v>Dried Pineapple</x:v>
      </x:c>
      <x:c r="D73" t="str">
        <x:v>Dryer 2</x:v>
      </x:c>
      <x:c r="E73" t="str">
        <x:v>Sup 2</x:v>
      </x:c>
      <x:c r="F73" t="n">
        <x:v>480</x:v>
      </x:c>
      <x:c r="G73" t="n">
        <x:v>30</x:v>
      </x:c>
      <x:c r="H73" t="n">
        <x:v>43</x:v>
      </x:c>
      <x:c r="I73" t="n">
        <x:v>1821</x:v>
      </x:c>
      <x:c r="J73" t="n">
        <x:v>1517</x:v>
      </x:c>
      <x:c r="K73" t="n">
        <x:v>34</x:v>
      </x:c>
      <x:c r="L73" t="n">
        <x:v>23</x:v>
      </x:c>
      <x:c r="M73" t="n">
        <x:v>93.3</x:v>
      </x:c>
      <x:c r="N73" t="n">
        <x:v>69.2</x:v>
      </x:c>
      <x:c r="O73" t="n">
        <x:v>71.3</x:v>
      </x:c>
      <x:c r="P73" t="n">
        <x:v>2</x:v>
      </x:c>
      <x:c r="Q73" t="str">
        <x:v>No incident</x:v>
      </x:c>
      <x:c r="R73" t="str">
        <x:v>N/A</x:v>
      </x:c>
      <x:c r="S73" t="str">
        <x:v>Preventive</x:v>
      </x:c>
      <x:c r="T73" t="n">
        <x:v>0.73</x:v>
      </x:c>
      <x:c r="U73" t="n">
        <x:v>13.4</x:v>
      </x:c>
      <x:c r="V73" t="n">
        <x:f>IFERROR(J73/I73*100,0)</x:f>
        <x:v>83.30587589236683</x:v>
      </x:c>
      <x:c r="W73" t="n">
        <x:f>IFERROR(K73/J73*100,0)</x:f>
        <x:v>2.2412656558998023</x:v>
      </x:c>
      <x:c r="X73" t="n">
        <x:f>IFERROR(H73/F73*100,0)</x:f>
        <x:v>8.958333333333334</x:v>
      </x:c>
      <x:c r="Y73" t="n">
        <x:f>J73-K73</x:f>
        <x:v>1483</x:v>
      </x:c>
      <x:c r="Z73" t="n">
        <x:f>MAX(0,MIN(100,(V73/100)*(1-X73/100)*(1-W73/100)*100))</x:f>
        <x:v>74.1432134358411</x:v>
      </x:c>
    </x:row>
    <x:row r="74">
      <x:c r="A74" s="12" t="n">
        <x:v>46051</x:v>
      </x:c>
      <x:c r="B74" t="str">
        <x:v>A</x:v>
      </x:c>
      <x:c r="C74" t="str">
        <x:v>Desiccated Coconut</x:v>
      </x:c>
      <x:c r="D74" t="str">
        <x:v>Dryer 1</x:v>
      </x:c>
      <x:c r="E74" t="str">
        <x:v>Sup 2</x:v>
      </x:c>
      <x:c r="F74" t="n">
        <x:v>420</x:v>
      </x:c>
      <x:c r="G74" t="n">
        <x:v>0</x:v>
      </x:c>
      <x:c r="H74" t="n">
        <x:v>31</x:v>
      </x:c>
      <x:c r="I74" t="n">
        <x:v>1275</x:v>
      </x:c>
      <x:c r="J74" t="n">
        <x:v>1211</x:v>
      </x:c>
      <x:c r="K74" t="n">
        <x:v>36</x:v>
      </x:c>
      <x:c r="L74" t="n">
        <x:v>25</x:v>
      </x:c>
      <x:c r="M74" t="n">
        <x:v>93.4</x:v>
      </x:c>
      <x:c r="N74" t="n">
        <x:v>73.5</x:v>
      </x:c>
      <x:c r="O74" t="n">
        <x:v>71</x:v>
      </x:c>
      <x:c r="P74" t="n">
        <x:v>3</x:v>
      </x:c>
      <x:c r="Q74" t="str">
        <x:v>Near miss</x:v>
      </x:c>
      <x:c r="R74" t="str">
        <x:v>In progress</x:v>
      </x:c>
      <x:c r="S74" t="str">
        <x:v>Corrective</x:v>
      </x:c>
      <x:c r="T74" t="n">
        <x:v>0.94</x:v>
      </x:c>
      <x:c r="U74" t="n">
        <x:v>10.8</x:v>
      </x:c>
      <x:c r="V74" t="n">
        <x:f>IFERROR(J74/I74*100,0)</x:f>
        <x:v>94.98039215686275</x:v>
      </x:c>
      <x:c r="W74" t="n">
        <x:f>IFERROR(K74/J74*100,0)</x:f>
        <x:v>2.972749793559042</x:v>
      </x:c>
      <x:c r="X74" t="n">
        <x:f>IFERROR(H74/F74*100,0)</x:f>
        <x:v>7.380952380952381</x:v>
      </x:c>
      <x:c r="Y74" t="n">
        <x:f>J74-K74</x:f>
        <x:v>1175</x:v>
      </x:c>
      <x:c r="Z74" t="n">
        <x:f>MAX(0,MIN(100,(V74/100)*(1-X74/100)*(1-W74/100)*100))</x:f>
        <x:v>85.35480859010272</x:v>
      </x:c>
    </x:row>
    <x:row r="75">
      <x:c r="A75" s="12" t="n">
        <x:v>46051</x:v>
      </x:c>
      <x:c r="B75" t="str">
        <x:v>B</x:v>
      </x:c>
      <x:c r="C75" t="str">
        <x:v>Dried Mango</x:v>
      </x:c>
      <x:c r="D75" t="str">
        <x:v>Dryer 2</x:v>
      </x:c>
      <x:c r="E75" t="str">
        <x:v>Sup 3</x:v>
      </x:c>
      <x:c r="F75" t="n">
        <x:v>450</x:v>
      </x:c>
      <x:c r="G75" t="n">
        <x:v>20</x:v>
      </x:c>
      <x:c r="H75" t="n">
        <x:v>56</x:v>
      </x:c>
      <x:c r="I75" t="n">
        <x:v>1685</x:v>
      </x:c>
      <x:c r="J75" t="n">
        <x:v>1486</x:v>
      </x:c>
      <x:c r="K75" t="n">
        <x:v>44</x:v>
      </x:c>
      <x:c r="L75" t="n">
        <x:v>15</x:v>
      </x:c>
      <x:c r="M75" t="n">
        <x:v>93</x:v>
      </x:c>
      <x:c r="N75" t="n">
        <x:v>77.7</x:v>
      </x:c>
      <x:c r="O75" t="n">
        <x:v>72.3</x:v>
      </x:c>
      <x:c r="P75" t="n">
        <x:v>5</x:v>
      </x:c>
      <x:c r="Q75" t="str">
        <x:v>No incident</x:v>
      </x:c>
      <x:c r="R75" t="str">
        <x:v>N/A</x:v>
      </x:c>
      <x:c r="S75" t="str">
        <x:v>Corrective</x:v>
      </x:c>
      <x:c r="T75" t="n">
        <x:v>1.87</x:v>
      </x:c>
      <x:c r="U75" t="n">
        <x:v>11.2</x:v>
      </x:c>
      <x:c r="V75" t="n">
        <x:f>IFERROR(J75/I75*100,0)</x:f>
        <x:v>88.18991097922849</x:v>
      </x:c>
      <x:c r="W75" t="n">
        <x:f>IFERROR(K75/J75*100,0)</x:f>
        <x:v>2.9609690444145356</x:v>
      </x:c>
      <x:c r="X75" t="n">
        <x:f>IFERROR(H75/F75*100,0)</x:f>
        <x:v>12.444444444444445</x:v>
      </x:c>
      <x:c r="Y75" t="n">
        <x:f>J75-K75</x:f>
        <x:v>1442</x:v>
      </x:c>
      <x:c r="Z75" t="n">
        <x:f>MAX(0,MIN(100,(V75/100)*(1-X75/100)*(1-W75/100)*100))</x:f>
        <x:v>74.92884932410155</x:v>
      </x:c>
    </x:row>
    <x:row r="76">
      <x:c r="A76" s="12" t="n">
        <x:v>46051</x:v>
      </x:c>
      <x:c r="B76" t="str">
        <x:v>C</x:v>
      </x:c>
      <x:c r="C76" t="str">
        <x:v>Dried Mango</x:v>
      </x:c>
      <x:c r="D76" t="str">
        <x:v>Dryer 2</x:v>
      </x:c>
      <x:c r="E76" t="str">
        <x:v>Sup 1</x:v>
      </x:c>
      <x:c r="F76" t="n">
        <x:v>450</x:v>
      </x:c>
      <x:c r="G76" t="n">
        <x:v>20</x:v>
      </x:c>
      <x:c r="H76" t="n">
        <x:v>50</x:v>
      </x:c>
      <x:c r="I76" t="n">
        <x:v>1546</x:v>
      </x:c>
      <x:c r="J76" t="n">
        <x:v>1274</x:v>
      </x:c>
      <x:c r="K76" t="n">
        <x:v>46</x:v>
      </x:c>
      <x:c r="L76" t="n">
        <x:v>18</x:v>
      </x:c>
      <x:c r="M76" t="n">
        <x:v>91.9</x:v>
      </x:c>
      <x:c r="N76" t="n">
        <x:v>77.4</x:v>
      </x:c>
      <x:c r="O76" t="n">
        <x:v>83</x:v>
      </x:c>
      <x:c r="P76" t="n">
        <x:v>6</x:v>
      </x:c>
      <x:c r="Q76" t="str">
        <x:v>No incident</x:v>
      </x:c>
      <x:c r="R76" t="str">
        <x:v>N/A</x:v>
      </x:c>
      <x:c r="S76" t="str">
        <x:v>Preventive</x:v>
      </x:c>
      <x:c r="T76" t="n">
        <x:v>0.63</x:v>
      </x:c>
      <x:c r="U76" t="n">
        <x:v>10.4</x:v>
      </x:c>
      <x:c r="V76" t="n">
        <x:f>IFERROR(J76/I76*100,0)</x:f>
        <x:v>82.40620957309184</x:v>
      </x:c>
      <x:c r="W76" t="n">
        <x:f>IFERROR(K76/J76*100,0)</x:f>
        <x:v>3.610675039246468</x:v>
      </x:c>
      <x:c r="X76" t="n">
        <x:f>IFERROR(H76/F76*100,0)</x:f>
        <x:v>11.11111111111111</x:v>
      </x:c>
      <x:c r="Y76" t="n">
        <x:f>J76-K76</x:f>
        <x:v>1228</x:v>
      </x:c>
      <x:c r="Z76" t="n">
        <x:f>MAX(0,MIN(100,(V76/100)*(1-X76/100)*(1-W76/100)*100))</x:f>
        <x:v>70.60514589621963</x:v>
      </x:c>
    </x:row>
    <x:row r="77">
      <x:c r="A77" s="12" t="n">
        <x:v>46052</x:v>
      </x:c>
      <x:c r="B77" t="str">
        <x:v>A</x:v>
      </x:c>
      <x:c r="C77" t="str">
        <x:v>Dried Mango</x:v>
      </x:c>
      <x:c r="D77" t="str">
        <x:v>Dryer 3</x:v>
      </x:c>
      <x:c r="E77" t="str">
        <x:v>Sup 1</x:v>
      </x:c>
      <x:c r="F77" t="n">
        <x:v>420</x:v>
      </x:c>
      <x:c r="G77" t="n">
        <x:v>30</x:v>
      </x:c>
      <x:c r="H77" t="n">
        <x:v>66</x:v>
      </x:c>
      <x:c r="I77" t="n">
        <x:v>1666</x:v>
      </x:c>
      <x:c r="J77" t="n">
        <x:v>1325</x:v>
      </x:c>
      <x:c r="K77" t="n">
        <x:v>52</x:v>
      </x:c>
      <x:c r="L77" t="n">
        <x:v>25</x:v>
      </x:c>
      <x:c r="M77" t="n">
        <x:v>90.8</x:v>
      </x:c>
      <x:c r="N77" t="n">
        <x:v>87.4</x:v>
      </x:c>
      <x:c r="O77" t="n">
        <x:v>76.6</x:v>
      </x:c>
      <x:c r="P77" t="n">
        <x:v>1</x:v>
      </x:c>
      <x:c r="Q77" t="str">
        <x:v>No incident</x:v>
      </x:c>
      <x:c r="R77" t="str">
        <x:v>N/A</x:v>
      </x:c>
      <x:c r="S77" t="str">
        <x:v>Corrective</x:v>
      </x:c>
      <x:c r="T77" t="n">
        <x:v>1.44</x:v>
      </x:c>
      <x:c r="U77" t="n">
        <x:v>11.3</x:v>
      </x:c>
      <x:c r="V77" t="n">
        <x:f>IFERROR(J77/I77*100,0)</x:f>
        <x:v>79.53181272509003</x:v>
      </x:c>
      <x:c r="W77" t="n">
        <x:f>IFERROR(K77/J77*100,0)</x:f>
        <x:v>3.9245283018867925</x:v>
      </x:c>
      <x:c r="X77" t="n">
        <x:f>IFERROR(H77/F77*100,0)</x:f>
        <x:v>15.714285714285714</x:v>
      </x:c>
      <x:c r="Y77" t="n">
        <x:f>J77-K77</x:f>
        <x:v>1273</x:v>
      </x:c>
      <x:c r="Z77" t="n">
        <x:f>MAX(0,MIN(100,(V77/100)*(1-X77/100)*(1-W77/100)*100))</x:f>
        <x:v>64.40318984736753</x:v>
      </x:c>
    </x:row>
    <x:row r="78">
      <x:c r="A78" s="12" t="n">
        <x:v>46052</x:v>
      </x:c>
      <x:c r="B78" t="str">
        <x:v>B</x:v>
      </x:c>
      <x:c r="C78" t="str">
        <x:v>Dried Pineapple</x:v>
      </x:c>
      <x:c r="D78" t="str">
        <x:v>Dryer 3</x:v>
      </x:c>
      <x:c r="E78" t="str">
        <x:v>Sup 3</x:v>
      </x:c>
      <x:c r="F78" t="n">
        <x:v>450</x:v>
      </x:c>
      <x:c r="G78" t="n">
        <x:v>40</x:v>
      </x:c>
      <x:c r="H78" t="n">
        <x:v>67</x:v>
      </x:c>
      <x:c r="I78" t="n">
        <x:v>1785</x:v>
      </x:c>
      <x:c r="J78" t="n">
        <x:v>1524</x:v>
      </x:c>
      <x:c r="K78" t="n">
        <x:v>58</x:v>
      </x:c>
      <x:c r="L78" t="n">
        <x:v>12</x:v>
      </x:c>
      <x:c r="M78" t="n">
        <x:v>92.5</x:v>
      </x:c>
      <x:c r="N78" t="n">
        <x:v>74.8</x:v>
      </x:c>
      <x:c r="O78" t="n">
        <x:v>68.8</x:v>
      </x:c>
      <x:c r="P78" t="n">
        <x:v>1</x:v>
      </x:c>
      <x:c r="Q78" t="str">
        <x:v>First aid</x:v>
      </x:c>
      <x:c r="R78" t="str">
        <x:v>Open</x:v>
      </x:c>
      <x:c r="S78" t="str">
        <x:v>Inspection</x:v>
      </x:c>
      <x:c r="T78" t="n">
        <x:v>1.02</x:v>
      </x:c>
      <x:c r="U78" t="n">
        <x:v>12.3</x:v>
      </x:c>
      <x:c r="V78" t="n">
        <x:f>IFERROR(J78/I78*100,0)</x:f>
        <x:v>85.3781512605042</x:v>
      </x:c>
      <x:c r="W78" t="n">
        <x:f>IFERROR(K78/J78*100,0)</x:f>
        <x:v>3.805774278215223</x:v>
      </x:c>
      <x:c r="X78" t="n">
        <x:f>IFERROR(H78/F78*100,0)</x:f>
        <x:v>14.888888888888888</x:v>
      </x:c>
      <x:c r="Y78" t="n">
        <x:f>J78-K78</x:f>
        <x:v>1466</x:v>
      </x:c>
      <x:c r="Z78" t="n">
        <x:f>MAX(0,MIN(100,(V78/100)*(1-X78/100)*(1-W78/100)*100))</x:f>
        <x:v>69.90077808901339</x:v>
      </x:c>
    </x:row>
    <x:row r="79">
      <x:c r="A79" s="12" t="n">
        <x:v>46052</x:v>
      </x:c>
      <x:c r="B79" t="str">
        <x:v>C</x:v>
      </x:c>
      <x:c r="C79" t="str">
        <x:v>Dried Mango</x:v>
      </x:c>
      <x:c r="D79" t="str">
        <x:v>Dryer 1</x:v>
      </x:c>
      <x:c r="E79" t="str">
        <x:v>Sup 2</x:v>
      </x:c>
      <x:c r="F79" t="n">
        <x:v>420</x:v>
      </x:c>
      <x:c r="G79" t="n">
        <x:v>40</x:v>
      </x:c>
      <x:c r="H79" t="n">
        <x:v>64</x:v>
      </x:c>
      <x:c r="I79" t="n">
        <x:v>1528</x:v>
      </x:c>
      <x:c r="J79" t="n">
        <x:v>1258</x:v>
      </x:c>
      <x:c r="K79" t="n">
        <x:v>37</x:v>
      </x:c>
      <x:c r="L79" t="n">
        <x:v>16</x:v>
      </x:c>
      <x:c r="M79" t="n">
        <x:v>86.2</x:v>
      </x:c>
      <x:c r="N79" t="n">
        <x:v>64.6</x:v>
      </x:c>
      <x:c r="O79" t="n">
        <x:v>60.8</x:v>
      </x:c>
      <x:c r="P79" t="n">
        <x:v>2</x:v>
      </x:c>
      <x:c r="Q79" t="str">
        <x:v>Near miss</x:v>
      </x:c>
      <x:c r="R79" t="str">
        <x:v>In progress</x:v>
      </x:c>
      <x:c r="S79" t="str">
        <x:v>Inspection</x:v>
      </x:c>
      <x:c r="T79" t="n">
        <x:v>0.5</x:v>
      </x:c>
      <x:c r="U79" t="n">
        <x:v>10.5</x:v>
      </x:c>
      <x:c r="V79" t="n">
        <x:f>IFERROR(J79/I79*100,0)</x:f>
        <x:v>82.32984293193716</x:v>
      </x:c>
      <x:c r="W79" t="n">
        <x:f>IFERROR(K79/J79*100,0)</x:f>
        <x:v>2.941176470588235</x:v>
      </x:c>
      <x:c r="X79" t="n">
        <x:f>IFERROR(H79/F79*100,0)</x:f>
        <x:v>15.238095238095239</x:v>
      </x:c>
      <x:c r="Y79" t="n">
        <x:f>J79-K79</x:f>
        <x:v>1221</x:v>
      </x:c>
      <x:c r="Z79" t="n">
        <x:f>MAX(0,MIN(100,(V79/100)*(1-X79/100)*(1-W79/100)*100))</x:f>
        <x:v>67.73186237845924</x:v>
      </x:c>
    </x:row>
    <x:row r="80">
      <x:c r="A80" s="12" t="n">
        <x:v>46053</x:v>
      </x:c>
      <x:c r="B80" t="str">
        <x:v>A</x:v>
      </x:c>
      <x:c r="C80" t="str">
        <x:v>Dried Pineapple</x:v>
      </x:c>
      <x:c r="D80" t="str">
        <x:v>Dryer 3</x:v>
      </x:c>
      <x:c r="E80" t="str">
        <x:v>Sup 1</x:v>
      </x:c>
      <x:c r="F80" t="n">
        <x:v>480</x:v>
      </x:c>
      <x:c r="G80" t="n">
        <x:v>40</x:v>
      </x:c>
      <x:c r="H80" t="n">
        <x:v>63</x:v>
      </x:c>
      <x:c r="I80" t="n">
        <x:v>1742</x:v>
      </x:c>
      <x:c r="J80" t="n">
        <x:v>1356</x:v>
      </x:c>
      <x:c r="K80" t="n">
        <x:v>52</x:v>
      </x:c>
      <x:c r="L80" t="n">
        <x:v>35</x:v>
      </x:c>
      <x:c r="M80" t="n">
        <x:v>88</x:v>
      </x:c>
      <x:c r="N80" t="n">
        <x:v>79.7</x:v>
      </x:c>
      <x:c r="O80" t="n">
        <x:v>68.7</x:v>
      </x:c>
      <x:c r="P80" t="n">
        <x:v>2</x:v>
      </x:c>
      <x:c r="Q80" t="str">
        <x:v>No incident</x:v>
      </x:c>
      <x:c r="R80" t="str">
        <x:v>N/A</x:v>
      </x:c>
      <x:c r="S80" t="str">
        <x:v>Inspection</x:v>
      </x:c>
      <x:c r="T80" t="n">
        <x:v>0.5</x:v>
      </x:c>
      <x:c r="U80" t="n">
        <x:v>10.9</x:v>
      </x:c>
      <x:c r="V80" t="n">
        <x:f>IFERROR(J80/I80*100,0)</x:f>
        <x:v>77.84156142365097</x:v>
      </x:c>
      <x:c r="W80" t="n">
        <x:f>IFERROR(K80/J80*100,0)</x:f>
        <x:v>3.8348082595870205</x:v>
      </x:c>
      <x:c r="X80" t="n">
        <x:f>IFERROR(H80/F80*100,0)</x:f>
        <x:v>13.125</x:v>
      </x:c>
      <x:c r="Y80" t="n">
        <x:f>J80-K80</x:f>
        <x:v>1304</x:v>
      </x:c>
      <x:c r="Z80" t="n">
        <x:f>MAX(0,MIN(100,(V80/100)*(1-X80/100)*(1-W80/100)*100))</x:f>
        <x:v>65.03157290470722</x:v>
      </x:c>
    </x:row>
    <x:row r="81">
      <x:c r="A81" s="12" t="n">
        <x:v>46053</x:v>
      </x:c>
      <x:c r="B81" t="str">
        <x:v>B</x:v>
      </x:c>
      <x:c r="C81" t="str">
        <x:v>Desiccated Coconut</x:v>
      </x:c>
      <x:c r="D81" t="str">
        <x:v>Dryer 2</x:v>
      </x:c>
      <x:c r="E81" t="str">
        <x:v>Sup 2</x:v>
      </x:c>
      <x:c r="F81" t="n">
        <x:v>480</x:v>
      </x:c>
      <x:c r="G81" t="n">
        <x:v>40</x:v>
      </x:c>
      <x:c r="H81" t="n">
        <x:v>25</x:v>
      </x:c>
      <x:c r="I81" t="n">
        <x:v>1134</x:v>
      </x:c>
      <x:c r="J81" t="n">
        <x:v>1039</x:v>
      </x:c>
      <x:c r="K81" t="n">
        <x:v>24</x:v>
      </x:c>
      <x:c r="L81" t="n">
        <x:v>13</x:v>
      </x:c>
      <x:c r="M81" t="n">
        <x:v>93.5</x:v>
      </x:c>
      <x:c r="N81" t="n">
        <x:v>83.6</x:v>
      </x:c>
      <x:c r="O81" t="n">
        <x:v>77.1</x:v>
      </x:c>
      <x:c r="P81" t="n">
        <x:v>4</x:v>
      </x:c>
      <x:c r="Q81" t="str">
        <x:v>No incident</x:v>
      </x:c>
      <x:c r="R81" t="str">
        <x:v>N/A</x:v>
      </x:c>
      <x:c r="S81" t="str">
        <x:v>Inspection</x:v>
      </x:c>
      <x:c r="T81" t="n">
        <x:v>0.69</x:v>
      </x:c>
      <x:c r="U81" t="n">
        <x:v>7.8</x:v>
      </x:c>
      <x:c r="V81" t="n">
        <x:f>IFERROR(J81/I81*100,0)</x:f>
        <x:v>91.62257495590829</x:v>
      </x:c>
      <x:c r="W81" t="n">
        <x:f>IFERROR(K81/J81*100,0)</x:f>
        <x:v>2.3099133782483157</x:v>
      </x:c>
      <x:c r="X81" t="n">
        <x:f>IFERROR(H81/F81*100,0)</x:f>
        <x:v>5.208333333333334</x:v>
      </x:c>
      <x:c r="Y81" t="n">
        <x:f>J81-K81</x:f>
        <x:v>1015</x:v>
      </x:c>
      <x:c r="Z81" t="n">
        <x:f>MAX(0,MIN(100,(V81/100)*(1-X81/100)*(1-W81/100)*100))</x:f>
        <x:v>84.84439300411523</x:v>
      </x:c>
    </x:row>
    <x:row r="82">
      <x:c r="A82" s="12" t="n">
        <x:v>46053</x:v>
      </x:c>
      <x:c r="B82" t="str">
        <x:v>C</x:v>
      </x:c>
      <x:c r="C82" t="str">
        <x:v>Desiccated Coconut</x:v>
      </x:c>
      <x:c r="D82" t="str">
        <x:v>Dryer 2</x:v>
      </x:c>
      <x:c r="E82" t="str">
        <x:v>Sup 3</x:v>
      </x:c>
      <x:c r="F82" t="n">
        <x:v>420</x:v>
      </x:c>
      <x:c r="G82" t="n">
        <x:v>0</x:v>
      </x:c>
      <x:c r="H82" t="n">
        <x:v>31</x:v>
      </x:c>
      <x:c r="I82" t="n">
        <x:v>1144</x:v>
      </x:c>
      <x:c r="J82" t="n">
        <x:v>1011</x:v>
      </x:c>
      <x:c r="K82" t="n">
        <x:v>31</x:v>
      </x:c>
      <x:c r="L82" t="n">
        <x:v>6</x:v>
      </x:c>
      <x:c r="M82" t="n">
        <x:v>92.9</x:v>
      </x:c>
      <x:c r="N82" t="n">
        <x:v>77.1</x:v>
      </x:c>
      <x:c r="O82" t="n">
        <x:v>84.6</x:v>
      </x:c>
      <x:c r="P82" t="n">
        <x:v>5</x:v>
      </x:c>
      <x:c r="Q82" t="str">
        <x:v>No incident</x:v>
      </x:c>
      <x:c r="R82" t="str">
        <x:v>N/A</x:v>
      </x:c>
      <x:c r="S82" t="str">
        <x:v>Preventive</x:v>
      </x:c>
      <x:c r="T82" t="n">
        <x:v>0.7</x:v>
      </x:c>
      <x:c r="U82" t="n">
        <x:v>7.7</x:v>
      </x:c>
      <x:c r="V82" t="n">
        <x:f>IFERROR(J82/I82*100,0)</x:f>
        <x:v>88.37412587412588</x:v>
      </x:c>
      <x:c r="W82" t="n">
        <x:f>IFERROR(K82/J82*100,0)</x:f>
        <x:v>3.066271018793274</x:v>
      </x:c>
      <x:c r="X82" t="n">
        <x:f>IFERROR(H82/F82*100,0)</x:f>
        <x:v>7.380952380952381</x:v>
      </x:c>
      <x:c r="Y82" t="n">
        <x:f>J82-K82</x:f>
        <x:v>980</x:v>
      </x:c>
      <x:c r="Z82" t="n">
        <x:f>MAX(0,MIN(100,(V82/100)*(1-X82/100)*(1-W82/100)*100))</x:f>
        <x:v>79.34149184149184</x:v>
      </x:c>
    </x:row>
    <x:row r="83">
      <x:c r="A83" s="12" t="n">
        <x:v>46054</x:v>
      </x:c>
      <x:c r="B83" t="str">
        <x:v>A</x:v>
      </x:c>
      <x:c r="C83" t="str">
        <x:v>Desiccated Coconut</x:v>
      </x:c>
      <x:c r="D83" t="str">
        <x:v>Dryer 4</x:v>
      </x:c>
      <x:c r="E83" t="str">
        <x:v>Sup 1</x:v>
      </x:c>
      <x:c r="F83" t="n">
        <x:v>450</x:v>
      </x:c>
      <x:c r="G83" t="n">
        <x:v>30</x:v>
      </x:c>
      <x:c r="H83" t="n">
        <x:v>63</x:v>
      </x:c>
      <x:c r="I83" t="n">
        <x:v>1215</x:v>
      </x:c>
      <x:c r="J83" t="n">
        <x:v>964</x:v>
      </x:c>
      <x:c r="K83" t="n">
        <x:v>33</x:v>
      </x:c>
      <x:c r="L83" t="n">
        <x:v>20</x:v>
      </x:c>
      <x:c r="M83" t="n">
        <x:v>93.3</x:v>
      </x:c>
      <x:c r="N83" t="n">
        <x:v>89.1</x:v>
      </x:c>
      <x:c r="O83" t="n">
        <x:v>74</x:v>
      </x:c>
      <x:c r="P83" t="n">
        <x:v>2</x:v>
      </x:c>
      <x:c r="Q83" t="str">
        <x:v>First aid</x:v>
      </x:c>
      <x:c r="R83" t="str">
        <x:v>Open</x:v>
      </x:c>
      <x:c r="S83" t="str">
        <x:v>Preventive</x:v>
      </x:c>
      <x:c r="T83" t="n">
        <x:v>1.48</x:v>
      </x:c>
      <x:c r="U83" t="n">
        <x:v>8.4</x:v>
      </x:c>
      <x:c r="V83" t="n">
        <x:f>IFERROR(J83/I83*100,0)</x:f>
        <x:v>79.34156378600822</x:v>
      </x:c>
      <x:c r="W83" t="n">
        <x:f>IFERROR(K83/J83*100,0)</x:f>
        <x:v>3.423236514522822</x:v>
      </x:c>
      <x:c r="X83" t="n">
        <x:f>IFERROR(H83/F83*100,0)</x:f>
        <x:v>14.000000000000002</x:v>
      </x:c>
      <x:c r="Y83" t="n">
        <x:f>J83-K83</x:f>
        <x:v>931</x:v>
      </x:c>
      <x:c r="Z83" t="n">
        <x:f>MAX(0,MIN(100,(V83/100)*(1-X83/100)*(1-W83/100)*100))</x:f>
        <x:v>65.89794238683126</x:v>
      </x:c>
    </x:row>
    <x:row r="84">
      <x:c r="A84" s="12" t="n">
        <x:v>46054</x:v>
      </x:c>
      <x:c r="B84" t="str">
        <x:v>B</x:v>
      </x:c>
      <x:c r="C84" t="str">
        <x:v>Dried Mango</x:v>
      </x:c>
      <x:c r="D84" t="str">
        <x:v>Dryer 2</x:v>
      </x:c>
      <x:c r="E84" t="str">
        <x:v>Sup 3</x:v>
      </x:c>
      <x:c r="F84" t="n">
        <x:v>450</x:v>
      </x:c>
      <x:c r="G84" t="n">
        <x:v>40</x:v>
      </x:c>
      <x:c r="H84" t="n">
        <x:v>48</x:v>
      </x:c>
      <x:c r="I84" t="n">
        <x:v>1624</x:v>
      </x:c>
      <x:c r="J84" t="n">
        <x:v>1488</x:v>
      </x:c>
      <x:c r="K84" t="n">
        <x:v>45</x:v>
      </x:c>
      <x:c r="L84" t="n">
        <x:v>15</x:v>
      </x:c>
      <x:c r="M84" t="n">
        <x:v>92.5</x:v>
      </x:c>
      <x:c r="N84" t="n">
        <x:v>82.1</x:v>
      </x:c>
      <x:c r="O84" t="n">
        <x:v>74.3</x:v>
      </x:c>
      <x:c r="P84" t="n">
        <x:v>3</x:v>
      </x:c>
      <x:c r="Q84" t="str">
        <x:v>First aid</x:v>
      </x:c>
      <x:c r="R84" t="str">
        <x:v>Closed</x:v>
      </x:c>
      <x:c r="S84" t="str">
        <x:v>Corrective</x:v>
      </x:c>
      <x:c r="T84" t="n">
        <x:v>1.4</x:v>
      </x:c>
      <x:c r="U84" t="n">
        <x:v>13.6</x:v>
      </x:c>
      <x:c r="V84" t="n">
        <x:f>IFERROR(J84/I84*100,0)</x:f>
        <x:v>91.62561576354679</x:v>
      </x:c>
      <x:c r="W84" t="n">
        <x:f>IFERROR(K84/J84*100,0)</x:f>
        <x:v>3.024193548387097</x:v>
      </x:c>
      <x:c r="X84" t="n">
        <x:f>IFERROR(H84/F84*100,0)</x:f>
        <x:v>10.666666666666668</x:v>
      </x:c>
      <x:c r="Y84" t="n">
        <x:f>J84-K84</x:f>
        <x:v>1443</x:v>
      </x:c>
      <x:c r="Z84" t="n">
        <x:f>MAX(0,MIN(100,(V84/100)*(1-X84/100)*(1-W84/100)*100))</x:f>
        <x:v>79.37684729064037</x:v>
      </x:c>
    </x:row>
    <x:row r="85">
      <x:c r="A85" s="12" t="n">
        <x:v>46054</x:v>
      </x:c>
      <x:c r="B85" t="str">
        <x:v>C</x:v>
      </x:c>
      <x:c r="C85" t="str">
        <x:v>Dried Mango</x:v>
      </x:c>
      <x:c r="D85" t="str">
        <x:v>Dryer 3</x:v>
      </x:c>
      <x:c r="E85" t="str">
        <x:v>Sup 2</x:v>
      </x:c>
      <x:c r="F85" t="n">
        <x:v>480</x:v>
      </x:c>
      <x:c r="G85" t="n">
        <x:v>30</x:v>
      </x:c>
      <x:c r="H85" t="n">
        <x:v>59</x:v>
      </x:c>
      <x:c r="I85" t="n">
        <x:v>1586</x:v>
      </x:c>
      <x:c r="J85" t="n">
        <x:v>1422</x:v>
      </x:c>
      <x:c r="K85" t="n">
        <x:v>79</x:v>
      </x:c>
      <x:c r="L85" t="n">
        <x:v>17</x:v>
      </x:c>
      <x:c r="M85" t="n">
        <x:v>87.4</x:v>
      </x:c>
      <x:c r="N85" t="n">
        <x:v>74</x:v>
      </x:c>
      <x:c r="O85" t="n">
        <x:v>83.8</x:v>
      </x:c>
      <x:c r="P85" t="n">
        <x:v>2</x:v>
      </x:c>
      <x:c r="Q85" t="str">
        <x:v>No incident</x:v>
      </x:c>
      <x:c r="R85" t="str">
        <x:v>N/A</x:v>
      </x:c>
      <x:c r="S85" t="str">
        <x:v>Corrective</x:v>
      </x:c>
      <x:c r="T85" t="n">
        <x:v>1.81</x:v>
      </x:c>
      <x:c r="U85" t="n">
        <x:v>12.4</x:v>
      </x:c>
      <x:c r="V85" t="n">
        <x:f>IFERROR(J85/I85*100,0)</x:f>
        <x:v>89.65952080706178</x:v>
      </x:c>
      <x:c r="W85" t="n">
        <x:f>IFERROR(K85/J85*100,0)</x:f>
        <x:v>5.555555555555555</x:v>
      </x:c>
      <x:c r="X85" t="n">
        <x:f>IFERROR(H85/F85*100,0)</x:f>
        <x:v>12.291666666666666</x:v>
      </x:c>
      <x:c r="Y85" t="n">
        <x:f>J85-K85</x:f>
        <x:v>1343</x:v>
      </x:c>
      <x:c r="Z85" t="n">
        <x:f>MAX(0,MIN(100,(V85/100)*(1-X85/100)*(1-W85/100)*100))</x:f>
        <x:v>74.27004518705337</x:v>
      </x:c>
    </x:row>
    <x:row r="86">
      <x:c r="A86" s="12" t="n">
        <x:v>46055</x:v>
      </x:c>
      <x:c r="B86" t="str">
        <x:v>A</x:v>
      </x:c>
      <x:c r="C86" t="str">
        <x:v>Dried Pineapple</x:v>
      </x:c>
      <x:c r="D86" t="str">
        <x:v>Dryer 2</x:v>
      </x:c>
      <x:c r="E86" t="str">
        <x:v>Sup 3</x:v>
      </x:c>
      <x:c r="F86" t="n">
        <x:v>420</x:v>
      </x:c>
      <x:c r="G86" t="n">
        <x:v>30</x:v>
      </x:c>
      <x:c r="H86" t="n">
        <x:v>68</x:v>
      </x:c>
      <x:c r="I86" t="n">
        <x:v>1679</x:v>
      </x:c>
      <x:c r="J86" t="n">
        <x:v>1400</x:v>
      </x:c>
      <x:c r="K86" t="n">
        <x:v>49</x:v>
      </x:c>
      <x:c r="L86" t="n">
        <x:v>14</x:v>
      </x:c>
      <x:c r="M86" t="n">
        <x:v>82.6</x:v>
      </x:c>
      <x:c r="N86" t="n">
        <x:v>76.9</x:v>
      </x:c>
      <x:c r="O86" t="n">
        <x:v>71.8</x:v>
      </x:c>
      <x:c r="P86" t="n">
        <x:v>0</x:v>
      </x:c>
      <x:c r="Q86" t="str">
        <x:v>Near miss</x:v>
      </x:c>
      <x:c r="R86" t="str">
        <x:v>In progress</x:v>
      </x:c>
      <x:c r="S86" t="str">
        <x:v>Corrective</x:v>
      </x:c>
      <x:c r="T86" t="n">
        <x:v>1.05</x:v>
      </x:c>
      <x:c r="U86" t="n">
        <x:v>10.9</x:v>
      </x:c>
      <x:c r="V86" t="n">
        <x:f>IFERROR(J86/I86*100,0)</x:f>
        <x:v>83.38296605122096</x:v>
      </x:c>
      <x:c r="W86" t="n">
        <x:f>IFERROR(K86/J86*100,0)</x:f>
        <x:v>3.5000000000000004</x:v>
      </x:c>
      <x:c r="X86" t="n">
        <x:f>IFERROR(H86/F86*100,0)</x:f>
        <x:v>16.19047619047619</x:v>
      </x:c>
      <x:c r="Y86" t="n">
        <x:f>J86-K86</x:f>
        <x:v>1351</x:v>
      </x:c>
      <x:c r="Z86" t="n">
        <x:f>MAX(0,MIN(100,(V86/100)*(1-X86/100)*(1-W86/100)*100))</x:f>
        <x:v>67.4369664482827</x:v>
      </x:c>
    </x:row>
    <x:row r="87">
      <x:c r="A87" s="12" t="n">
        <x:v>46055</x:v>
      </x:c>
      <x:c r="B87" t="str">
        <x:v>B</x:v>
      </x:c>
      <x:c r="C87" t="str">
        <x:v>Desiccated Coconut</x:v>
      </x:c>
      <x:c r="D87" t="str">
        <x:v>Dryer 1</x:v>
      </x:c>
      <x:c r="E87" t="str">
        <x:v>Sup 2</x:v>
      </x:c>
      <x:c r="F87" t="n">
        <x:v>450</x:v>
      </x:c>
      <x:c r="G87" t="n">
        <x:v>0</x:v>
      </x:c>
      <x:c r="H87" t="n">
        <x:v>33</x:v>
      </x:c>
      <x:c r="I87" t="n">
        <x:v>1105</x:v>
      </x:c>
      <x:c r="J87" t="n">
        <x:v>1061</x:v>
      </x:c>
      <x:c r="K87" t="n">
        <x:v>33</x:v>
      </x:c>
      <x:c r="L87" t="n">
        <x:v>18</x:v>
      </x:c>
      <x:c r="M87" t="n">
        <x:v>96.1</x:v>
      </x:c>
      <x:c r="N87" t="n">
        <x:v>81.1</x:v>
      </x:c>
      <x:c r="O87" t="n">
        <x:v>77.2</x:v>
      </x:c>
      <x:c r="P87" t="n">
        <x:v>3</x:v>
      </x:c>
      <x:c r="Q87" t="str">
        <x:v>No incident</x:v>
      </x:c>
      <x:c r="R87" t="str">
        <x:v>N/A</x:v>
      </x:c>
      <x:c r="S87" t="str">
        <x:v>Preventive</x:v>
      </x:c>
      <x:c r="T87" t="n">
        <x:v>1.09</x:v>
      </x:c>
      <x:c r="U87" t="n">
        <x:v>9.5</x:v>
      </x:c>
      <x:c r="V87" t="n">
        <x:f>IFERROR(J87/I87*100,0)</x:f>
        <x:v>96.01809954751131</x:v>
      </x:c>
      <x:c r="W87" t="n">
        <x:f>IFERROR(K87/J87*100,0)</x:f>
        <x:v>3.1102733270499527</x:v>
      </x:c>
      <x:c r="X87" t="n">
        <x:f>IFERROR(H87/F87*100,0)</x:f>
        <x:v>7.333333333333333</x:v>
      </x:c>
      <x:c r="Y87" t="n">
        <x:f>J87-K87</x:f>
        <x:v>1028</x:v>
      </x:c>
      <x:c r="Z87" t="n">
        <x:f>MAX(0,MIN(100,(V87/100)*(1-X87/100)*(1-W87/100)*100))</x:f>
        <x:v>86.20935143288084</x:v>
      </x:c>
    </x:row>
    <x:row r="88">
      <x:c r="A88" s="12" t="n">
        <x:v>46055</x:v>
      </x:c>
      <x:c r="B88" t="str">
        <x:v>C</x:v>
      </x:c>
      <x:c r="C88" t="str">
        <x:v>Dried Pineapple</x:v>
      </x:c>
      <x:c r="D88" t="str">
        <x:v>Dryer 3</x:v>
      </x:c>
      <x:c r="E88" t="str">
        <x:v>Sup 3</x:v>
      </x:c>
      <x:c r="F88" t="n">
        <x:v>450</x:v>
      </x:c>
      <x:c r="G88" t="n">
        <x:v>20</x:v>
      </x:c>
      <x:c r="H88" t="n">
        <x:v>79</x:v>
      </x:c>
      <x:c r="I88" t="n">
        <x:v>1859</x:v>
      </x:c>
      <x:c r="J88" t="n">
        <x:v>1418</x:v>
      </x:c>
      <x:c r="K88" t="n">
        <x:v>48</x:v>
      </x:c>
      <x:c r="L88" t="n">
        <x:v>22</x:v>
      </x:c>
      <x:c r="M88" t="n">
        <x:v>80.7</x:v>
      </x:c>
      <x:c r="N88" t="n">
        <x:v>80.2</x:v>
      </x:c>
      <x:c r="O88" t="n">
        <x:v>86.6</x:v>
      </x:c>
      <x:c r="P88" t="n">
        <x:v>3</x:v>
      </x:c>
      <x:c r="Q88" t="str">
        <x:v>Recordable</x:v>
      </x:c>
      <x:c r="R88" t="str">
        <x:v>Closed</x:v>
      </x:c>
      <x:c r="S88" t="str">
        <x:v>Corrective</x:v>
      </x:c>
      <x:c r="T88" t="n">
        <x:v>1.31</x:v>
      </x:c>
      <x:c r="U88" t="n">
        <x:v>13</x:v>
      </x:c>
      <x:c r="V88" t="n">
        <x:f>IFERROR(J88/I88*100,0)</x:f>
        <x:v>76.2775685852609</x:v>
      </x:c>
      <x:c r="W88" t="n">
        <x:f>IFERROR(K88/J88*100,0)</x:f>
        <x:v>3.385049365303244</x:v>
      </x:c>
      <x:c r="X88" t="n">
        <x:f>IFERROR(H88/F88*100,0)</x:f>
        <x:v>17.555555555555554</x:v>
      </x:c>
      <x:c r="Y88" t="n">
        <x:f>J88-K88</x:f>
        <x:v>1370</x:v>
      </x:c>
      <x:c r="Z88" t="n">
        <x:f>MAX(0,MIN(100,(V88/100)*(1-X88/100)*(1-W88/100)*100))</x:f>
        <x:v>60.75787460402845</x:v>
      </x:c>
    </x:row>
    <x:row r="89">
      <x:c r="A89" s="12" t="n">
        <x:v>46056</x:v>
      </x:c>
      <x:c r="B89" t="str">
        <x:v>A</x:v>
      </x:c>
      <x:c r="C89" t="str">
        <x:v>Dried Mango</x:v>
      </x:c>
      <x:c r="D89" t="str">
        <x:v>Dryer 3</x:v>
      </x:c>
      <x:c r="E89" t="str">
        <x:v>Sup 1</x:v>
      </x:c>
      <x:c r="F89" t="n">
        <x:v>450</x:v>
      </x:c>
      <x:c r="G89" t="n">
        <x:v>30</x:v>
      </x:c>
      <x:c r="H89" t="n">
        <x:v>54</x:v>
      </x:c>
      <x:c r="I89" t="n">
        <x:v>1771</x:v>
      </x:c>
      <x:c r="J89" t="n">
        <x:v>1461</x:v>
      </x:c>
      <x:c r="K89" t="n">
        <x:v>84</x:v>
      </x:c>
      <x:c r="L89" t="n">
        <x:v>19</x:v>
      </x:c>
      <x:c r="M89" t="n">
        <x:v>85.7</x:v>
      </x:c>
      <x:c r="N89" t="n">
        <x:v>72.3</x:v>
      </x:c>
      <x:c r="O89" t="n">
        <x:v>70</x:v>
      </x:c>
      <x:c r="P89" t="n">
        <x:v>5</x:v>
      </x:c>
      <x:c r="Q89" t="str">
        <x:v>No incident</x:v>
      </x:c>
      <x:c r="R89" t="str">
        <x:v>N/A</x:v>
      </x:c>
      <x:c r="S89" t="str">
        <x:v>Preventive</x:v>
      </x:c>
      <x:c r="T89" t="n">
        <x:v>0.68</x:v>
      </x:c>
      <x:c r="U89" t="n">
        <x:v>12.5</x:v>
      </x:c>
      <x:c r="V89" t="n">
        <x:f>IFERROR(J89/I89*100,0)</x:f>
        <x:v>82.49576510446076</x:v>
      </x:c>
      <x:c r="W89" t="n">
        <x:f>IFERROR(K89/J89*100,0)</x:f>
        <x:v>5.749486652977413</x:v>
      </x:c>
      <x:c r="X89" t="n">
        <x:f>IFERROR(H89/F89*100,0)</x:f>
        <x:v>12</x:v>
      </x:c>
      <x:c r="Y89" t="n">
        <x:f>J89-K89</x:f>
        <x:v>1377</x:v>
      </x:c>
      <x:c r="Z89" t="n">
        <x:f>MAX(0,MIN(100,(V89/100)*(1-X89/100)*(1-W89/100)*100))</x:f>
        <x:v>68.4223602484472</x:v>
      </x:c>
    </x:row>
    <x:row r="90">
      <x:c r="A90" s="12" t="n">
        <x:v>46056</x:v>
      </x:c>
      <x:c r="B90" t="str">
        <x:v>B</x:v>
      </x:c>
      <x:c r="C90" t="str">
        <x:v>Desiccated Coconut</x:v>
      </x:c>
      <x:c r="D90" t="str">
        <x:v>Dryer 4</x:v>
      </x:c>
      <x:c r="E90" t="str">
        <x:v>Sup 1</x:v>
      </x:c>
      <x:c r="F90" t="n">
        <x:v>480</x:v>
      </x:c>
      <x:c r="G90" t="n">
        <x:v>40</x:v>
      </x:c>
      <x:c r="H90" t="n">
        <x:v>30</x:v>
      </x:c>
      <x:c r="I90" t="n">
        <x:v>1264</x:v>
      </x:c>
      <x:c r="J90" t="n">
        <x:v>1202</x:v>
      </x:c>
      <x:c r="K90" t="n">
        <x:v>28</x:v>
      </x:c>
      <x:c r="L90" t="n">
        <x:v>18</x:v>
      </x:c>
      <x:c r="M90" t="n">
        <x:v>96.4</x:v>
      </x:c>
      <x:c r="N90" t="n">
        <x:v>97</x:v>
      </x:c>
      <x:c r="O90" t="n">
        <x:v>64.3</x:v>
      </x:c>
      <x:c r="P90" t="n">
        <x:v>2</x:v>
      </x:c>
      <x:c r="Q90" t="str">
        <x:v>No incident</x:v>
      </x:c>
      <x:c r="R90" t="str">
        <x:v>N/A</x:v>
      </x:c>
      <x:c r="S90" t="str">
        <x:v>Preventive</x:v>
      </x:c>
      <x:c r="T90" t="n">
        <x:v>1.22</x:v>
      </x:c>
      <x:c r="U90" t="n">
        <x:v>10.7</x:v>
      </x:c>
      <x:c r="V90" t="n">
        <x:f>IFERROR(J90/I90*100,0)</x:f>
        <x:v>95.09493670886076</x:v>
      </x:c>
      <x:c r="W90" t="n">
        <x:f>IFERROR(K90/J90*100,0)</x:f>
        <x:v>2.329450915141431</x:v>
      </x:c>
      <x:c r="X90" t="n">
        <x:f>IFERROR(H90/F90*100,0)</x:f>
        <x:v>6.25</x:v>
      </x:c>
      <x:c r="Y90" t="n">
        <x:f>J90-K90</x:f>
        <x:v>1174</x:v>
      </x:c>
      <x:c r="Z90" t="n">
        <x:f>MAX(0,MIN(100,(V90/100)*(1-X90/100)*(1-W90/100)*100))</x:f>
        <x:v>87.07476265822784</x:v>
      </x:c>
    </x:row>
    <x:row r="91">
      <x:c r="A91" s="12" t="n">
        <x:v>46056</x:v>
      </x:c>
      <x:c r="B91" t="str">
        <x:v>C</x:v>
      </x:c>
      <x:c r="C91" t="str">
        <x:v>Dried Mango</x:v>
      </x:c>
      <x:c r="D91" t="str">
        <x:v>Dryer 1</x:v>
      </x:c>
      <x:c r="E91" t="str">
        <x:v>Sup 2</x:v>
      </x:c>
      <x:c r="F91" t="n">
        <x:v>450</x:v>
      </x:c>
      <x:c r="G91" t="n">
        <x:v>30</x:v>
      </x:c>
      <x:c r="H91" t="n">
        <x:v>37</x:v>
      </x:c>
      <x:c r="I91" t="n">
        <x:v>1762</x:v>
      </x:c>
      <x:c r="J91" t="n">
        <x:v>1652</x:v>
      </x:c>
      <x:c r="K91" t="n">
        <x:v>65</x:v>
      </x:c>
      <x:c r="L91" t="n">
        <x:v>30</x:v>
      </x:c>
      <x:c r="M91" t="n">
        <x:v>87.9</x:v>
      </x:c>
      <x:c r="N91" t="n">
        <x:v>83.2</x:v>
      </x:c>
      <x:c r="O91" t="n">
        <x:v>80.9</x:v>
      </x:c>
      <x:c r="P91" t="n">
        <x:v>6</x:v>
      </x:c>
      <x:c r="Q91" t="str">
        <x:v>No incident</x:v>
      </x:c>
      <x:c r="R91" t="str">
        <x:v>N/A</x:v>
      </x:c>
      <x:c r="S91" t="str">
        <x:v>Corrective</x:v>
      </x:c>
      <x:c r="T91" t="n">
        <x:v>1.92</x:v>
      </x:c>
      <x:c r="U91" t="n">
        <x:v>12.4</x:v>
      </x:c>
      <x:c r="V91" t="n">
        <x:f>IFERROR(J91/I91*100,0)</x:f>
        <x:v>93.75709421112373</x:v>
      </x:c>
      <x:c r="W91" t="n">
        <x:f>IFERROR(K91/J91*100,0)</x:f>
        <x:v>3.9346246973365617</x:v>
      </x:c>
      <x:c r="X91" t="n">
        <x:f>IFERROR(H91/F91*100,0)</x:f>
        <x:v>8.222222222222223</x:v>
      </x:c>
      <x:c r="Y91" t="n">
        <x:f>J91-K91</x:f>
        <x:v>1587</x:v>
      </x:c>
      <x:c r="Z91" t="n">
        <x:f>MAX(0,MIN(100,(V91/100)*(1-X91/100)*(1-W91/100)*100))</x:f>
        <x:v>82.66250472947408</x:v>
      </x:c>
    </x:row>
    <x:row r="92">
      <x:c r="A92" s="12" t="n">
        <x:v>46057</x:v>
      </x:c>
      <x:c r="B92" t="str">
        <x:v>A</x:v>
      </x:c>
      <x:c r="C92" t="str">
        <x:v>Desiccated Coconut</x:v>
      </x:c>
      <x:c r="D92" t="str">
        <x:v>Dryer 3</x:v>
      </x:c>
      <x:c r="E92" t="str">
        <x:v>Sup 1</x:v>
      </x:c>
      <x:c r="F92" t="n">
        <x:v>480</x:v>
      </x:c>
      <x:c r="G92" t="n">
        <x:v>30</x:v>
      </x:c>
      <x:c r="H92" t="n">
        <x:v>50</x:v>
      </x:c>
      <x:c r="I92" t="n">
        <x:v>1293</x:v>
      </x:c>
      <x:c r="J92" t="n">
        <x:v>1080</x:v>
      </x:c>
      <x:c r="K92" t="n">
        <x:v>52</x:v>
      </x:c>
      <x:c r="L92" t="n">
        <x:v>16</x:v>
      </x:c>
      <x:c r="M92" t="n">
        <x:v>95.3</x:v>
      </x:c>
      <x:c r="N92" t="n">
        <x:v>75.3</x:v>
      </x:c>
      <x:c r="O92" t="n">
        <x:v>61.7</x:v>
      </x:c>
      <x:c r="P92" t="n">
        <x:v>3</x:v>
      </x:c>
      <x:c r="Q92" t="str">
        <x:v>No incident</x:v>
      </x:c>
      <x:c r="R92" t="str">
        <x:v>N/A</x:v>
      </x:c>
      <x:c r="S92" t="str">
        <x:v>Inspection</x:v>
      </x:c>
      <x:c r="T92" t="n">
        <x:v>0.7</x:v>
      </x:c>
      <x:c r="U92" t="n">
        <x:v>9.6</x:v>
      </x:c>
      <x:c r="V92" t="n">
        <x:f>IFERROR(J92/I92*100,0)</x:f>
        <x:v>83.52668213457076</x:v>
      </x:c>
      <x:c r="W92" t="n">
        <x:f>IFERROR(K92/J92*100,0)</x:f>
        <x:v>4.814814814814815</x:v>
      </x:c>
      <x:c r="X92" t="n">
        <x:f>IFERROR(H92/F92*100,0)</x:f>
        <x:v>10.416666666666668</x:v>
      </x:c>
      <x:c r="Y92" t="n">
        <x:f>J92-K92</x:f>
        <x:v>1028</x:v>
      </x:c>
      <x:c r="Z92" t="n">
        <x:f>MAX(0,MIN(100,(V92/100)*(1-X92/100)*(1-W92/100)*100))</x:f>
        <x:v>71.22325341582881</x:v>
      </x:c>
    </x:row>
    <x:row r="93">
      <x:c r="A93" s="12" t="n">
        <x:v>46057</x:v>
      </x:c>
      <x:c r="B93" t="str">
        <x:v>B</x:v>
      </x:c>
      <x:c r="C93" t="str">
        <x:v>Dried Mango</x:v>
      </x:c>
      <x:c r="D93" t="str">
        <x:v>Dryer 4</x:v>
      </x:c>
      <x:c r="E93" t="str">
        <x:v>Sup 2</x:v>
      </x:c>
      <x:c r="F93" t="n">
        <x:v>480</x:v>
      </x:c>
      <x:c r="G93" t="n">
        <x:v>30</x:v>
      </x:c>
      <x:c r="H93" t="n">
        <x:v>66</x:v>
      </x:c>
      <x:c r="I93" t="n">
        <x:v>1719</x:v>
      </x:c>
      <x:c r="J93" t="n">
        <x:v>1349</x:v>
      </x:c>
      <x:c r="K93" t="n">
        <x:v>38</x:v>
      </x:c>
      <x:c r="L93" t="n">
        <x:v>20</x:v>
      </x:c>
      <x:c r="M93" t="n">
        <x:v>91.1</x:v>
      </x:c>
      <x:c r="N93" t="n">
        <x:v>80.9</x:v>
      </x:c>
      <x:c r="O93" t="n">
        <x:v>71.6</x:v>
      </x:c>
      <x:c r="P93" t="n">
        <x:v>2</x:v>
      </x:c>
      <x:c r="Q93" t="str">
        <x:v>No incident</x:v>
      </x:c>
      <x:c r="R93" t="str">
        <x:v>N/A</x:v>
      </x:c>
      <x:c r="S93" t="str">
        <x:v>Inspection</x:v>
      </x:c>
      <x:c r="T93" t="n">
        <x:v>0.9</x:v>
      </x:c>
      <x:c r="U93" t="n">
        <x:v>11.7</x:v>
      </x:c>
      <x:c r="V93" t="n">
        <x:f>IFERROR(J93/I93*100,0)</x:f>
        <x:v>78.47585805700989</x:v>
      </x:c>
      <x:c r="W93" t="n">
        <x:f>IFERROR(K93/J93*100,0)</x:f>
        <x:v>2.8169014084507045</x:v>
      </x:c>
      <x:c r="X93" t="n">
        <x:f>IFERROR(H93/F93*100,0)</x:f>
        <x:v>13.750000000000002</x:v>
      </x:c>
      <x:c r="Y93" t="n">
        <x:f>J93-K93</x:f>
        <x:v>1311</x:v>
      </x:c>
      <x:c r="Z93" t="n">
        <x:f>MAX(0,MIN(100,(V93/100)*(1-X93/100)*(1-W93/100)*100))</x:f>
        <x:v>65.77879581151834</x:v>
      </x:c>
    </x:row>
    <x:row r="94">
      <x:c r="A94" s="12" t="n">
        <x:v>46057</x:v>
      </x:c>
      <x:c r="B94" t="str">
        <x:v>C</x:v>
      </x:c>
      <x:c r="C94" t="str">
        <x:v>Desiccated Coconut</x:v>
      </x:c>
      <x:c r="D94" t="str">
        <x:v>Dryer 3</x:v>
      </x:c>
      <x:c r="E94" t="str">
        <x:v>Sup 1</x:v>
      </x:c>
      <x:c r="F94" t="n">
        <x:v>420</x:v>
      </x:c>
      <x:c r="G94" t="n">
        <x:v>30</x:v>
      </x:c>
      <x:c r="H94" t="n">
        <x:v>57</x:v>
      </x:c>
      <x:c r="I94" t="n">
        <x:v>1243</x:v>
      </x:c>
      <x:c r="J94" t="n">
        <x:v>956</x:v>
      </x:c>
      <x:c r="K94" t="n">
        <x:v>36</x:v>
      </x:c>
      <x:c r="L94" t="n">
        <x:v>8</x:v>
      </x:c>
      <x:c r="M94" t="n">
        <x:v>92.1</x:v>
      </x:c>
      <x:c r="N94" t="n">
        <x:v>79.6</x:v>
      </x:c>
      <x:c r="O94" t="n">
        <x:v>69</x:v>
      </x:c>
      <x:c r="P94" t="n">
        <x:v>5</x:v>
      </x:c>
      <x:c r="Q94" t="str">
        <x:v>No incident</x:v>
      </x:c>
      <x:c r="R94" t="str">
        <x:v>N/A</x:v>
      </x:c>
      <x:c r="S94" t="str">
        <x:v>Corrective</x:v>
      </x:c>
      <x:c r="T94" t="n">
        <x:v>1.3</x:v>
      </x:c>
      <x:c r="U94" t="n">
        <x:v>8.2</x:v>
      </x:c>
      <x:c r="V94" t="n">
        <x:f>IFERROR(J94/I94*100,0)</x:f>
        <x:v>76.91069991954947</x:v>
      </x:c>
      <x:c r="W94" t="n">
        <x:f>IFERROR(K94/J94*100,0)</x:f>
        <x:v>3.765690376569038</x:v>
      </x:c>
      <x:c r="X94" t="n">
        <x:f>IFERROR(H94/F94*100,0)</x:f>
        <x:v>13.571428571428571</x:v>
      </x:c>
      <x:c r="Y94" t="n">
        <x:f>J94-K94</x:f>
        <x:v>920</x:v>
      </x:c>
      <x:c r="Z94" t="n">
        <x:f>MAX(0,MIN(100,(V94/100)*(1-X94/100)*(1-W94/100)*100))</x:f>
        <x:v>63.96965865992414</x:v>
      </x:c>
    </x:row>
    <x:row r="95">
      <x:c r="A95" s="12" t="n">
        <x:v>46058</x:v>
      </x:c>
      <x:c r="B95" t="str">
        <x:v>A</x:v>
      </x:c>
      <x:c r="C95" t="str">
        <x:v>Desiccated Coconut</x:v>
      </x:c>
      <x:c r="D95" t="str">
        <x:v>Dryer 2</x:v>
      </x:c>
      <x:c r="E95" t="str">
        <x:v>Sup 3</x:v>
      </x:c>
      <x:c r="F95" t="n">
        <x:v>420</x:v>
      </x:c>
      <x:c r="G95" t="n">
        <x:v>40</x:v>
      </x:c>
      <x:c r="H95" t="n">
        <x:v>33</x:v>
      </x:c>
      <x:c r="I95" t="n">
        <x:v>1242</x:v>
      </x:c>
      <x:c r="J95" t="n">
        <x:v>1055</x:v>
      </x:c>
      <x:c r="K95" t="n">
        <x:v>24</x:v>
      </x:c>
      <x:c r="L95" t="n">
        <x:v>10</x:v>
      </x:c>
      <x:c r="M95" t="n">
        <x:v>94.3</x:v>
      </x:c>
      <x:c r="N95" t="n">
        <x:v>81.2</x:v>
      </x:c>
      <x:c r="O95" t="n">
        <x:v>74.2</x:v>
      </x:c>
      <x:c r="P95" t="n">
        <x:v>3</x:v>
      </x:c>
      <x:c r="Q95" t="str">
        <x:v>No incident</x:v>
      </x:c>
      <x:c r="R95" t="str">
        <x:v>N/A</x:v>
      </x:c>
      <x:c r="S95" t="str">
        <x:v>Corrective</x:v>
      </x:c>
      <x:c r="T95" t="n">
        <x:v>1.61</x:v>
      </x:c>
      <x:c r="U95" t="n">
        <x:v>9.1</x:v>
      </x:c>
      <x:c r="V95" t="n">
        <x:f>IFERROR(J95/I95*100,0)</x:f>
        <x:v>84.94363929146537</x:v>
      </x:c>
      <x:c r="W95" t="n">
        <x:f>IFERROR(K95/J95*100,0)</x:f>
        <x:v>2.2748815165876777</x:v>
      </x:c>
      <x:c r="X95" t="n">
        <x:f>IFERROR(H95/F95*100,0)</x:f>
        <x:v>7.857142857142857</x:v>
      </x:c>
      <x:c r="Y95" t="n">
        <x:f>J95-K95</x:f>
        <x:v>1031</x:v>
      </x:c>
      <x:c r="Z95" t="n">
        <x:f>MAX(0,MIN(100,(V95/100)*(1-X95/100)*(1-W95/100)*100))</x:f>
        <x:v>76.48895790200139</x:v>
      </x:c>
    </x:row>
    <x:row r="96">
      <x:c r="A96" s="12" t="n">
        <x:v>46058</x:v>
      </x:c>
      <x:c r="B96" t="str">
        <x:v>B</x:v>
      </x:c>
      <x:c r="C96" t="str">
        <x:v>Dried Pineapple</x:v>
      </x:c>
      <x:c r="D96" t="str">
        <x:v>Dryer 3</x:v>
      </x:c>
      <x:c r="E96" t="str">
        <x:v>Sup 1</x:v>
      </x:c>
      <x:c r="F96" t="n">
        <x:v>480</x:v>
      </x:c>
      <x:c r="G96" t="n">
        <x:v>30</x:v>
      </x:c>
      <x:c r="H96" t="n">
        <x:v>71</x:v>
      </x:c>
      <x:c r="I96" t="n">
        <x:v>1793</x:v>
      </x:c>
      <x:c r="J96" t="n">
        <x:v>1431</x:v>
      </x:c>
      <x:c r="K96" t="n">
        <x:v>53</x:v>
      </x:c>
      <x:c r="L96" t="n">
        <x:v>19</x:v>
      </x:c>
      <x:c r="M96" t="n">
        <x:v>88.8</x:v>
      </x:c>
      <x:c r="N96" t="n">
        <x:v>93.9</x:v>
      </x:c>
      <x:c r="O96" t="n">
        <x:v>76.4</x:v>
      </x:c>
      <x:c r="P96" t="n">
        <x:v>5</x:v>
      </x:c>
      <x:c r="Q96" t="str">
        <x:v>No incident</x:v>
      </x:c>
      <x:c r="R96" t="str">
        <x:v>N/A</x:v>
      </x:c>
      <x:c r="S96" t="str">
        <x:v>Inspection</x:v>
      </x:c>
      <x:c r="T96" t="n">
        <x:v>0.5</x:v>
      </x:c>
      <x:c r="U96" t="n">
        <x:v>12.9</x:v>
      </x:c>
      <x:c r="V96" t="n">
        <x:f>IFERROR(J96/I96*100,0)</x:f>
        <x:v>79.81037367540435</x:v>
      </x:c>
      <x:c r="W96" t="n">
        <x:f>IFERROR(K96/J96*100,0)</x:f>
        <x:v>3.7037037037037033</x:v>
      </x:c>
      <x:c r="X96" t="n">
        <x:f>IFERROR(H96/F96*100,0)</x:f>
        <x:v>14.791666666666666</x:v>
      </x:c>
      <x:c r="Y96" t="n">
        <x:f>J96-K96</x:f>
        <x:v>1378</x:v>
      </x:c>
      <x:c r="Z96" t="n">
        <x:f>MAX(0,MIN(100,(V96/100)*(1-X96/100)*(1-W96/100)*100))</x:f>
        <x:v>65.48638222717977</x:v>
      </x:c>
    </x:row>
    <x:row r="97">
      <x:c r="A97" s="12" t="n">
        <x:v>46058</x:v>
      </x:c>
      <x:c r="B97" t="str">
        <x:v>C</x:v>
      </x:c>
      <x:c r="C97" t="str">
        <x:v>Dried Pineapple</x:v>
      </x:c>
      <x:c r="D97" t="str">
        <x:v>Dryer 1</x:v>
      </x:c>
      <x:c r="E97" t="str">
        <x:v>Sup 3</x:v>
      </x:c>
      <x:c r="F97" t="n">
        <x:v>480</x:v>
      </x:c>
      <x:c r="G97" t="n">
        <x:v>20</x:v>
      </x:c>
      <x:c r="H97" t="n">
        <x:v>64</x:v>
      </x:c>
      <x:c r="I97" t="n">
        <x:v>1786</x:v>
      </x:c>
      <x:c r="J97" t="n">
        <x:v>1546</x:v>
      </x:c>
      <x:c r="K97" t="n">
        <x:v>59</x:v>
      </x:c>
      <x:c r="L97" t="n">
        <x:v>28</x:v>
      </x:c>
      <x:c r="M97" t="n">
        <x:v>81.2</x:v>
      </x:c>
      <x:c r="N97" t="n">
        <x:v>65.4</x:v>
      </x:c>
      <x:c r="O97" t="n">
        <x:v>72.2</x:v>
      </x:c>
      <x:c r="P97" t="n">
        <x:v>0</x:v>
      </x:c>
      <x:c r="Q97" t="str">
        <x:v>First aid</x:v>
      </x:c>
      <x:c r="R97" t="str">
        <x:v>In progress</x:v>
      </x:c>
      <x:c r="S97" t="str">
        <x:v>Corrective</x:v>
      </x:c>
      <x:c r="T97" t="n">
        <x:v>1.55</x:v>
      </x:c>
      <x:c r="U97" t="n">
        <x:v>13.6</x:v>
      </x:c>
      <x:c r="V97" t="n">
        <x:f>IFERROR(J97/I97*100,0)</x:f>
        <x:v>86.56215005599104</x:v>
      </x:c>
      <x:c r="W97" t="n">
        <x:f>IFERROR(K97/J97*100,0)</x:f>
        <x:v>3.8163001293661063</x:v>
      </x:c>
      <x:c r="X97" t="n">
        <x:f>IFERROR(H97/F97*100,0)</x:f>
        <x:v>13.333333333333334</x:v>
      </x:c>
      <x:c r="Y97" t="n">
        <x:f>J97-K97</x:f>
        <x:v>1487</x:v>
      </x:c>
      <x:c r="Z97" t="n">
        <x:f>MAX(0,MIN(100,(V97/100)*(1-X97/100)*(1-W97/100)*100))</x:f>
        <x:v>72.15752146323256</x:v>
      </x:c>
    </x:row>
    <x:row r="98">
      <x:c r="A98" s="12" t="n">
        <x:v>46059</x:v>
      </x:c>
      <x:c r="B98" t="str">
        <x:v>A</x:v>
      </x:c>
      <x:c r="C98" t="str">
        <x:v>Dried Pineapple</x:v>
      </x:c>
      <x:c r="D98" t="str">
        <x:v>Dryer 1</x:v>
      </x:c>
      <x:c r="E98" t="str">
        <x:v>Sup 3</x:v>
      </x:c>
      <x:c r="F98" t="n">
        <x:v>420</x:v>
      </x:c>
      <x:c r="G98" t="n">
        <x:v>40</x:v>
      </x:c>
      <x:c r="H98" t="n">
        <x:v>30</x:v>
      </x:c>
      <x:c r="I98" t="n">
        <x:v>1665</x:v>
      </x:c>
      <x:c r="J98" t="n">
        <x:v>1504</x:v>
      </x:c>
      <x:c r="K98" t="n">
        <x:v>59</x:v>
      </x:c>
      <x:c r="L98" t="n">
        <x:v>31</x:v>
      </x:c>
      <x:c r="M98" t="n">
        <x:v>99.7</x:v>
      </x:c>
      <x:c r="N98" t="n">
        <x:v>83</x:v>
      </x:c>
      <x:c r="O98" t="n">
        <x:v>71.5</x:v>
      </x:c>
      <x:c r="P98" t="n">
        <x:v>4</x:v>
      </x:c>
      <x:c r="Q98" t="str">
        <x:v>No incident</x:v>
      </x:c>
      <x:c r="R98" t="str">
        <x:v>N/A</x:v>
      </x:c>
      <x:c r="S98" t="str">
        <x:v>Inspection</x:v>
      </x:c>
      <x:c r="T98" t="n">
        <x:v>0.76</x:v>
      </x:c>
      <x:c r="U98" t="n">
        <x:v>13.5</x:v>
      </x:c>
      <x:c r="V98" t="n">
        <x:f>IFERROR(J98/I98*100,0)</x:f>
        <x:v>90.33033033033033</x:v>
      </x:c>
      <x:c r="W98" t="n">
        <x:f>IFERROR(K98/J98*100,0)</x:f>
        <x:v>3.9228723404255317</x:v>
      </x:c>
      <x:c r="X98" t="n">
        <x:f>IFERROR(H98/F98*100,0)</x:f>
        <x:v>7.142857142857142</x:v>
      </x:c>
      <x:c r="Y98" t="n">
        <x:f>J98-K98</x:f>
        <x:v>1445</x:v>
      </x:c>
      <x:c r="Z98" t="n">
        <x:f>MAX(0,MIN(100,(V98/100)*(1-X98/100)*(1-W98/100)*100))</x:f>
        <x:v>80.58773058773058</x:v>
      </x:c>
    </x:row>
    <x:row r="99">
      <x:c r="A99" s="12" t="n">
        <x:v>46059</x:v>
      </x:c>
      <x:c r="B99" t="str">
        <x:v>B</x:v>
      </x:c>
      <x:c r="C99" t="str">
        <x:v>Dried Pineapple</x:v>
      </x:c>
      <x:c r="D99" t="str">
        <x:v>Dryer 4</x:v>
      </x:c>
      <x:c r="E99" t="str">
        <x:v>Sup 2</x:v>
      </x:c>
      <x:c r="F99" t="n">
        <x:v>450</x:v>
      </x:c>
      <x:c r="G99" t="n">
        <x:v>40</x:v>
      </x:c>
      <x:c r="H99" t="n">
        <x:v>43</x:v>
      </x:c>
      <x:c r="I99" t="n">
        <x:v>1755</x:v>
      </x:c>
      <x:c r="J99" t="n">
        <x:v>1585</x:v>
      </x:c>
      <x:c r="K99" t="n">
        <x:v>46</x:v>
      </x:c>
      <x:c r="L99" t="n">
        <x:v>10</x:v>
      </x:c>
      <x:c r="M99" t="n">
        <x:v>96.9</x:v>
      </x:c>
      <x:c r="N99" t="n">
        <x:v>85.7</x:v>
      </x:c>
      <x:c r="O99" t="n">
        <x:v>75.4</x:v>
      </x:c>
      <x:c r="P99" t="n">
        <x:v>3</x:v>
      </x:c>
      <x:c r="Q99" t="str">
        <x:v>No incident</x:v>
      </x:c>
      <x:c r="R99" t="str">
        <x:v>N/A</x:v>
      </x:c>
      <x:c r="S99" t="str">
        <x:v>Corrective</x:v>
      </x:c>
      <x:c r="T99" t="n">
        <x:v>1.43</x:v>
      </x:c>
      <x:c r="U99" t="n">
        <x:v>12.6</x:v>
      </x:c>
      <x:c r="V99" t="n">
        <x:f>IFERROR(J99/I99*100,0)</x:f>
        <x:v>90.31339031339031</x:v>
      </x:c>
      <x:c r="W99" t="n">
        <x:f>IFERROR(K99/J99*100,0)</x:f>
        <x:v>2.902208201892744</x:v>
      </x:c>
      <x:c r="X99" t="n">
        <x:f>IFERROR(H99/F99*100,0)</x:f>
        <x:v>9.555555555555555</x:v>
      </x:c>
      <x:c r="Y99" t="n">
        <x:f>J99-K99</x:f>
        <x:v>1539</x:v>
      </x:c>
      <x:c r="Z99" t="n">
        <x:f>MAX(0,MIN(100,(V99/100)*(1-X99/100)*(1-W99/100)*100))</x:f>
        <x:v>79.31282051282051</x:v>
      </x:c>
    </x:row>
    <x:row r="100">
      <x:c r="A100" s="12" t="n">
        <x:v>46059</x:v>
      </x:c>
      <x:c r="B100" t="str">
        <x:v>C</x:v>
      </x:c>
      <x:c r="C100" t="str">
        <x:v>Dried Pineapple</x:v>
      </x:c>
      <x:c r="D100" t="str">
        <x:v>Dryer 4</x:v>
      </x:c>
      <x:c r="E100" t="str">
        <x:v>Sup 2</x:v>
      </x:c>
      <x:c r="F100" t="n">
        <x:v>480</x:v>
      </x:c>
      <x:c r="G100" t="n">
        <x:v>40</x:v>
      </x:c>
      <x:c r="H100" t="n">
        <x:v>54</x:v>
      </x:c>
      <x:c r="I100" t="n">
        <x:v>1649</x:v>
      </x:c>
      <x:c r="J100" t="n">
        <x:v>1442</x:v>
      </x:c>
      <x:c r="K100" t="n">
        <x:v>34</x:v>
      </x:c>
      <x:c r="L100" t="n">
        <x:v>10</x:v>
      </x:c>
      <x:c r="M100" t="n">
        <x:v>85</x:v>
      </x:c>
      <x:c r="N100" t="n">
        <x:v>80</x:v>
      </x:c>
      <x:c r="O100" t="n">
        <x:v>56.5</x:v>
      </x:c>
      <x:c r="P100" t="n">
        <x:v>2</x:v>
      </x:c>
      <x:c r="Q100" t="str">
        <x:v>No incident</x:v>
      </x:c>
      <x:c r="R100" t="str">
        <x:v>N/A</x:v>
      </x:c>
      <x:c r="S100" t="str">
        <x:v>Corrective</x:v>
      </x:c>
      <x:c r="T100" t="n">
        <x:v>1.42</x:v>
      </x:c>
      <x:c r="U100" t="n">
        <x:v>11.4</x:v>
      </x:c>
      <x:c r="V100" t="n">
        <x:f>IFERROR(J100/I100*100,0)</x:f>
        <x:v>87.44693753790176</x:v>
      </x:c>
      <x:c r="W100" t="n">
        <x:f>IFERROR(K100/J100*100,0)</x:f>
        <x:v>2.3578363384188625</x:v>
      </x:c>
      <x:c r="X100" t="n">
        <x:f>IFERROR(H100/F100*100,0)</x:f>
        <x:v>11.25</x:v>
      </x:c>
      <x:c r="Y100" t="n">
        <x:f>J100-K100</x:f>
        <x:v>1408</x:v>
      </x:c>
      <x:c r="Z100" t="n">
        <x:f>MAX(0,MIN(100,(V100/100)*(1-X100/100)*(1-W100/100)*100))</x:f>
        <x:v>75.77926015767132</x:v>
      </x:c>
    </x:row>
    <x:row r="101">
      <x:c r="A101" s="12" t="n">
        <x:v>46060</x:v>
      </x:c>
      <x:c r="B101" t="str">
        <x:v>A</x:v>
      </x:c>
      <x:c r="C101" t="str">
        <x:v>Dried Pineapple</x:v>
      </x:c>
      <x:c r="D101" t="str">
        <x:v>Dryer 2</x:v>
      </x:c>
      <x:c r="E101" t="str">
        <x:v>Sup 1</x:v>
      </x:c>
      <x:c r="F101" t="n">
        <x:v>450</x:v>
      </x:c>
      <x:c r="G101" t="n">
        <x:v>30</x:v>
      </x:c>
      <x:c r="H101" t="n">
        <x:v>47</x:v>
      </x:c>
      <x:c r="I101" t="n">
        <x:v>1613</x:v>
      </x:c>
      <x:c r="J101" t="n">
        <x:v>1353</x:v>
      </x:c>
      <x:c r="K101" t="n">
        <x:v>43</x:v>
      </x:c>
      <x:c r="L101" t="n">
        <x:v>18</x:v>
      </x:c>
      <x:c r="M101" t="n">
        <x:v>91.2</x:v>
      </x:c>
      <x:c r="N101" t="n">
        <x:v>86.1</x:v>
      </x:c>
      <x:c r="O101" t="n">
        <x:v>81.8</x:v>
      </x:c>
      <x:c r="P101" t="n">
        <x:v>3</x:v>
      </x:c>
      <x:c r="Q101" t="str">
        <x:v>No incident</x:v>
      </x:c>
      <x:c r="R101" t="str">
        <x:v>N/A</x:v>
      </x:c>
      <x:c r="S101" t="str">
        <x:v>Corrective</x:v>
      </x:c>
      <x:c r="T101" t="n">
        <x:v>1.73</x:v>
      </x:c>
      <x:c r="U101" t="n">
        <x:v>11</x:v>
      </x:c>
      <x:c r="V101" t="n">
        <x:f>IFERROR(J101/I101*100,0)</x:f>
        <x:v>83.88096714197148</x:v>
      </x:c>
      <x:c r="W101" t="n">
        <x:f>IFERROR(K101/J101*100,0)</x:f>
        <x:v>3.1781226903178124</x:v>
      </x:c>
      <x:c r="X101" t="n">
        <x:f>IFERROR(H101/F101*100,0)</x:f>
        <x:v>10.444444444444445</x:v>
      </x:c>
      <x:c r="Y101" t="n">
        <x:f>J101-K101</x:f>
        <x:v>1310</x:v>
      </x:c>
      <x:c r="Z101" t="n">
        <x:f>MAX(0,MIN(100,(V101/100)*(1-X101/100)*(1-W101/100)*100))</x:f>
        <x:v>72.73265826272646</x:v>
      </x:c>
    </x:row>
    <x:row r="102">
      <x:c r="A102" s="12" t="n">
        <x:v>46060</x:v>
      </x:c>
      <x:c r="B102" t="str">
        <x:v>B</x:v>
      </x:c>
      <x:c r="C102" t="str">
        <x:v>Desiccated Coconut</x:v>
      </x:c>
      <x:c r="D102" t="str">
        <x:v>Dryer 1</x:v>
      </x:c>
      <x:c r="E102" t="str">
        <x:v>Sup 1</x:v>
      </x:c>
      <x:c r="F102" t="n">
        <x:v>450</x:v>
      </x:c>
      <x:c r="G102" t="n">
        <x:v>40</x:v>
      </x:c>
      <x:c r="H102" t="n">
        <x:v>40</x:v>
      </x:c>
      <x:c r="I102" t="n">
        <x:v>1177</x:v>
      </x:c>
      <x:c r="J102" t="n">
        <x:v>1084</x:v>
      </x:c>
      <x:c r="K102" t="n">
        <x:v>27</x:v>
      </x:c>
      <x:c r="L102" t="n">
        <x:v>9</x:v>
      </x:c>
      <x:c r="M102" t="n">
        <x:v>99.2</x:v>
      </x:c>
      <x:c r="N102" t="n">
        <x:v>68.1</x:v>
      </x:c>
      <x:c r="O102" t="n">
        <x:v>88.9</x:v>
      </x:c>
      <x:c r="P102" t="n">
        <x:v>4</x:v>
      </x:c>
      <x:c r="Q102" t="str">
        <x:v>No incident</x:v>
      </x:c>
      <x:c r="R102" t="str">
        <x:v>N/A</x:v>
      </x:c>
      <x:c r="S102" t="str">
        <x:v>Corrective</x:v>
      </x:c>
      <x:c r="T102" t="n">
        <x:v>1.59</x:v>
      </x:c>
      <x:c r="U102" t="n">
        <x:v>9.1</x:v>
      </x:c>
      <x:c r="V102" t="n">
        <x:f>IFERROR(J102/I102*100,0)</x:f>
        <x:v>92.09855564995752</x:v>
      </x:c>
      <x:c r="W102" t="n">
        <x:f>IFERROR(K102/J102*100,0)</x:f>
        <x:v>2.4907749077490773</x:v>
      </x:c>
      <x:c r="X102" t="n">
        <x:f>IFERROR(H102/F102*100,0)</x:f>
        <x:v>8.88888888888889</x:v>
      </x:c>
      <x:c r="Y102" t="n">
        <x:f>J102-K102</x:f>
        <x:v>1057</x:v>
      </x:c>
      <x:c r="Z102" t="n">
        <x:f>MAX(0,MIN(100,(V102/100)*(1-X102/100)*(1-W102/100)*100))</x:f>
        <x:v>81.82195789672424</x:v>
      </x:c>
    </x:row>
    <x:row r="103">
      <x:c r="A103" s="12" t="n">
        <x:v>46060</x:v>
      </x:c>
      <x:c r="B103" t="str">
        <x:v>C</x:v>
      </x:c>
      <x:c r="C103" t="str">
        <x:v>Dried Pineapple</x:v>
      </x:c>
      <x:c r="D103" t="str">
        <x:v>Dryer 3</x:v>
      </x:c>
      <x:c r="E103" t="str">
        <x:v>Sup 3</x:v>
      </x:c>
      <x:c r="F103" t="n">
        <x:v>420</x:v>
      </x:c>
      <x:c r="G103" t="n">
        <x:v>30</x:v>
      </x:c>
      <x:c r="H103" t="n">
        <x:v>63</x:v>
      </x:c>
      <x:c r="I103" t="n">
        <x:v>1806</x:v>
      </x:c>
      <x:c r="J103" t="n">
        <x:v>1334</x:v>
      </x:c>
      <x:c r="K103" t="n">
        <x:v>65</x:v>
      </x:c>
      <x:c r="L103" t="n">
        <x:v>29</x:v>
      </x:c>
      <x:c r="M103" t="n">
        <x:v>88.2</x:v>
      </x:c>
      <x:c r="N103" t="n">
        <x:v>63</x:v>
      </x:c>
      <x:c r="O103" t="n">
        <x:v>63.8</x:v>
      </x:c>
      <x:c r="P103" t="n">
        <x:v>5</x:v>
      </x:c>
      <x:c r="Q103" t="str">
        <x:v>Near miss</x:v>
      </x:c>
      <x:c r="R103" t="str">
        <x:v>In progress</x:v>
      </x:c>
      <x:c r="S103" t="str">
        <x:v>Corrective</x:v>
      </x:c>
      <x:c r="T103" t="n">
        <x:v>1.97</x:v>
      </x:c>
      <x:c r="U103" t="n">
        <x:v>11.4</x:v>
      </x:c>
      <x:c r="V103" t="n">
        <x:f>IFERROR(J103/I103*100,0)</x:f>
        <x:v>73.86489479512736</x:v>
      </x:c>
      <x:c r="W103" t="n">
        <x:f>IFERROR(K103/J103*100,0)</x:f>
        <x:v>4.872563718140929</x:v>
      </x:c>
      <x:c r="X103" t="n">
        <x:f>IFERROR(H103/F103*100,0)</x:f>
        <x:v>15</x:v>
      </x:c>
      <x:c r="Y103" t="n">
        <x:f>J103-K103</x:f>
        <x:v>1269</x:v>
      </x:c>
      <x:c r="Z103" t="n">
        <x:f>MAX(0,MIN(100,(V103/100)*(1-X103/100)*(1-W103/100)*100))</x:f>
        <x:v>59.725913621262464</x:v>
      </x:c>
    </x:row>
    <x:row r="104">
      <x:c r="A104" s="12" t="n">
        <x:v>46061</x:v>
      </x:c>
      <x:c r="B104" t="str">
        <x:v>A</x:v>
      </x:c>
      <x:c r="C104" t="str">
        <x:v>Dried Mango</x:v>
      </x:c>
      <x:c r="D104" t="str">
        <x:v>Dryer 1</x:v>
      </x:c>
      <x:c r="E104" t="str">
        <x:v>Sup 1</x:v>
      </x:c>
      <x:c r="F104" t="n">
        <x:v>450</x:v>
      </x:c>
      <x:c r="G104" t="n">
        <x:v>0</x:v>
      </x:c>
      <x:c r="H104" t="n">
        <x:v>32</x:v>
      </x:c>
      <x:c r="I104" t="n">
        <x:v>1562</x:v>
      </x:c>
      <x:c r="J104" t="n">
        <x:v>1382</x:v>
      </x:c>
      <x:c r="K104" t="n">
        <x:v>45</x:v>
      </x:c>
      <x:c r="L104" t="n">
        <x:v>28</x:v>
      </x:c>
      <x:c r="M104" t="n">
        <x:v>92.3</x:v>
      </x:c>
      <x:c r="N104" t="n">
        <x:v>68.9</x:v>
      </x:c>
      <x:c r="O104" t="n">
        <x:v>90.3</x:v>
      </x:c>
      <x:c r="P104" t="n">
        <x:v>5</x:v>
      </x:c>
      <x:c r="Q104" t="str">
        <x:v>Near miss</x:v>
      </x:c>
      <x:c r="R104" t="str">
        <x:v>Open</x:v>
      </x:c>
      <x:c r="S104" t="str">
        <x:v>Corrective</x:v>
      </x:c>
      <x:c r="T104" t="n">
        <x:v>1.63</x:v>
      </x:c>
      <x:c r="U104" t="n">
        <x:v>11.5</x:v>
      </x:c>
      <x:c r="V104" t="n">
        <x:f>IFERROR(J104/I104*100,0)</x:f>
        <x:v>88.47631241997439</x:v>
      </x:c>
      <x:c r="W104" t="n">
        <x:f>IFERROR(K104/J104*100,0)</x:f>
        <x:v>3.256150506512301</x:v>
      </x:c>
      <x:c r="X104" t="n">
        <x:f>IFERROR(H104/F104*100,0)</x:f>
        <x:v>7.111111111111111</x:v>
      </x:c>
      <x:c r="Y104" t="n">
        <x:f>J104-K104</x:f>
        <x:v>1337</x:v>
      </x:c>
      <x:c r="Z104" t="n">
        <x:f>MAX(0,MIN(100,(V104/100)*(1-X104/100)*(1-W104/100)*100))</x:f>
        <x:v>79.50860719874805</x:v>
      </x:c>
    </x:row>
    <x:row r="105">
      <x:c r="A105" s="12" t="n">
        <x:v>46061</x:v>
      </x:c>
      <x:c r="B105" t="str">
        <x:v>B</x:v>
      </x:c>
      <x:c r="C105" t="str">
        <x:v>Dried Mango</x:v>
      </x:c>
      <x:c r="D105" t="str">
        <x:v>Dryer 4</x:v>
      </x:c>
      <x:c r="E105" t="str">
        <x:v>Sup 2</x:v>
      </x:c>
      <x:c r="F105" t="n">
        <x:v>450</x:v>
      </x:c>
      <x:c r="G105" t="n">
        <x:v>40</x:v>
      </x:c>
      <x:c r="H105" t="n">
        <x:v>44</x:v>
      </x:c>
      <x:c r="I105" t="n">
        <x:v>1779</x:v>
      </x:c>
      <x:c r="J105" t="n">
        <x:v>1498</x:v>
      </x:c>
      <x:c r="K105" t="n">
        <x:v>64</x:v>
      </x:c>
      <x:c r="L105" t="n">
        <x:v>22</x:v>
      </x:c>
      <x:c r="M105" t="n">
        <x:v>92.9</x:v>
      </x:c>
      <x:c r="N105" t="n">
        <x:v>84</x:v>
      </x:c>
      <x:c r="O105" t="n">
        <x:v>81.4</x:v>
      </x:c>
      <x:c r="P105" t="n">
        <x:v>5</x:v>
      </x:c>
      <x:c r="Q105" t="str">
        <x:v>No incident</x:v>
      </x:c>
      <x:c r="R105" t="str">
        <x:v>N/A</x:v>
      </x:c>
      <x:c r="S105" t="str">
        <x:v>Corrective</x:v>
      </x:c>
      <x:c r="T105" t="n">
        <x:v>1.3</x:v>
      </x:c>
      <x:c r="U105" t="n">
        <x:v>13</x:v>
      </x:c>
      <x:c r="V105" t="n">
        <x:f>IFERROR(J105/I105*100,0)</x:f>
        <x:v>84.20460933108488</x:v>
      </x:c>
      <x:c r="W105" t="n">
        <x:f>IFERROR(K105/J105*100,0)</x:f>
        <x:v>4.2723631508678235</x:v>
      </x:c>
      <x:c r="X105" t="n">
        <x:f>IFERROR(H105/F105*100,0)</x:f>
        <x:v>9.777777777777779</x:v>
      </x:c>
      <x:c r="Y105" t="n">
        <x:f>J105-K105</x:f>
        <x:v>1434</x:v>
      </x:c>
      <x:c r="Z105" t="n">
        <x:f>MAX(0,MIN(100,(V105/100)*(1-X105/100)*(1-W105/100)*100))</x:f>
        <x:v>72.7255012179127</x:v>
      </x:c>
    </x:row>
    <x:row r="106">
      <x:c r="A106" s="12" t="n">
        <x:v>46061</x:v>
      </x:c>
      <x:c r="B106" t="str">
        <x:v>C</x:v>
      </x:c>
      <x:c r="C106" t="str">
        <x:v>Dried Mango</x:v>
      </x:c>
      <x:c r="D106" t="str">
        <x:v>Dryer 4</x:v>
      </x:c>
      <x:c r="E106" t="str">
        <x:v>Sup 2</x:v>
      </x:c>
      <x:c r="F106" t="n">
        <x:v>450</x:v>
      </x:c>
      <x:c r="G106" t="n">
        <x:v>30</x:v>
      </x:c>
      <x:c r="H106" t="n">
        <x:v>54</x:v>
      </x:c>
      <x:c r="I106" t="n">
        <x:v>1779</x:v>
      </x:c>
      <x:c r="J106" t="n">
        <x:v>1587</x:v>
      </x:c>
      <x:c r="K106" t="n">
        <x:v>68</x:v>
      </x:c>
      <x:c r="L106" t="n">
        <x:v>21</x:v>
      </x:c>
      <x:c r="M106" t="n">
        <x:v>82</x:v>
      </x:c>
      <x:c r="N106" t="n">
        <x:v>81.1</x:v>
      </x:c>
      <x:c r="O106" t="n">
        <x:v>81.9</x:v>
      </x:c>
      <x:c r="P106" t="n">
        <x:v>5</x:v>
      </x:c>
      <x:c r="Q106" t="str">
        <x:v>No incident</x:v>
      </x:c>
      <x:c r="R106" t="str">
        <x:v>N/A</x:v>
      </x:c>
      <x:c r="S106" t="str">
        <x:v>Corrective</x:v>
      </x:c>
      <x:c r="T106" t="n">
        <x:v>1.49</x:v>
      </x:c>
      <x:c r="U106" t="n">
        <x:v>11.9</x:v>
      </x:c>
      <x:c r="V106" t="n">
        <x:f>IFERROR(J106/I106*100,0)</x:f>
        <x:v>89.20741989881957</x:v>
      </x:c>
      <x:c r="W106" t="n">
        <x:f>IFERROR(K106/J106*100,0)</x:f>
        <x:v>4.28481411468179</x:v>
      </x:c>
      <x:c r="X106" t="n">
        <x:f>IFERROR(H106/F106*100,0)</x:f>
        <x:v>12</x:v>
      </x:c>
      <x:c r="Y106" t="n">
        <x:f>J106-K106</x:f>
        <x:v>1519</x:v>
      </x:c>
      <x:c r="Z106" t="n">
        <x:f>MAX(0,MIN(100,(V106/100)*(1-X106/100)*(1-W106/100)*100))</x:f>
        <x:v>75.13884204609332</x:v>
      </x:c>
    </x:row>
    <x:row r="107">
      <x:c r="A107" s="12" t="n">
        <x:v>46062</x:v>
      </x:c>
      <x:c r="B107" t="str">
        <x:v>A</x:v>
      </x:c>
      <x:c r="C107" t="str">
        <x:v>Dried Mango</x:v>
      </x:c>
      <x:c r="D107" t="str">
        <x:v>Dryer 3</x:v>
      </x:c>
      <x:c r="E107" t="str">
        <x:v>Sup 3</x:v>
      </x:c>
      <x:c r="F107" t="n">
        <x:v>450</x:v>
      </x:c>
      <x:c r="G107" t="n">
        <x:v>40</x:v>
      </x:c>
      <x:c r="H107" t="n">
        <x:v>61</x:v>
      </x:c>
      <x:c r="I107" t="n">
        <x:v>1730</x:v>
      </x:c>
      <x:c r="J107" t="n">
        <x:v>1381</x:v>
      </x:c>
      <x:c r="K107" t="n">
        <x:v>76</x:v>
      </x:c>
      <x:c r="L107" t="n">
        <x:v>29</x:v>
      </x:c>
      <x:c r="M107" t="n">
        <x:v>92.1</x:v>
      </x:c>
      <x:c r="N107" t="n">
        <x:v>64.9</x:v>
      </x:c>
      <x:c r="O107" t="n">
        <x:v>73.4</x:v>
      </x:c>
      <x:c r="P107" t="n">
        <x:v>6</x:v>
      </x:c>
      <x:c r="Q107" t="str">
        <x:v>No incident</x:v>
      </x:c>
      <x:c r="R107" t="str">
        <x:v>N/A</x:v>
      </x:c>
      <x:c r="S107" t="str">
        <x:v>Corrective</x:v>
      </x:c>
      <x:c r="T107" t="n">
        <x:v>1.07</x:v>
      </x:c>
      <x:c r="U107" t="n">
        <x:v>12.1</x:v>
      </x:c>
      <x:c r="V107" t="n">
        <x:f>IFERROR(J107/I107*100,0)</x:f>
        <x:v>79.82658959537572</x:v>
      </x:c>
      <x:c r="W107" t="n">
        <x:f>IFERROR(K107/J107*100,0)</x:f>
        <x:v>5.503258508327299</x:v>
      </x:c>
      <x:c r="X107" t="n">
        <x:f>IFERROR(H107/F107*100,0)</x:f>
        <x:v>13.555555555555557</x:v>
      </x:c>
      <x:c r="Y107" t="n">
        <x:f>J107-K107</x:f>
        <x:v>1305</x:v>
      </x:c>
      <x:c r="Z107" t="n">
        <x:f>MAX(0,MIN(100,(V107/100)*(1-X107/100)*(1-W107/100)*100))</x:f>
        <x:v>65.20809248554913</x:v>
      </x:c>
    </x:row>
    <x:row r="108">
      <x:c r="A108" s="12" t="n">
        <x:v>46062</x:v>
      </x:c>
      <x:c r="B108" t="str">
        <x:v>B</x:v>
      </x:c>
      <x:c r="C108" t="str">
        <x:v>Desiccated Coconut</x:v>
      </x:c>
      <x:c r="D108" t="str">
        <x:v>Dryer 2</x:v>
      </x:c>
      <x:c r="E108" t="str">
        <x:v>Sup 2</x:v>
      </x:c>
      <x:c r="F108" t="n">
        <x:v>450</x:v>
      </x:c>
      <x:c r="G108" t="n">
        <x:v>40</x:v>
      </x:c>
      <x:c r="H108" t="n">
        <x:v>49</x:v>
      </x:c>
      <x:c r="I108" t="n">
        <x:v>1276</x:v>
      </x:c>
      <x:c r="J108" t="n">
        <x:v>1128</x:v>
      </x:c>
      <x:c r="K108" t="n">
        <x:v>19</x:v>
      </x:c>
      <x:c r="L108" t="n">
        <x:v>7</x:v>
      </x:c>
      <x:c r="M108" t="n">
        <x:v>87.8</x:v>
      </x:c>
      <x:c r="N108" t="n">
        <x:v>72.2</x:v>
      </x:c>
      <x:c r="O108" t="n">
        <x:v>80.6</x:v>
      </x:c>
      <x:c r="P108" t="n">
        <x:v>6</x:v>
      </x:c>
      <x:c r="Q108" t="str">
        <x:v>No incident</x:v>
      </x:c>
      <x:c r="R108" t="str">
        <x:v>N/A</x:v>
      </x:c>
      <x:c r="S108" t="str">
        <x:v>Inspection</x:v>
      </x:c>
      <x:c r="T108" t="n">
        <x:v>0.99</x:v>
      </x:c>
      <x:c r="U108" t="n">
        <x:v>8.8</x:v>
      </x:c>
      <x:c r="V108" t="n">
        <x:f>IFERROR(J108/I108*100,0)</x:f>
        <x:v>88.40125391849529</x:v>
      </x:c>
      <x:c r="W108" t="n">
        <x:f>IFERROR(K108/J108*100,0)</x:f>
        <x:v>1.6843971631205674</x:v>
      </x:c>
      <x:c r="X108" t="n">
        <x:f>IFERROR(H108/F108*100,0)</x:f>
        <x:v>10.888888888888888</x:v>
      </x:c>
      <x:c r="Y108" t="n">
        <x:f>J108-K108</x:f>
        <x:v>1109</x:v>
      </x:c>
      <x:c r="Z108" t="n">
        <x:f>MAX(0,MIN(100,(V108/100)*(1-X108/100)*(1-W108/100)*100))</x:f>
        <x:v>77.44845001741552</x:v>
      </x:c>
    </x:row>
    <x:row r="109">
      <x:c r="A109" s="12" t="n">
        <x:v>46062</x:v>
      </x:c>
      <x:c r="B109" t="str">
        <x:v>C</x:v>
      </x:c>
      <x:c r="C109" t="str">
        <x:v>Dried Mango</x:v>
      </x:c>
      <x:c r="D109" t="str">
        <x:v>Dryer 1</x:v>
      </x:c>
      <x:c r="E109" t="str">
        <x:v>Sup 3</x:v>
      </x:c>
      <x:c r="F109" t="n">
        <x:v>420</x:v>
      </x:c>
      <x:c r="G109" t="n">
        <x:v>40</x:v>
      </x:c>
      <x:c r="H109" t="n">
        <x:v>39</x:v>
      </x:c>
      <x:c r="I109" t="n">
        <x:v>1734</x:v>
      </x:c>
      <x:c r="J109" t="n">
        <x:v>1512</x:v>
      </x:c>
      <x:c r="K109" t="n">
        <x:v>70</x:v>
      </x:c>
      <x:c r="L109" t="n">
        <x:v>23</x:v>
      </x:c>
      <x:c r="M109" t="n">
        <x:v>89.4</x:v>
      </x:c>
      <x:c r="N109" t="n">
        <x:v>68</x:v>
      </x:c>
      <x:c r="O109" t="n">
        <x:v>76.6</x:v>
      </x:c>
      <x:c r="P109" t="n">
        <x:v>4</x:v>
      </x:c>
      <x:c r="Q109" t="str">
        <x:v>No incident</x:v>
      </x:c>
      <x:c r="R109" t="str">
        <x:v>N/A</x:v>
      </x:c>
      <x:c r="S109" t="str">
        <x:v>Inspection</x:v>
      </x:c>
      <x:c r="T109" t="n">
        <x:v>0.92</x:v>
      </x:c>
      <x:c r="U109" t="n">
        <x:v>11.8</x:v>
      </x:c>
      <x:c r="V109" t="n">
        <x:f>IFERROR(J109/I109*100,0)</x:f>
        <x:v>87.19723183391004</x:v>
      </x:c>
      <x:c r="W109" t="n">
        <x:f>IFERROR(K109/J109*100,0)</x:f>
        <x:v>4.62962962962963</x:v>
      </x:c>
      <x:c r="X109" t="n">
        <x:f>IFERROR(H109/F109*100,0)</x:f>
        <x:v>9.285714285714286</x:v>
      </x:c>
      <x:c r="Y109" t="n">
        <x:f>J109-K109</x:f>
        <x:v>1442</x:v>
      </x:c>
      <x:c r="Z109" t="n">
        <x:f>MAX(0,MIN(100,(V109/100)*(1-X109/100)*(1-W109/100)*100))</x:f>
        <x:v>75.43829296424452</x:v>
      </x:c>
    </x:row>
    <x:row r="110">
      <x:c r="A110" s="12" t="n">
        <x:v>46063</x:v>
      </x:c>
      <x:c r="B110" t="str">
        <x:v>A</x:v>
      </x:c>
      <x:c r="C110" t="str">
        <x:v>Dried Mango</x:v>
      </x:c>
      <x:c r="D110" t="str">
        <x:v>Dryer 3</x:v>
      </x:c>
      <x:c r="E110" t="str">
        <x:v>Sup 2</x:v>
      </x:c>
      <x:c r="F110" t="n">
        <x:v>420</x:v>
      </x:c>
      <x:c r="G110" t="n">
        <x:v>20</x:v>
      </x:c>
      <x:c r="H110" t="n">
        <x:v>54</x:v>
      </x:c>
      <x:c r="I110" t="n">
        <x:v>1652</x:v>
      </x:c>
      <x:c r="J110" t="n">
        <x:v>1324</x:v>
      </x:c>
      <x:c r="K110" t="n">
        <x:v>67</x:v>
      </x:c>
      <x:c r="L110" t="n">
        <x:v>26</x:v>
      </x:c>
      <x:c r="M110" t="n">
        <x:v>100</x:v>
      </x:c>
      <x:c r="N110" t="n">
        <x:v>75.1</x:v>
      </x:c>
      <x:c r="O110" t="n">
        <x:v>83.8</x:v>
      </x:c>
      <x:c r="P110" t="n">
        <x:v>2</x:v>
      </x:c>
      <x:c r="Q110" t="str">
        <x:v>No incident</x:v>
      </x:c>
      <x:c r="R110" t="str">
        <x:v>N/A</x:v>
      </x:c>
      <x:c r="S110" t="str">
        <x:v>Corrective</x:v>
      </x:c>
      <x:c r="T110" t="n">
        <x:v>1.61</x:v>
      </x:c>
      <x:c r="U110" t="n">
        <x:v>10.9</x:v>
      </x:c>
      <x:c r="V110" t="n">
        <x:f>IFERROR(J110/I110*100,0)</x:f>
        <x:v>80.1452784503632</x:v>
      </x:c>
      <x:c r="W110" t="n">
        <x:f>IFERROR(K110/J110*100,0)</x:f>
        <x:v>5.0604229607250755</x:v>
      </x:c>
      <x:c r="X110" t="n">
        <x:f>IFERROR(H110/F110*100,0)</x:f>
        <x:v>12.857142857142856</x:v>
      </x:c>
      <x:c r="Y110" t="n">
        <x:f>J110-K110</x:f>
        <x:v>1257</x:v>
      </x:c>
      <x:c r="Z110" t="n">
        <x:f>MAX(0,MIN(100,(V110/100)*(1-X110/100)*(1-W110/100)*100))</x:f>
        <x:v>66.30664130058803</x:v>
      </x:c>
    </x:row>
    <x:row r="111">
      <x:c r="A111" s="12" t="n">
        <x:v>46063</x:v>
      </x:c>
      <x:c r="B111" t="str">
        <x:v>B</x:v>
      </x:c>
      <x:c r="C111" t="str">
        <x:v>Desiccated Coconut</x:v>
      </x:c>
      <x:c r="D111" t="str">
        <x:v>Dryer 3</x:v>
      </x:c>
      <x:c r="E111" t="str">
        <x:v>Sup 2</x:v>
      </x:c>
      <x:c r="F111" t="n">
        <x:v>420</x:v>
      </x:c>
      <x:c r="G111" t="n">
        <x:v>20</x:v>
      </x:c>
      <x:c r="H111" t="n">
        <x:v>51</x:v>
      </x:c>
      <x:c r="I111" t="n">
        <x:v>1215</x:v>
      </x:c>
      <x:c r="J111" t="n">
        <x:v>1090</x:v>
      </x:c>
      <x:c r="K111" t="n">
        <x:v>47</x:v>
      </x:c>
      <x:c r="L111" t="n">
        <x:v>13</x:v>
      </x:c>
      <x:c r="M111" t="n">
        <x:v>94.5</x:v>
      </x:c>
      <x:c r="N111" t="n">
        <x:v>82.6</x:v>
      </x:c>
      <x:c r="O111" t="n">
        <x:v>87.8</x:v>
      </x:c>
      <x:c r="P111" t="n">
        <x:v>3</x:v>
      </x:c>
      <x:c r="Q111" t="str">
        <x:v>No incident</x:v>
      </x:c>
      <x:c r="R111" t="str">
        <x:v>N/A</x:v>
      </x:c>
      <x:c r="S111" t="str">
        <x:v>Preventive</x:v>
      </x:c>
      <x:c r="T111" t="n">
        <x:v>0.57</x:v>
      </x:c>
      <x:c r="U111" t="n">
        <x:v>8.9</x:v>
      </x:c>
      <x:c r="V111" t="n">
        <x:f>IFERROR(J111/I111*100,0)</x:f>
        <x:v>89.7119341563786</x:v>
      </x:c>
      <x:c r="W111" t="n">
        <x:f>IFERROR(K111/J111*100,0)</x:f>
        <x:v>4.3119266055045875</x:v>
      </x:c>
      <x:c r="X111" t="n">
        <x:f>IFERROR(H111/F111*100,0)</x:f>
        <x:v>12.142857142857142</x:v>
      </x:c>
      <x:c r="Y111" t="n">
        <x:f>J111-K111</x:f>
        <x:v>1043</x:v>
      </x:c>
      <x:c r="Z111" t="n">
        <x:f>MAX(0,MIN(100,(V111/100)*(1-X111/100)*(1-W111/100)*100))</x:f>
        <x:v>75.41975308641976</x:v>
      </x:c>
    </x:row>
    <x:row r="112">
      <x:c r="A112" s="12" t="n">
        <x:v>46063</x:v>
      </x:c>
      <x:c r="B112" t="str">
        <x:v>C</x:v>
      </x:c>
      <x:c r="C112" t="str">
        <x:v>Desiccated Coconut</x:v>
      </x:c>
      <x:c r="D112" t="str">
        <x:v>Dryer 2</x:v>
      </x:c>
      <x:c r="E112" t="str">
        <x:v>Sup 3</x:v>
      </x:c>
      <x:c r="F112" t="n">
        <x:v>450</x:v>
      </x:c>
      <x:c r="G112" t="n">
        <x:v>0</x:v>
      </x:c>
      <x:c r="H112" t="n">
        <x:v>42</x:v>
      </x:c>
      <x:c r="I112" t="n">
        <x:v>1162</x:v>
      </x:c>
      <x:c r="J112" t="n">
        <x:v>1087</x:v>
      </x:c>
      <x:c r="K112" t="n">
        <x:v>24</x:v>
      </x:c>
      <x:c r="L112" t="n">
        <x:v>4</x:v>
      </x:c>
      <x:c r="M112" t="n">
        <x:v>91.8</x:v>
      </x:c>
      <x:c r="N112" t="n">
        <x:v>81.1</x:v>
      </x:c>
      <x:c r="O112" t="n">
        <x:v>70.6</x:v>
      </x:c>
      <x:c r="P112" t="n">
        <x:v>0</x:v>
      </x:c>
      <x:c r="Q112" t="str">
        <x:v>No incident</x:v>
      </x:c>
      <x:c r="R112" t="str">
        <x:v>N/A</x:v>
      </x:c>
      <x:c r="S112" t="str">
        <x:v>Inspection</x:v>
      </x:c>
      <x:c r="T112" t="n">
        <x:v>1.09</x:v>
      </x:c>
      <x:c r="U112" t="n">
        <x:v>9.8</x:v>
      </x:c>
      <x:c r="V112" t="n">
        <x:f>IFERROR(J112/I112*100,0)</x:f>
        <x:v>93.54561101549054</x:v>
      </x:c>
      <x:c r="W112" t="n">
        <x:f>IFERROR(K112/J112*100,0)</x:f>
        <x:v>2.2079116835326587</x:v>
      </x:c>
      <x:c r="X112" t="n">
        <x:f>IFERROR(H112/F112*100,0)</x:f>
        <x:v>9.333333333333334</x:v>
      </x:c>
      <x:c r="Y112" t="n">
        <x:f>J112-K112</x:f>
        <x:v>1063</x:v>
      </x:c>
      <x:c r="Z112" t="n">
        <x:f>MAX(0,MIN(100,(V112/100)*(1-X112/100)*(1-W112/100)*100))</x:f>
        <x:v>82.94205393000573</x:v>
      </x:c>
    </x:row>
    <x:row r="113">
      <x:c r="A113" s="12" t="n">
        <x:v>46064</x:v>
      </x:c>
      <x:c r="B113" t="str">
        <x:v>A</x:v>
      </x:c>
      <x:c r="C113" t="str">
        <x:v>Desiccated Coconut</x:v>
      </x:c>
      <x:c r="D113" t="str">
        <x:v>Dryer 3</x:v>
      </x:c>
      <x:c r="E113" t="str">
        <x:v>Sup 3</x:v>
      </x:c>
      <x:c r="F113" t="n">
        <x:v>450</x:v>
      </x:c>
      <x:c r="G113" t="n">
        <x:v>30</x:v>
      </x:c>
      <x:c r="H113" t="n">
        <x:v>66</x:v>
      </x:c>
      <x:c r="I113" t="n">
        <x:v>1104</x:v>
      </x:c>
      <x:c r="J113" t="n">
        <x:v>829</x:v>
      </x:c>
      <x:c r="K113" t="n">
        <x:v>36</x:v>
      </x:c>
      <x:c r="L113" t="n">
        <x:v>14</x:v>
      </x:c>
      <x:c r="M113" t="n">
        <x:v>88.1</x:v>
      </x:c>
      <x:c r="N113" t="n">
        <x:v>84</x:v>
      </x:c>
      <x:c r="O113" t="n">
        <x:v>75.5</x:v>
      </x:c>
      <x:c r="P113" t="n">
        <x:v>2</x:v>
      </x:c>
      <x:c r="Q113" t="str">
        <x:v>No incident</x:v>
      </x:c>
      <x:c r="R113" t="str">
        <x:v>N/A</x:v>
      </x:c>
      <x:c r="S113" t="str">
        <x:v>Preventive</x:v>
      </x:c>
      <x:c r="T113" t="n">
        <x:v>1.18</x:v>
      </x:c>
      <x:c r="U113" t="n">
        <x:v>6.9</x:v>
      </x:c>
      <x:c r="V113" t="n">
        <x:f>IFERROR(J113/I113*100,0)</x:f>
        <x:v>75.09057971014492</x:v>
      </x:c>
      <x:c r="W113" t="n">
        <x:f>IFERROR(K113/J113*100,0)</x:f>
        <x:v>4.342581423401689</x:v>
      </x:c>
      <x:c r="X113" t="n">
        <x:f>IFERROR(H113/F113*100,0)</x:f>
        <x:v>14.666666666666666</x:v>
      </x:c>
      <x:c r="Y113" t="n">
        <x:f>J113-K113</x:f>
        <x:v>793</x:v>
      </x:c>
      <x:c r="Z113" t="n">
        <x:f>MAX(0,MIN(100,(V113/100)*(1-X113/100)*(1-W113/100)*100))</x:f>
        <x:v>61.29468599033815</x:v>
      </x:c>
    </x:row>
    <x:row r="114">
      <x:c r="A114" s="12" t="n">
        <x:v>46064</x:v>
      </x:c>
      <x:c r="B114" t="str">
        <x:v>B</x:v>
      </x:c>
      <x:c r="C114" t="str">
        <x:v>Dried Mango</x:v>
      </x:c>
      <x:c r="D114" t="str">
        <x:v>Dryer 3</x:v>
      </x:c>
      <x:c r="E114" t="str">
        <x:v>Sup 2</x:v>
      </x:c>
      <x:c r="F114" t="n">
        <x:v>450</x:v>
      </x:c>
      <x:c r="G114" t="n">
        <x:v>40</x:v>
      </x:c>
      <x:c r="H114" t="n">
        <x:v>72</x:v>
      </x:c>
      <x:c r="I114" t="n">
        <x:v>1576</x:v>
      </x:c>
      <x:c r="J114" t="n">
        <x:v>1207</x:v>
      </x:c>
      <x:c r="K114" t="n">
        <x:v>69</x:v>
      </x:c>
      <x:c r="L114" t="n">
        <x:v>15</x:v>
      </x:c>
      <x:c r="M114" t="n">
        <x:v>89.7</x:v>
      </x:c>
      <x:c r="N114" t="n">
        <x:v>86.1</x:v>
      </x:c>
      <x:c r="O114" t="n">
        <x:v>81.5</x:v>
      </x:c>
      <x:c r="P114" t="n">
        <x:v>4</x:v>
      </x:c>
      <x:c r="Q114" t="str">
        <x:v>Recordable</x:v>
      </x:c>
      <x:c r="R114" t="str">
        <x:v>In progress</x:v>
      </x:c>
      <x:c r="S114" t="str">
        <x:v>Preventive</x:v>
      </x:c>
      <x:c r="T114" t="n">
        <x:v>0.5</x:v>
      </x:c>
      <x:c r="U114" t="n">
        <x:v>9.7</x:v>
      </x:c>
      <x:c r="V114" t="n">
        <x:f>IFERROR(J114/I114*100,0)</x:f>
        <x:v>76.58629441624365</x:v>
      </x:c>
      <x:c r="W114" t="n">
        <x:f>IFERROR(K114/J114*100,0)</x:f>
        <x:v>5.716652858326429</x:v>
      </x:c>
      <x:c r="X114" t="n">
        <x:f>IFERROR(H114/F114*100,0)</x:f>
        <x:v>16</x:v>
      </x:c>
      <x:c r="Y114" t="n">
        <x:f>J114-K114</x:f>
        <x:v>1138</x:v>
      </x:c>
      <x:c r="Z114" t="n">
        <x:f>MAX(0,MIN(100,(V114/100)*(1-X114/100)*(1-W114/100)*100))</x:f>
        <x:v>60.65482233502537</x:v>
      </x:c>
    </x:row>
    <x:row r="115">
      <x:c r="A115" s="12" t="n">
        <x:v>46064</x:v>
      </x:c>
      <x:c r="B115" t="str">
        <x:v>C</x:v>
      </x:c>
      <x:c r="C115" t="str">
        <x:v>Dried Pineapple</x:v>
      </x:c>
      <x:c r="D115" t="str">
        <x:v>Dryer 3</x:v>
      </x:c>
      <x:c r="E115" t="str">
        <x:v>Sup 2</x:v>
      </x:c>
      <x:c r="F115" t="n">
        <x:v>420</x:v>
      </x:c>
      <x:c r="G115" t="n">
        <x:v>40</x:v>
      </x:c>
      <x:c r="H115" t="n">
        <x:v>59</x:v>
      </x:c>
      <x:c r="I115" t="n">
        <x:v>1813</x:v>
      </x:c>
      <x:c r="J115" t="n">
        <x:v>1417</x:v>
      </x:c>
      <x:c r="K115" t="n">
        <x:v>73</x:v>
      </x:c>
      <x:c r="L115" t="n">
        <x:v>30</x:v>
      </x:c>
      <x:c r="M115" t="n">
        <x:v>88.2</x:v>
      </x:c>
      <x:c r="N115" t="n">
        <x:v>63.7</x:v>
      </x:c>
      <x:c r="O115" t="n">
        <x:v>67.3</x:v>
      </x:c>
      <x:c r="P115" t="n">
        <x:v>1</x:v>
      </x:c>
      <x:c r="Q115" t="str">
        <x:v>Near miss</x:v>
      </x:c>
      <x:c r="R115" t="str">
        <x:v>In progress</x:v>
      </x:c>
      <x:c r="S115" t="str">
        <x:v>Preventive</x:v>
      </x:c>
      <x:c r="T115" t="n">
        <x:v>0.75</x:v>
      </x:c>
      <x:c r="U115" t="n">
        <x:v>12.5</x:v>
      </x:c>
      <x:c r="V115" t="n">
        <x:f>IFERROR(J115/I115*100,0)</x:f>
        <x:v>78.15774958632102</x:v>
      </x:c>
      <x:c r="W115" t="n">
        <x:f>IFERROR(K115/J115*100,0)</x:f>
        <x:v>5.151729004940014</x:v>
      </x:c>
      <x:c r="X115" t="n">
        <x:f>IFERROR(H115/F115*100,0)</x:f>
        <x:v>14.047619047619047</x:v>
      </x:c>
      <x:c r="Y115" t="n">
        <x:f>J115-K115</x:f>
        <x:v>1344</x:v>
      </x:c>
      <x:c r="Z115" t="n">
        <x:f>MAX(0,MIN(100,(V115/100)*(1-X115/100)*(1-W115/100)*100))</x:f>
        <x:v>63.71759514616658</x:v>
      </x:c>
    </x:row>
    <x:row r="116">
      <x:c r="A116" s="12" t="n">
        <x:v>46065</x:v>
      </x:c>
      <x:c r="B116" t="str">
        <x:v>A</x:v>
      </x:c>
      <x:c r="C116" t="str">
        <x:v>Dried Mango</x:v>
      </x:c>
      <x:c r="D116" t="str">
        <x:v>Dryer 1</x:v>
      </x:c>
      <x:c r="E116" t="str">
        <x:v>Sup 1</x:v>
      </x:c>
      <x:c r="F116" t="n">
        <x:v>420</x:v>
      </x:c>
      <x:c r="G116" t="n">
        <x:v>30</x:v>
      </x:c>
      <x:c r="H116" t="n">
        <x:v>48</x:v>
      </x:c>
      <x:c r="I116" t="n">
        <x:v>1697</x:v>
      </x:c>
      <x:c r="J116" t="n">
        <x:v>1530</x:v>
      </x:c>
      <x:c r="K116" t="n">
        <x:v>63</x:v>
      </x:c>
      <x:c r="L116" t="n">
        <x:v>35</x:v>
      </x:c>
      <x:c r="M116" t="n">
        <x:v>79.4</x:v>
      </x:c>
      <x:c r="N116" t="n">
        <x:v>78.5</x:v>
      </x:c>
      <x:c r="O116" t="n">
        <x:v>82.7</x:v>
      </x:c>
      <x:c r="P116" t="n">
        <x:v>3</x:v>
      </x:c>
      <x:c r="Q116" t="str">
        <x:v>No incident</x:v>
      </x:c>
      <x:c r="R116" t="str">
        <x:v>N/A</x:v>
      </x:c>
      <x:c r="S116" t="str">
        <x:v>Inspection</x:v>
      </x:c>
      <x:c r="T116" t="n">
        <x:v>0.76</x:v>
      </x:c>
      <x:c r="U116" t="n">
        <x:v>11.9</x:v>
      </x:c>
      <x:c r="V116" t="n">
        <x:f>IFERROR(J116/I116*100,0)</x:f>
        <x:v>90.15910430170891</x:v>
      </x:c>
      <x:c r="W116" t="n">
        <x:f>IFERROR(K116/J116*100,0)</x:f>
        <x:v>4.117647058823529</x:v>
      </x:c>
      <x:c r="X116" t="n">
        <x:f>IFERROR(H116/F116*100,0)</x:f>
        <x:v>11.428571428571429</x:v>
      </x:c>
      <x:c r="Y116" t="n">
        <x:f>J116-K116</x:f>
        <x:v>1467</x:v>
      </x:c>
      <x:c r="Z116" t="n">
        <x:f>MAX(0,MIN(100,(V116/100)*(1-X116/100)*(1-W116/100)*100))</x:f>
        <x:v>76.56705109857734</x:v>
      </x:c>
    </x:row>
    <x:row r="117">
      <x:c r="A117" s="12" t="n">
        <x:v>46065</x:v>
      </x:c>
      <x:c r="B117" t="str">
        <x:v>B</x:v>
      </x:c>
      <x:c r="C117" t="str">
        <x:v>Desiccated Coconut</x:v>
      </x:c>
      <x:c r="D117" t="str">
        <x:v>Dryer 3</x:v>
      </x:c>
      <x:c r="E117" t="str">
        <x:v>Sup 3</x:v>
      </x:c>
      <x:c r="F117" t="n">
        <x:v>480</x:v>
      </x:c>
      <x:c r="G117" t="n">
        <x:v>20</x:v>
      </x:c>
      <x:c r="H117" t="n">
        <x:v>52</x:v>
      </x:c>
      <x:c r="I117" t="n">
        <x:v>1124</x:v>
      </x:c>
      <x:c r="J117" t="n">
        <x:v>882</x:v>
      </x:c>
      <x:c r="K117" t="n">
        <x:v>35</x:v>
      </x:c>
      <x:c r="L117" t="n">
        <x:v>13</x:v>
      </x:c>
      <x:c r="M117" t="n">
        <x:v>82.9</x:v>
      </x:c>
      <x:c r="N117" t="n">
        <x:v>82.4</x:v>
      </x:c>
      <x:c r="O117" t="n">
        <x:v>66.9</x:v>
      </x:c>
      <x:c r="P117" t="n">
        <x:v>2</x:v>
      </x:c>
      <x:c r="Q117" t="str">
        <x:v>First aid</x:v>
      </x:c>
      <x:c r="R117" t="str">
        <x:v>In progress</x:v>
      </x:c>
      <x:c r="S117" t="str">
        <x:v>Inspection</x:v>
      </x:c>
      <x:c r="T117" t="n">
        <x:v>0.5</x:v>
      </x:c>
      <x:c r="U117" t="n">
        <x:v>7</x:v>
      </x:c>
      <x:c r="V117" t="n">
        <x:f>IFERROR(J117/I117*100,0)</x:f>
        <x:v>78.46975088967972</x:v>
      </x:c>
      <x:c r="W117" t="n">
        <x:f>IFERROR(K117/J117*100,0)</x:f>
        <x:v>3.968253968253968</x:v>
      </x:c>
      <x:c r="X117" t="n">
        <x:f>IFERROR(H117/F117*100,0)</x:f>
        <x:v>10.833333333333334</x:v>
      </x:c>
      <x:c r="Y117" t="n">
        <x:f>J117-K117</x:f>
        <x:v>847</x:v>
      </x:c>
      <x:c r="Z117" t="n">
        <x:f>MAX(0,MIN(100,(V117/100)*(1-X117/100)*(1-W117/100)*100))</x:f>
        <x:v>67.19231909845789</x:v>
      </x:c>
    </x:row>
    <x:row r="118">
      <x:c r="A118" s="12" t="n">
        <x:v>46065</x:v>
      </x:c>
      <x:c r="B118" t="str">
        <x:v>C</x:v>
      </x:c>
      <x:c r="C118" t="str">
        <x:v>Dried Mango</x:v>
      </x:c>
      <x:c r="D118" t="str">
        <x:v>Dryer 2</x:v>
      </x:c>
      <x:c r="E118" t="str">
        <x:v>Sup 1</x:v>
      </x:c>
      <x:c r="F118" t="n">
        <x:v>420</x:v>
      </x:c>
      <x:c r="G118" t="n">
        <x:v>0</x:v>
      </x:c>
      <x:c r="H118" t="n">
        <x:v>38</x:v>
      </x:c>
      <x:c r="I118" t="n">
        <x:v>1705</x:v>
      </x:c>
      <x:c r="J118" t="n">
        <x:v>1421</x:v>
      </x:c>
      <x:c r="K118" t="n">
        <x:v>46</x:v>
      </x:c>
      <x:c r="L118" t="n">
        <x:v>20</x:v>
      </x:c>
      <x:c r="M118" t="n">
        <x:v>79.5</x:v>
      </x:c>
      <x:c r="N118" t="n">
        <x:v>69.6</x:v>
      </x:c>
      <x:c r="O118" t="n">
        <x:v>86.4</x:v>
      </x:c>
      <x:c r="P118" t="n">
        <x:v>6</x:v>
      </x:c>
      <x:c r="Q118" t="str">
        <x:v>No incident</x:v>
      </x:c>
      <x:c r="R118" t="str">
        <x:v>N/A</x:v>
      </x:c>
      <x:c r="S118" t="str">
        <x:v>Preventive</x:v>
      </x:c>
      <x:c r="T118" t="n">
        <x:v>0.61</x:v>
      </x:c>
      <x:c r="U118" t="n">
        <x:v>11.4</x:v>
      </x:c>
      <x:c r="V118" t="n">
        <x:f>IFERROR(J118/I118*100,0)</x:f>
        <x:v>83.34310850439883</x:v>
      </x:c>
      <x:c r="W118" t="n">
        <x:f>IFERROR(K118/J118*100,0)</x:f>
        <x:v>3.2371569317382125</x:v>
      </x:c>
      <x:c r="X118" t="n">
        <x:f>IFERROR(H118/F118*100,0)</x:f>
        <x:v>9.047619047619047</x:v>
      </x:c>
      <x:c r="Y118" t="n">
        <x:f>J118-K118</x:f>
        <x:v>1375</x:v>
      </x:c>
      <x:c r="Z118" t="n">
        <x:f>MAX(0,MIN(100,(V118/100)*(1-X118/100)*(1-W118/100)*100))</x:f>
        <x:v>73.34869431643625</x:v>
      </x:c>
    </x:row>
    <x:row r="119">
      <x:c r="A119" s="12" t="n">
        <x:v>46066</x:v>
      </x:c>
      <x:c r="B119" t="str">
        <x:v>A</x:v>
      </x:c>
      <x:c r="C119" t="str">
        <x:v>Desiccated Coconut</x:v>
      </x:c>
      <x:c r="D119" t="str">
        <x:v>Dryer 2</x:v>
      </x:c>
      <x:c r="E119" t="str">
        <x:v>Sup 3</x:v>
      </x:c>
      <x:c r="F119" t="n">
        <x:v>450</x:v>
      </x:c>
      <x:c r="G119" t="n">
        <x:v>0</x:v>
      </x:c>
      <x:c r="H119" t="n">
        <x:v>44</x:v>
      </x:c>
      <x:c r="I119" t="n">
        <x:v>1289</x:v>
      </x:c>
      <x:c r="J119" t="n">
        <x:v>1165</x:v>
      </x:c>
      <x:c r="K119" t="n">
        <x:v>31</x:v>
      </x:c>
      <x:c r="L119" t="n">
        <x:v>10</x:v>
      </x:c>
      <x:c r="M119" t="n">
        <x:v>97</x:v>
      </x:c>
      <x:c r="N119" t="n">
        <x:v>71.8</x:v>
      </x:c>
      <x:c r="O119" t="n">
        <x:v>86.7</x:v>
      </x:c>
      <x:c r="P119" t="n">
        <x:v>2</x:v>
      </x:c>
      <x:c r="Q119" t="str">
        <x:v>No incident</x:v>
      </x:c>
      <x:c r="R119" t="str">
        <x:v>N/A</x:v>
      </x:c>
      <x:c r="S119" t="str">
        <x:v>Inspection</x:v>
      </x:c>
      <x:c r="T119" t="n">
        <x:v>1.21</x:v>
      </x:c>
      <x:c r="U119" t="n">
        <x:v>10.1</x:v>
      </x:c>
      <x:c r="V119" t="n">
        <x:f>IFERROR(J119/I119*100,0)</x:f>
        <x:v>90.38013964313421</x:v>
      </x:c>
      <x:c r="W119" t="n">
        <x:f>IFERROR(K119/J119*100,0)</x:f>
        <x:v>2.6609442060085837</x:v>
      </x:c>
      <x:c r="X119" t="n">
        <x:f>IFERROR(H119/F119*100,0)</x:f>
        <x:v>9.777777777777779</x:v>
      </x:c>
      <x:c r="Y119" t="n">
        <x:f>J119-K119</x:f>
        <x:v>1134</x:v>
      </x:c>
      <x:c r="Z119" t="n">
        <x:f>MAX(0,MIN(100,(V119/100)*(1-X119/100)*(1-W119/100)*100))</x:f>
        <x:v>79.37315748642358</x:v>
      </x:c>
    </x:row>
    <x:row r="120">
      <x:c r="A120" s="12" t="n">
        <x:v>46066</x:v>
      </x:c>
      <x:c r="B120" t="str">
        <x:v>B</x:v>
      </x:c>
      <x:c r="C120" t="str">
        <x:v>Dried Pineapple</x:v>
      </x:c>
      <x:c r="D120" t="str">
        <x:v>Dryer 1</x:v>
      </x:c>
      <x:c r="E120" t="str">
        <x:v>Sup 1</x:v>
      </x:c>
      <x:c r="F120" t="n">
        <x:v>480</x:v>
      </x:c>
      <x:c r="G120" t="n">
        <x:v>20</x:v>
      </x:c>
      <x:c r="H120" t="n">
        <x:v>21</x:v>
      </x:c>
      <x:c r="I120" t="n">
        <x:v>1835</x:v>
      </x:c>
      <x:c r="J120" t="n">
        <x:v>1629</x:v>
      </x:c>
      <x:c r="K120" t="n">
        <x:v>42</x:v>
      </x:c>
      <x:c r="L120" t="n">
        <x:v>27</x:v>
      </x:c>
      <x:c r="M120" t="n">
        <x:v>89.6</x:v>
      </x:c>
      <x:c r="N120" t="n">
        <x:v>72.2</x:v>
      </x:c>
      <x:c r="O120" t="n">
        <x:v>72.5</x:v>
      </x:c>
      <x:c r="P120" t="n">
        <x:v>3</x:v>
      </x:c>
      <x:c r="Q120" t="str">
        <x:v>No incident</x:v>
      </x:c>
      <x:c r="R120" t="str">
        <x:v>N/A</x:v>
      </x:c>
      <x:c r="S120" t="str">
        <x:v>Preventive</x:v>
      </x:c>
      <x:c r="T120" t="n">
        <x:v>1.04</x:v>
      </x:c>
      <x:c r="U120" t="n">
        <x:v>13</x:v>
      </x:c>
      <x:c r="V120" t="n">
        <x:f>IFERROR(J120/I120*100,0)</x:f>
        <x:v>88.77384196185287</x:v>
      </x:c>
      <x:c r="W120" t="n">
        <x:f>IFERROR(K120/J120*100,0)</x:f>
        <x:v>2.578268876611418</x:v>
      </x:c>
      <x:c r="X120" t="n">
        <x:f>IFERROR(H120/F120*100,0)</x:f>
        <x:v>4.375</x:v>
      </x:c>
      <x:c r="Y120" t="n">
        <x:f>J120-K120</x:f>
        <x:v>1587</x:v>
      </x:c>
      <x:c r="Z120" t="n">
        <x:f>MAX(0,MIN(100,(V120/100)*(1-X120/100)*(1-W120/100)*100))</x:f>
        <x:v>82.70129427792915</x:v>
      </x:c>
    </x:row>
    <x:row r="121">
      <x:c r="A121" s="12" t="n">
        <x:v>46066</x:v>
      </x:c>
      <x:c r="B121" t="str">
        <x:v>C</x:v>
      </x:c>
      <x:c r="C121" t="str">
        <x:v>Dried Mango</x:v>
      </x:c>
      <x:c r="D121" t="str">
        <x:v>Dryer 3</x:v>
      </x:c>
      <x:c r="E121" t="str">
        <x:v>Sup 2</x:v>
      </x:c>
      <x:c r="F121" t="n">
        <x:v>450</x:v>
      </x:c>
      <x:c r="G121" t="n">
        <x:v>30</x:v>
      </x:c>
      <x:c r="H121" t="n">
        <x:v>86</x:v>
      </x:c>
      <x:c r="I121" t="n">
        <x:v>1726</x:v>
      </x:c>
      <x:c r="J121" t="n">
        <x:v>1358</x:v>
      </x:c>
      <x:c r="K121" t="n">
        <x:v>68</x:v>
      </x:c>
      <x:c r="L121" t="n">
        <x:v>22</x:v>
      </x:c>
      <x:c r="M121" t="n">
        <x:v>87.4</x:v>
      </x:c>
      <x:c r="N121" t="n">
        <x:v>63.3</x:v>
      </x:c>
      <x:c r="O121" t="n">
        <x:v>65</x:v>
      </x:c>
      <x:c r="P121" t="n">
        <x:v>2</x:v>
      </x:c>
      <x:c r="Q121" t="str">
        <x:v>No incident</x:v>
      </x:c>
      <x:c r="R121" t="str">
        <x:v>N/A</x:v>
      </x:c>
      <x:c r="S121" t="str">
        <x:v>Preventive</x:v>
      </x:c>
      <x:c r="T121" t="n">
        <x:v>1.38</x:v>
      </x:c>
      <x:c r="U121" t="n">
        <x:v>11.5</x:v>
      </x:c>
      <x:c r="V121" t="n">
        <x:f>IFERROR(J121/I121*100,0)</x:f>
        <x:v>78.67902665121669</x:v>
      </x:c>
      <x:c r="W121" t="n">
        <x:f>IFERROR(K121/J121*100,0)</x:f>
        <x:v>5.007363770250368</x:v>
      </x:c>
      <x:c r="X121" t="n">
        <x:f>IFERROR(H121/F121*100,0)</x:f>
        <x:v>19.11111111111111</x:v>
      </x:c>
      <x:c r="Y121" t="n">
        <x:f>J121-K121</x:f>
        <x:v>1290</x:v>
      </x:c>
      <x:c r="Z121" t="n">
        <x:f>MAX(0,MIN(100,(V121/100)*(1-X121/100)*(1-W121/100)*100))</x:f>
        <x:v>60.45577443028195</x:v>
      </x:c>
    </x:row>
    <x:row r="122">
      <x:c r="A122" s="12" t="n">
        <x:v>46067</x:v>
      </x:c>
      <x:c r="B122" t="str">
        <x:v>A</x:v>
      </x:c>
      <x:c r="C122" t="str">
        <x:v>Dried Pineapple</x:v>
      </x:c>
      <x:c r="D122" t="str">
        <x:v>Dryer 1</x:v>
      </x:c>
      <x:c r="E122" t="str">
        <x:v>Sup 2</x:v>
      </x:c>
      <x:c r="F122" t="n">
        <x:v>480</x:v>
      </x:c>
      <x:c r="G122" t="n">
        <x:v>20</x:v>
      </x:c>
      <x:c r="H122" t="n">
        <x:v>35</x:v>
      </x:c>
      <x:c r="I122" t="n">
        <x:v>1863</x:v>
      </x:c>
      <x:c r="J122" t="n">
        <x:v>1548</x:v>
      </x:c>
      <x:c r="K122" t="n">
        <x:v>37</x:v>
      </x:c>
      <x:c r="L122" t="n">
        <x:v>10</x:v>
      </x:c>
      <x:c r="M122" t="n">
        <x:v>91</x:v>
      </x:c>
      <x:c r="N122" t="n">
        <x:v>78.8</x:v>
      </x:c>
      <x:c r="O122" t="n">
        <x:v>69.9</x:v>
      </x:c>
      <x:c r="P122" t="n">
        <x:v>5</x:v>
      </x:c>
      <x:c r="Q122" t="str">
        <x:v>No incident</x:v>
      </x:c>
      <x:c r="R122" t="str">
        <x:v>N/A</x:v>
      </x:c>
      <x:c r="S122" t="str">
        <x:v>Preventive</x:v>
      </x:c>
      <x:c r="T122" t="n">
        <x:v>0.92</x:v>
      </x:c>
      <x:c r="U122" t="n">
        <x:v>13.9</x:v>
      </x:c>
      <x:c r="V122" t="n">
        <x:f>IFERROR(J122/I122*100,0)</x:f>
        <x:v>83.09178743961353</x:v>
      </x:c>
      <x:c r="W122" t="n">
        <x:f>IFERROR(K122/J122*100,0)</x:f>
        <x:v>2.3901808785529712</x:v>
      </x:c>
      <x:c r="X122" t="n">
        <x:f>IFERROR(H122/F122*100,0)</x:f>
        <x:v>7.291666666666667</x:v>
      </x:c>
      <x:c r="Y122" t="n">
        <x:f>J122-K122</x:f>
        <x:v>1511</x:v>
      </x:c>
      <x:c r="Z122" t="n">
        <x:f>MAX(0,MIN(100,(V122/100)*(1-X122/100)*(1-W122/100)*100))</x:f>
        <x:v>75.19178296654144</x:v>
      </x:c>
    </x:row>
    <x:row r="123">
      <x:c r="A123" s="12" t="n">
        <x:v>46067</x:v>
      </x:c>
      <x:c r="B123" t="str">
        <x:v>B</x:v>
      </x:c>
      <x:c r="C123" t="str">
        <x:v>Dried Pineapple</x:v>
      </x:c>
      <x:c r="D123" t="str">
        <x:v>Dryer 3</x:v>
      </x:c>
      <x:c r="E123" t="str">
        <x:v>Sup 1</x:v>
      </x:c>
      <x:c r="F123" t="n">
        <x:v>480</x:v>
      </x:c>
      <x:c r="G123" t="n">
        <x:v>30</x:v>
      </x:c>
      <x:c r="H123" t="n">
        <x:v>50</x:v>
      </x:c>
      <x:c r="I123" t="n">
        <x:v>1840</x:v>
      </x:c>
      <x:c r="J123" t="n">
        <x:v>1610</x:v>
      </x:c>
      <x:c r="K123" t="n">
        <x:v>67</x:v>
      </x:c>
      <x:c r="L123" t="n">
        <x:v>35</x:v>
      </x:c>
      <x:c r="M123" t="n">
        <x:v>92.9</x:v>
      </x:c>
      <x:c r="N123" t="n">
        <x:v>62.7</x:v>
      </x:c>
      <x:c r="O123" t="n">
        <x:v>72.8</x:v>
      </x:c>
      <x:c r="P123" t="n">
        <x:v>5</x:v>
      </x:c>
      <x:c r="Q123" t="str">
        <x:v>No incident</x:v>
      </x:c>
      <x:c r="R123" t="str">
        <x:v>N/A</x:v>
      </x:c>
      <x:c r="S123" t="str">
        <x:v>Inspection</x:v>
      </x:c>
      <x:c r="T123" t="n">
        <x:v>1.24</x:v>
      </x:c>
      <x:c r="U123" t="n">
        <x:v>12.1</x:v>
      </x:c>
      <x:c r="V123" t="n">
        <x:f>IFERROR(J123/I123*100,0)</x:f>
        <x:v>87.5</x:v>
      </x:c>
      <x:c r="W123" t="n">
        <x:f>IFERROR(K123/J123*100,0)</x:f>
        <x:v>4.161490683229814</x:v>
      </x:c>
      <x:c r="X123" t="n">
        <x:f>IFERROR(H123/F123*100,0)</x:f>
        <x:v>10.416666666666668</x:v>
      </x:c>
      <x:c r="Y123" t="n">
        <x:f>J123-K123</x:f>
        <x:v>1543</x:v>
      </x:c>
      <x:c r="Z123" t="n">
        <x:f>MAX(0,MIN(100,(V123/100)*(1-X123/100)*(1-W123/100)*100))</x:f>
        <x:v>75.12341485507245</x:v>
      </x:c>
    </x:row>
    <x:row r="124">
      <x:c r="A124" s="12" t="n">
        <x:v>46067</x:v>
      </x:c>
      <x:c r="B124" t="str">
        <x:v>C</x:v>
      </x:c>
      <x:c r="C124" t="str">
        <x:v>Desiccated Coconut</x:v>
      </x:c>
      <x:c r="D124" t="str">
        <x:v>Dryer 2</x:v>
      </x:c>
      <x:c r="E124" t="str">
        <x:v>Sup 1</x:v>
      </x:c>
      <x:c r="F124" t="n">
        <x:v>480</x:v>
      </x:c>
      <x:c r="G124" t="n">
        <x:v>30</x:v>
      </x:c>
      <x:c r="H124" t="n">
        <x:v>66</x:v>
      </x:c>
      <x:c r="I124" t="n">
        <x:v>1289</x:v>
      </x:c>
      <x:c r="J124" t="n">
        <x:v>1059</x:v>
      </x:c>
      <x:c r="K124" t="n">
        <x:v>37</x:v>
      </x:c>
      <x:c r="L124" t="n">
        <x:v>24</x:v>
      </x:c>
      <x:c r="M124" t="n">
        <x:v>92.3</x:v>
      </x:c>
      <x:c r="N124" t="n">
        <x:v>76.5</x:v>
      </x:c>
      <x:c r="O124" t="n">
        <x:v>79.1</x:v>
      </x:c>
      <x:c r="P124" t="n">
        <x:v>6</x:v>
      </x:c>
      <x:c r="Q124" t="str">
        <x:v>No incident</x:v>
      </x:c>
      <x:c r="R124" t="str">
        <x:v>N/A</x:v>
      </x:c>
      <x:c r="S124" t="str">
        <x:v>Corrective</x:v>
      </x:c>
      <x:c r="T124" t="n">
        <x:v>0.76</x:v>
      </x:c>
      <x:c r="U124" t="n">
        <x:v>9.2</x:v>
      </x:c>
      <x:c r="V124" t="n">
        <x:f>IFERROR(J124/I124*100,0)</x:f>
        <x:v>82.15671062839411</x:v>
      </x:c>
      <x:c r="W124" t="n">
        <x:f>IFERROR(K124/J124*100,0)</x:f>
        <x:v>3.493862134088763</x:v>
      </x:c>
      <x:c r="X124" t="n">
        <x:f>IFERROR(H124/F124*100,0)</x:f>
        <x:v>13.750000000000002</x:v>
      </x:c>
      <x:c r="Y124" t="n">
        <x:f>J124-K124</x:f>
        <x:v>1022</x:v>
      </x:c>
      <x:c r="Z124" t="n">
        <x:f>MAX(0,MIN(100,(V124/100)*(1-X124/100)*(1-W124/100)*100))</x:f>
        <x:v>68.38440651667959</x:v>
      </x:c>
    </x:row>
    <x:row r="125">
      <x:c r="A125" s="12" t="n">
        <x:v>46068</x:v>
      </x:c>
      <x:c r="B125" t="str">
        <x:v>A</x:v>
      </x:c>
      <x:c r="C125" t="str">
        <x:v>Desiccated Coconut</x:v>
      </x:c>
      <x:c r="D125" t="str">
        <x:v>Dryer 3</x:v>
      </x:c>
      <x:c r="E125" t="str">
        <x:v>Sup 2</x:v>
      </x:c>
      <x:c r="F125" t="n">
        <x:v>450</x:v>
      </x:c>
      <x:c r="G125" t="n">
        <x:v>40</x:v>
      </x:c>
      <x:c r="H125" t="n">
        <x:v>39</x:v>
      </x:c>
      <x:c r="I125" t="n">
        <x:v>1179</x:v>
      </x:c>
      <x:c r="J125" t="n">
        <x:v>1027</x:v>
      </x:c>
      <x:c r="K125" t="n">
        <x:v>44</x:v>
      </x:c>
      <x:c r="L125" t="n">
        <x:v>12</x:v>
      </x:c>
      <x:c r="M125" t="n">
        <x:v>92.9</x:v>
      </x:c>
      <x:c r="N125" t="n">
        <x:v>70</x:v>
      </x:c>
      <x:c r="O125" t="n">
        <x:v>59.8</x:v>
      </x:c>
      <x:c r="P125" t="n">
        <x:v>3</x:v>
      </x:c>
      <x:c r="Q125" t="str">
        <x:v>No incident</x:v>
      </x:c>
      <x:c r="R125" t="str">
        <x:v>N/A</x:v>
      </x:c>
      <x:c r="S125" t="str">
        <x:v>Preventive</x:v>
      </x:c>
      <x:c r="T125" t="n">
        <x:v>0.54</x:v>
      </x:c>
      <x:c r="U125" t="n">
        <x:v>9</x:v>
      </x:c>
      <x:c r="V125" t="n">
        <x:f>IFERROR(J125/I125*100,0)</x:f>
        <x:v>87.10771840542833</x:v>
      </x:c>
      <x:c r="W125" t="n">
        <x:f>IFERROR(K125/J125*100,0)</x:f>
        <x:v>4.284323271665044</x:v>
      </x:c>
      <x:c r="X125" t="n">
        <x:f>IFERROR(H125/F125*100,0)</x:f>
        <x:v>8.666666666666668</x:v>
      </x:c>
      <x:c r="Y125" t="n">
        <x:f>J125-K125</x:f>
        <x:v>983</x:v>
      </x:c>
      <x:c r="Z125" t="n">
        <x:f>MAX(0,MIN(100,(V125/100)*(1-X125/100)*(1-W125/100)*100))</x:f>
        <x:v>76.14984450098954</x:v>
      </x:c>
    </x:row>
    <x:row r="126">
      <x:c r="A126" s="12" t="n">
        <x:v>46068</x:v>
      </x:c>
      <x:c r="B126" t="str">
        <x:v>B</x:v>
      </x:c>
      <x:c r="C126" t="str">
        <x:v>Dried Mango</x:v>
      </x:c>
      <x:c r="D126" t="str">
        <x:v>Dryer 3</x:v>
      </x:c>
      <x:c r="E126" t="str">
        <x:v>Sup 1</x:v>
      </x:c>
      <x:c r="F126" t="n">
        <x:v>450</x:v>
      </x:c>
      <x:c r="G126" t="n">
        <x:v>20</x:v>
      </x:c>
      <x:c r="H126" t="n">
        <x:v>57</x:v>
      </x:c>
      <x:c r="I126" t="n">
        <x:v>1753</x:v>
      </x:c>
      <x:c r="J126" t="n">
        <x:v>1339</x:v>
      </x:c>
      <x:c r="K126" t="n">
        <x:v>66</x:v>
      </x:c>
      <x:c r="L126" t="n">
        <x:v>15</x:v>
      </x:c>
      <x:c r="M126" t="n">
        <x:v>86.9</x:v>
      </x:c>
      <x:c r="N126" t="n">
        <x:v>62.8</x:v>
      </x:c>
      <x:c r="O126" t="n">
        <x:v>76.2</x:v>
      </x:c>
      <x:c r="P126" t="n">
        <x:v>4</x:v>
      </x:c>
      <x:c r="Q126" t="str">
        <x:v>Near miss</x:v>
      </x:c>
      <x:c r="R126" t="str">
        <x:v>Closed</x:v>
      </x:c>
      <x:c r="S126" t="str">
        <x:v>Inspection</x:v>
      </x:c>
      <x:c r="T126" t="n">
        <x:v>0.5</x:v>
      </x:c>
      <x:c r="U126" t="n">
        <x:v>11.8</x:v>
      </x:c>
      <x:c r="V126" t="n">
        <x:f>IFERROR(J126/I126*100,0)</x:f>
        <x:v>76.38334284084426</x:v>
      </x:c>
      <x:c r="W126" t="n">
        <x:f>IFERROR(K126/J126*100,0)</x:f>
        <x:v>4.929051530993279</x:v>
      </x:c>
      <x:c r="X126" t="n">
        <x:f>IFERROR(H126/F126*100,0)</x:f>
        <x:v>12.666666666666668</x:v>
      </x:c>
      <x:c r="Y126" t="n">
        <x:f>J126-K126</x:f>
        <x:v>1273</x:v>
      </x:c>
      <x:c r="Z126" t="n">
        <x:f>MAX(0,MIN(100,(V126/100)*(1-X126/100)*(1-W126/100)*100))</x:f>
        <x:v>63.4200418330481</x:v>
      </x:c>
    </x:row>
    <x:row r="127">
      <x:c r="A127" s="12" t="n">
        <x:v>46068</x:v>
      </x:c>
      <x:c r="B127" t="str">
        <x:v>C</x:v>
      </x:c>
      <x:c r="C127" t="str">
        <x:v>Dried Pineapple</x:v>
      </x:c>
      <x:c r="D127" t="str">
        <x:v>Dryer 2</x:v>
      </x:c>
      <x:c r="E127" t="str">
        <x:v>Sup 1</x:v>
      </x:c>
      <x:c r="F127" t="n">
        <x:v>480</x:v>
      </x:c>
      <x:c r="G127" t="n">
        <x:v>20</x:v>
      </x:c>
      <x:c r="H127" t="n">
        <x:v>15</x:v>
      </x:c>
      <x:c r="I127" t="n">
        <x:v>1825</x:v>
      </x:c>
      <x:c r="J127" t="n">
        <x:v>1567</x:v>
      </x:c>
      <x:c r="K127" t="n">
        <x:v>35</x:v>
      </x:c>
      <x:c r="L127" t="n">
        <x:v>24</x:v>
      </x:c>
      <x:c r="M127" t="n">
        <x:v>77.5</x:v>
      </x:c>
      <x:c r="N127" t="n">
        <x:v>66.9</x:v>
      </x:c>
      <x:c r="O127" t="n">
        <x:v>71.3</x:v>
      </x:c>
      <x:c r="P127" t="n">
        <x:v>3</x:v>
      </x:c>
      <x:c r="Q127" t="str">
        <x:v>Near miss</x:v>
      </x:c>
      <x:c r="R127" t="str">
        <x:v>Closed</x:v>
      </x:c>
      <x:c r="S127" t="str">
        <x:v>Preventive</x:v>
      </x:c>
      <x:c r="T127" t="n">
        <x:v>0.73</x:v>
      </x:c>
      <x:c r="U127" t="n">
        <x:v>13.4</x:v>
      </x:c>
      <x:c r="V127" t="n">
        <x:f>IFERROR(J127/I127*100,0)</x:f>
        <x:v>85.86301369863014</x:v>
      </x:c>
      <x:c r="W127" t="n">
        <x:f>IFERROR(K127/J127*100,0)</x:f>
        <x:v>2.2335673261008293</x:v>
      </x:c>
      <x:c r="X127" t="n">
        <x:f>IFERROR(H127/F127*100,0)</x:f>
        <x:v>3.125</x:v>
      </x:c>
      <x:c r="Y127" t="n">
        <x:f>J127-K127</x:f>
        <x:v>1532</x:v>
      </x:c>
      <x:c r="Z127" t="n">
        <x:f>MAX(0,MIN(100,(V127/100)*(1-X127/100)*(1-W127/100)*100))</x:f>
        <x:v>81.32191780821918</x:v>
      </x:c>
    </x:row>
    <x:row r="128">
      <x:c r="A128" s="12" t="n">
        <x:v>46069</x:v>
      </x:c>
      <x:c r="B128" t="str">
        <x:v>A</x:v>
      </x:c>
      <x:c r="C128" t="str">
        <x:v>Dried Pineapple</x:v>
      </x:c>
      <x:c r="D128" t="str">
        <x:v>Dryer 2</x:v>
      </x:c>
      <x:c r="E128" t="str">
        <x:v>Sup 1</x:v>
      </x:c>
      <x:c r="F128" t="n">
        <x:v>480</x:v>
      </x:c>
      <x:c r="G128" t="n">
        <x:v>0</x:v>
      </x:c>
      <x:c r="H128" t="n">
        <x:v>43</x:v>
      </x:c>
      <x:c r="I128" t="n">
        <x:v>1810</x:v>
      </x:c>
      <x:c r="J128" t="n">
        <x:v>1560</x:v>
      </x:c>
      <x:c r="K128" t="n">
        <x:v>64</x:v>
      </x:c>
      <x:c r="L128" t="n">
        <x:v>24</x:v>
      </x:c>
      <x:c r="M128" t="n">
        <x:v>90.2</x:v>
      </x:c>
      <x:c r="N128" t="n">
        <x:v>70.3</x:v>
      </x:c>
      <x:c r="O128" t="n">
        <x:v>75.9</x:v>
      </x:c>
      <x:c r="P128" t="n">
        <x:v>0</x:v>
      </x:c>
      <x:c r="Q128" t="str">
        <x:v>No incident</x:v>
      </x:c>
      <x:c r="R128" t="str">
        <x:v>N/A</x:v>
      </x:c>
      <x:c r="S128" t="str">
        <x:v>Inspection</x:v>
      </x:c>
      <x:c r="T128" t="n">
        <x:v>0.63</x:v>
      </x:c>
      <x:c r="U128" t="n">
        <x:v>14.1</x:v>
      </x:c>
      <x:c r="V128" t="n">
        <x:f>IFERROR(J128/I128*100,0)</x:f>
        <x:v>86.1878453038674</x:v>
      </x:c>
      <x:c r="W128" t="n">
        <x:f>IFERROR(K128/J128*100,0)</x:f>
        <x:v>4.102564102564102</x:v>
      </x:c>
      <x:c r="X128" t="n">
        <x:f>IFERROR(H128/F128*100,0)</x:f>
        <x:v>8.958333333333334</x:v>
      </x:c>
      <x:c r="Y128" t="n">
        <x:f>J128-K128</x:f>
        <x:v>1496</x:v>
      </x:c>
      <x:c r="Z128" t="n">
        <x:f>MAX(0,MIN(100,(V128/100)*(1-X128/100)*(1-W128/100)*100))</x:f>
        <x:v>75.24769797421732</x:v>
      </x:c>
    </x:row>
    <x:row r="129">
      <x:c r="A129" s="12" t="n">
        <x:v>46069</x:v>
      </x:c>
      <x:c r="B129" t="str">
        <x:v>B</x:v>
      </x:c>
      <x:c r="C129" t="str">
        <x:v>Desiccated Coconut</x:v>
      </x:c>
      <x:c r="D129" t="str">
        <x:v>Dryer 1</x:v>
      </x:c>
      <x:c r="E129" t="str">
        <x:v>Sup 2</x:v>
      </x:c>
      <x:c r="F129" t="n">
        <x:v>480</x:v>
      </x:c>
      <x:c r="G129" t="n">
        <x:v>40</x:v>
      </x:c>
      <x:c r="H129" t="n">
        <x:v>21</x:v>
      </x:c>
      <x:c r="I129" t="n">
        <x:v>1129</x:v>
      </x:c>
      <x:c r="J129" t="n">
        <x:v>1084</x:v>
      </x:c>
      <x:c r="K129" t="n">
        <x:v>35</x:v>
      </x:c>
      <x:c r="L129" t="n">
        <x:v>23</x:v>
      </x:c>
      <x:c r="M129" t="n">
        <x:v>94.5</x:v>
      </x:c>
      <x:c r="N129" t="n">
        <x:v>73.3</x:v>
      </x:c>
      <x:c r="O129" t="n">
        <x:v>76.9</x:v>
      </x:c>
      <x:c r="P129" t="n">
        <x:v>2</x:v>
      </x:c>
      <x:c r="Q129" t="str">
        <x:v>No incident</x:v>
      </x:c>
      <x:c r="R129" t="str">
        <x:v>N/A</x:v>
      </x:c>
      <x:c r="S129" t="str">
        <x:v>Preventive</x:v>
      </x:c>
      <x:c r="T129" t="n">
        <x:v>1.2</x:v>
      </x:c>
      <x:c r="U129" t="n">
        <x:v>8.2</x:v>
      </x:c>
      <x:c r="V129" t="n">
        <x:f>IFERROR(J129/I129*100,0)</x:f>
        <x:v>96.01417183348096</x:v>
      </x:c>
      <x:c r="W129" t="n">
        <x:f>IFERROR(K129/J129*100,0)</x:f>
        <x:v>3.2287822878228782</x:v>
      </x:c>
      <x:c r="X129" t="n">
        <x:f>IFERROR(H129/F129*100,0)</x:f>
        <x:v>4.375</x:v>
      </x:c>
      <x:c r="Y129" t="n">
        <x:f>J129-K129</x:f>
        <x:v>1049</x:v>
      </x:c>
      <x:c r="Z129" t="n">
        <x:f>MAX(0,MIN(100,(V129/100)*(1-X129/100)*(1-W129/100)*100))</x:f>
        <x:v>88.84909211691763</x:v>
      </x:c>
    </x:row>
    <x:row r="130">
      <x:c r="A130" s="12" t="n">
        <x:v>46069</x:v>
      </x:c>
      <x:c r="B130" t="str">
        <x:v>C</x:v>
      </x:c>
      <x:c r="C130" t="str">
        <x:v>Dried Pineapple</x:v>
      </x:c>
      <x:c r="D130" t="str">
        <x:v>Dryer 2</x:v>
      </x:c>
      <x:c r="E130" t="str">
        <x:v>Sup 3</x:v>
      </x:c>
      <x:c r="F130" t="n">
        <x:v>480</x:v>
      </x:c>
      <x:c r="G130" t="n">
        <x:v>40</x:v>
      </x:c>
      <x:c r="H130" t="n">
        <x:v>38</x:v>
      </x:c>
      <x:c r="I130" t="n">
        <x:v>1638</x:v>
      </x:c>
      <x:c r="J130" t="n">
        <x:v>1374</x:v>
      </x:c>
      <x:c r="K130" t="n">
        <x:v>35</x:v>
      </x:c>
      <x:c r="L130" t="n">
        <x:v>12</x:v>
      </x:c>
      <x:c r="M130" t="n">
        <x:v>82</x:v>
      </x:c>
      <x:c r="N130" t="n">
        <x:v>72.1</x:v>
      </x:c>
      <x:c r="O130" t="n">
        <x:v>78.5</x:v>
      </x:c>
      <x:c r="P130" t="n">
        <x:v>3</x:v>
      </x:c>
      <x:c r="Q130" t="str">
        <x:v>No incident</x:v>
      </x:c>
      <x:c r="R130" t="str">
        <x:v>N/A</x:v>
      </x:c>
      <x:c r="S130" t="str">
        <x:v>Inspection</x:v>
      </x:c>
      <x:c r="T130" t="n">
        <x:v>1.43</x:v>
      </x:c>
      <x:c r="U130" t="n">
        <x:v>12.6</x:v>
      </x:c>
      <x:c r="V130" t="n">
        <x:f>IFERROR(J130/I130*100,0)</x:f>
        <x:v>83.88278388278388</x:v>
      </x:c>
      <x:c r="W130" t="n">
        <x:f>IFERROR(K130/J130*100,0)</x:f>
        <x:v>2.547307132459971</x:v>
      </x:c>
      <x:c r="X130" t="n">
        <x:f>IFERROR(H130/F130*100,0)</x:f>
        <x:v>7.916666666666666</x:v>
      </x:c>
      <x:c r="Y130" t="n">
        <x:f>J130-K130</x:f>
        <x:v>1339</x:v>
      </x:c>
      <x:c r="Z130" t="n">
        <x:f>MAX(0,MIN(100,(V130/100)*(1-X130/100)*(1-W130/100)*100))</x:f>
        <x:v>75.2744708994709</x:v>
      </x:c>
    </x:row>
    <x:row r="131">
      <x:c r="A131" s="12" t="n">
        <x:v>46070</x:v>
      </x:c>
      <x:c r="B131" t="str">
        <x:v>A</x:v>
      </x:c>
      <x:c r="C131" t="str">
        <x:v>Dried Mango</x:v>
      </x:c>
      <x:c r="D131" t="str">
        <x:v>Dryer 2</x:v>
      </x:c>
      <x:c r="E131" t="str">
        <x:v>Sup 2</x:v>
      </x:c>
      <x:c r="F131" t="n">
        <x:v>420</x:v>
      </x:c>
      <x:c r="G131" t="n">
        <x:v>30</x:v>
      </x:c>
      <x:c r="H131" t="n">
        <x:v>37</x:v>
      </x:c>
      <x:c r="I131" t="n">
        <x:v>1737</x:v>
      </x:c>
      <x:c r="J131" t="n">
        <x:v>1390</x:v>
      </x:c>
      <x:c r="K131" t="n">
        <x:v>46</x:v>
      </x:c>
      <x:c r="L131" t="n">
        <x:v>20</x:v>
      </x:c>
      <x:c r="M131" t="n">
        <x:v>100</x:v>
      </x:c>
      <x:c r="N131" t="n">
        <x:v>71.8</x:v>
      </x:c>
      <x:c r="O131" t="n">
        <x:v>72.2</x:v>
      </x:c>
      <x:c r="P131" t="n">
        <x:v>3</x:v>
      </x:c>
      <x:c r="Q131" t="str">
        <x:v>No incident</x:v>
      </x:c>
      <x:c r="R131" t="str">
        <x:v>N/A</x:v>
      </x:c>
      <x:c r="S131" t="str">
        <x:v>Corrective</x:v>
      </x:c>
      <x:c r="T131" t="n">
        <x:v>1.13</x:v>
      </x:c>
      <x:c r="U131" t="n">
        <x:v>12.4</x:v>
      </x:c>
      <x:c r="V131" t="n">
        <x:f>IFERROR(J131/I131*100,0)</x:f>
        <x:v>80.02302820955671</x:v>
      </x:c>
      <x:c r="W131" t="n">
        <x:f>IFERROR(K131/J131*100,0)</x:f>
        <x:v>3.3093525179856114</x:v>
      </x:c>
      <x:c r="X131" t="n">
        <x:f>IFERROR(H131/F131*100,0)</x:f>
        <x:v>8.80952380952381</x:v>
      </x:c>
      <x:c r="Y131" t="n">
        <x:f>J131-K131</x:f>
        <x:v>1344</x:v>
      </x:c>
      <x:c r="Z131" t="n">
        <x:f>MAX(0,MIN(100,(V131/100)*(1-X131/100)*(1-W131/100)*100))</x:f>
        <x:v>70.55843408175015</x:v>
      </x:c>
    </x:row>
    <x:row r="132">
      <x:c r="A132" s="12" t="n">
        <x:v>46070</x:v>
      </x:c>
      <x:c r="B132" t="str">
        <x:v>B</x:v>
      </x:c>
      <x:c r="C132" t="str">
        <x:v>Dried Mango</x:v>
      </x:c>
      <x:c r="D132" t="str">
        <x:v>Dryer 2</x:v>
      </x:c>
      <x:c r="E132" t="str">
        <x:v>Sup 2</x:v>
      </x:c>
      <x:c r="F132" t="n">
        <x:v>420</x:v>
      </x:c>
      <x:c r="G132" t="n">
        <x:v>30</x:v>
      </x:c>
      <x:c r="H132" t="n">
        <x:v>36</x:v>
      </x:c>
      <x:c r="I132" t="n">
        <x:v>1550</x:v>
      </x:c>
      <x:c r="J132" t="n">
        <x:v>1300</x:v>
      </x:c>
      <x:c r="K132" t="n">
        <x:v>55</x:v>
      </x:c>
      <x:c r="L132" t="n">
        <x:v>25</x:v>
      </x:c>
      <x:c r="M132" t="n">
        <x:v>90.2</x:v>
      </x:c>
      <x:c r="N132" t="n">
        <x:v>85.6</x:v>
      </x:c>
      <x:c r="O132" t="n">
        <x:v>85.9</x:v>
      </x:c>
      <x:c r="P132" t="n">
        <x:v>3</x:v>
      </x:c>
      <x:c r="Q132" t="str">
        <x:v>No incident</x:v>
      </x:c>
      <x:c r="R132" t="str">
        <x:v>N/A</x:v>
      </x:c>
      <x:c r="S132" t="str">
        <x:v>Inspection</x:v>
      </x:c>
      <x:c r="T132" t="n">
        <x:v>0.93</x:v>
      </x:c>
      <x:c r="U132" t="n">
        <x:v>10.1</x:v>
      </x:c>
      <x:c r="V132" t="n">
        <x:f>IFERROR(J132/I132*100,0)</x:f>
        <x:v>83.87096774193549</x:v>
      </x:c>
      <x:c r="W132" t="n">
        <x:f>IFERROR(K132/J132*100,0)</x:f>
        <x:v>4.230769230769231</x:v>
      </x:c>
      <x:c r="X132" t="n">
        <x:f>IFERROR(H132/F132*100,0)</x:f>
        <x:v>8.571428571428571</x:v>
      </x:c>
      <x:c r="Y132" t="n">
        <x:f>J132-K132</x:f>
        <x:v>1245</x:v>
      </x:c>
      <x:c r="Z132" t="n">
        <x:f>MAX(0,MIN(100,(V132/100)*(1-X132/100)*(1-W132/100)*100))</x:f>
        <x:v>73.4377880184332</x:v>
      </x:c>
    </x:row>
    <x:row r="133">
      <x:c r="A133" s="12" t="n">
        <x:v>46070</x:v>
      </x:c>
      <x:c r="B133" t="str">
        <x:v>C</x:v>
      </x:c>
      <x:c r="C133" t="str">
        <x:v>Dried Mango</x:v>
      </x:c>
      <x:c r="D133" t="str">
        <x:v>Dryer 3</x:v>
      </x:c>
      <x:c r="E133" t="str">
        <x:v>Sup 1</x:v>
      </x:c>
      <x:c r="F133" t="n">
        <x:v>480</x:v>
      </x:c>
      <x:c r="G133" t="n">
        <x:v>20</x:v>
      </x:c>
      <x:c r="H133" t="n">
        <x:v>75</x:v>
      </x:c>
      <x:c r="I133" t="n">
        <x:v>1591</x:v>
      </x:c>
      <x:c r="J133" t="n">
        <x:v>1317</x:v>
      </x:c>
      <x:c r="K133" t="n">
        <x:v>62</x:v>
      </x:c>
      <x:c r="L133" t="n">
        <x:v>43</x:v>
      </x:c>
      <x:c r="M133" t="n">
        <x:v>93.4</x:v>
      </x:c>
      <x:c r="N133" t="n">
        <x:v>65.4</x:v>
      </x:c>
      <x:c r="O133" t="n">
        <x:v>87.1</x:v>
      </x:c>
      <x:c r="P133" t="n">
        <x:v>2</x:v>
      </x:c>
      <x:c r="Q133" t="str">
        <x:v>No incident</x:v>
      </x:c>
      <x:c r="R133" t="str">
        <x:v>N/A</x:v>
      </x:c>
      <x:c r="S133" t="str">
        <x:v>Preventive</x:v>
      </x:c>
      <x:c r="T133" t="n">
        <x:v>0.9</x:v>
      </x:c>
      <x:c r="U133" t="n">
        <x:v>11.4</x:v>
      </x:c>
      <x:c r="V133" t="n">
        <x:f>IFERROR(J133/I133*100,0)</x:f>
        <x:v>82.77812696417347</x:v>
      </x:c>
      <x:c r="W133" t="n">
        <x:f>IFERROR(K133/J133*100,0)</x:f>
        <x:v>4.707668944570995</x:v>
      </x:c>
      <x:c r="X133" t="n">
        <x:f>IFERROR(H133/F133*100,0)</x:f>
        <x:v>15.625</x:v>
      </x:c>
      <x:c r="Y133" t="n">
        <x:f>J133-K133</x:f>
        <x:v>1255</x:v>
      </x:c>
      <x:c r="Z133" t="n">
        <x:f>MAX(0,MIN(100,(V133/100)*(1-X133/100)*(1-W133/100)*100))</x:f>
        <x:v>66.55601822752985</x:v>
      </x:c>
    </x:row>
    <x:row r="134">
      <x:c r="A134" s="12" t="n">
        <x:v>46071</x:v>
      </x:c>
      <x:c r="B134" t="str">
        <x:v>A</x:v>
      </x:c>
      <x:c r="C134" t="str">
        <x:v>Dried Mango</x:v>
      </x:c>
      <x:c r="D134" t="str">
        <x:v>Dryer 4</x:v>
      </x:c>
      <x:c r="E134" t="str">
        <x:v>Sup 2</x:v>
      </x:c>
      <x:c r="F134" t="n">
        <x:v>480</x:v>
      </x:c>
      <x:c r="G134" t="n">
        <x:v>40</x:v>
      </x:c>
      <x:c r="H134" t="n">
        <x:v>44</x:v>
      </x:c>
      <x:c r="I134" t="n">
        <x:v>1620</x:v>
      </x:c>
      <x:c r="J134" t="n">
        <x:v>1468</x:v>
      </x:c>
      <x:c r="K134" t="n">
        <x:v>55</x:v>
      </x:c>
      <x:c r="L134" t="n">
        <x:v>14</x:v>
      </x:c>
      <x:c r="M134" t="n">
        <x:v>93.3</x:v>
      </x:c>
      <x:c r="N134" t="n">
        <x:v>74.3</x:v>
      </x:c>
      <x:c r="O134" t="n">
        <x:v>57.9</x:v>
      </x:c>
      <x:c r="P134" t="n">
        <x:v>0</x:v>
      </x:c>
      <x:c r="Q134" t="str">
        <x:v>No incident</x:v>
      </x:c>
      <x:c r="R134" t="str">
        <x:v>N/A</x:v>
      </x:c>
      <x:c r="S134" t="str">
        <x:v>Corrective</x:v>
      </x:c>
      <x:c r="T134" t="n">
        <x:v>1.26</x:v>
      </x:c>
      <x:c r="U134" t="n">
        <x:v>12.5</x:v>
      </x:c>
      <x:c r="V134" t="n">
        <x:f>IFERROR(J134/I134*100,0)</x:f>
        <x:v>90.61728395061729</x:v>
      </x:c>
      <x:c r="W134" t="n">
        <x:f>IFERROR(K134/J134*100,0)</x:f>
        <x:v>3.746594005449591</x:v>
      </x:c>
      <x:c r="X134" t="n">
        <x:f>IFERROR(H134/F134*100,0)</x:f>
        <x:v>9.166666666666666</x:v>
      </x:c>
      <x:c r="Y134" t="n">
        <x:f>J134-K134</x:f>
        <x:v>1413</x:v>
      </x:c>
      <x:c r="Z134" t="n">
        <x:f>MAX(0,MIN(100,(V134/100)*(1-X134/100)*(1-W134/100)*100))</x:f>
        <x:v>79.22685185185185</x:v>
      </x:c>
    </x:row>
    <x:row r="135">
      <x:c r="A135" s="12" t="n">
        <x:v>46071</x:v>
      </x:c>
      <x:c r="B135" t="str">
        <x:v>B</x:v>
      </x:c>
      <x:c r="C135" t="str">
        <x:v>Desiccated Coconut</x:v>
      </x:c>
      <x:c r="D135" t="str">
        <x:v>Dryer 3</x:v>
      </x:c>
      <x:c r="E135" t="str">
        <x:v>Sup 1</x:v>
      </x:c>
      <x:c r="F135" t="n">
        <x:v>450</x:v>
      </x:c>
      <x:c r="G135" t="n">
        <x:v>30</x:v>
      </x:c>
      <x:c r="H135" t="n">
        <x:v>49</x:v>
      </x:c>
      <x:c r="I135" t="n">
        <x:v>1155</x:v>
      </x:c>
      <x:c r="J135" t="n">
        <x:v>951</x:v>
      </x:c>
      <x:c r="K135" t="n">
        <x:v>41</x:v>
      </x:c>
      <x:c r="L135" t="n">
        <x:v>27</x:v>
      </x:c>
      <x:c r="M135" t="n">
        <x:v>95.6</x:v>
      </x:c>
      <x:c r="N135" t="n">
        <x:v>73.3</x:v>
      </x:c>
      <x:c r="O135" t="n">
        <x:v>61.2</x:v>
      </x:c>
      <x:c r="P135" t="n">
        <x:v>1</x:v>
      </x:c>
      <x:c r="Q135" t="str">
        <x:v>No incident</x:v>
      </x:c>
      <x:c r="R135" t="str">
        <x:v>N/A</x:v>
      </x:c>
      <x:c r="S135" t="str">
        <x:v>Corrective</x:v>
      </x:c>
      <x:c r="T135" t="n">
        <x:v>1.49</x:v>
      </x:c>
      <x:c r="U135" t="n">
        <x:v>8.7</x:v>
      </x:c>
      <x:c r="V135" t="n">
        <x:f>IFERROR(J135/I135*100,0)</x:f>
        <x:v>82.33766233766234</x:v>
      </x:c>
      <x:c r="W135" t="n">
        <x:f>IFERROR(K135/J135*100,0)</x:f>
        <x:v>4.311251314405888</x:v>
      </x:c>
      <x:c r="X135" t="n">
        <x:f>IFERROR(H135/F135*100,0)</x:f>
        <x:v>10.888888888888888</x:v>
      </x:c>
      <x:c r="Y135" t="n">
        <x:f>J135-K135</x:f>
        <x:v>910</x:v>
      </x:c>
      <x:c r="Z135" t="n">
        <x:f>MAX(0,MIN(100,(V135/100)*(1-X135/100)*(1-W135/100)*100))</x:f>
        <x:v>70.20875420875421</x:v>
      </x:c>
    </x:row>
    <x:row r="136">
      <x:c r="A136" s="12" t="n">
        <x:v>46071</x:v>
      </x:c>
      <x:c r="B136" t="str">
        <x:v>C</x:v>
      </x:c>
      <x:c r="C136" t="str">
        <x:v>Dried Mango</x:v>
      </x:c>
      <x:c r="D136" t="str">
        <x:v>Dryer 1</x:v>
      </x:c>
      <x:c r="E136" t="str">
        <x:v>Sup 1</x:v>
      </x:c>
      <x:c r="F136" t="n">
        <x:v>450</x:v>
      </x:c>
      <x:c r="G136" t="n">
        <x:v>0</x:v>
      </x:c>
      <x:c r="H136" t="n">
        <x:v>49</x:v>
      </x:c>
      <x:c r="I136" t="n">
        <x:v>1705</x:v>
      </x:c>
      <x:c r="J136" t="n">
        <x:v>1469</x:v>
      </x:c>
      <x:c r="K136" t="n">
        <x:v>57</x:v>
      </x:c>
      <x:c r="L136" t="n">
        <x:v>31</x:v>
      </x:c>
      <x:c r="M136" t="n">
        <x:v>82.6</x:v>
      </x:c>
      <x:c r="N136" t="n">
        <x:v>69.5</x:v>
      </x:c>
      <x:c r="O136" t="n">
        <x:v>71.7</x:v>
      </x:c>
      <x:c r="P136" t="n">
        <x:v>4</x:v>
      </x:c>
      <x:c r="Q136" t="str">
        <x:v>No incident</x:v>
      </x:c>
      <x:c r="R136" t="str">
        <x:v>N/A</x:v>
      </x:c>
      <x:c r="S136" t="str">
        <x:v>Preventive</x:v>
      </x:c>
      <x:c r="T136" t="n">
        <x:v>0.9</x:v>
      </x:c>
      <x:c r="U136" t="n">
        <x:v>12.5</x:v>
      </x:c>
      <x:c r="V136" t="n">
        <x:f>IFERROR(J136/I136*100,0)</x:f>
        <x:v>86.158357771261</x:v>
      </x:c>
      <x:c r="W136" t="n">
        <x:f>IFERROR(K136/J136*100,0)</x:f>
        <x:v>3.880190605854323</x:v>
      </x:c>
      <x:c r="X136" t="n">
        <x:f>IFERROR(H136/F136*100,0)</x:f>
        <x:v>10.888888888888888</x:v>
      </x:c>
      <x:c r="Y136" t="n">
        <x:f>J136-K136</x:f>
        <x:v>1412</x:v>
      </x:c>
      <x:c r="Z136" t="n">
        <x:f>MAX(0,MIN(100,(V136/100)*(1-X136/100)*(1-W136/100)*100))</x:f>
        <x:v>73.79758879113719</x:v>
      </x:c>
    </x:row>
    <x:row r="137">
      <x:c r="A137" s="12" t="n">
        <x:v>46072</x:v>
      </x:c>
      <x:c r="B137" t="str">
        <x:v>A</x:v>
      </x:c>
      <x:c r="C137" t="str">
        <x:v>Dried Pineapple</x:v>
      </x:c>
      <x:c r="D137" t="str">
        <x:v>Dryer 3</x:v>
      </x:c>
      <x:c r="E137" t="str">
        <x:v>Sup 2</x:v>
      </x:c>
      <x:c r="F137" t="n">
        <x:v>480</x:v>
      </x:c>
      <x:c r="G137" t="n">
        <x:v>0</x:v>
      </x:c>
      <x:c r="H137" t="n">
        <x:v>52</x:v>
      </x:c>
      <x:c r="I137" t="n">
        <x:v>1812</x:v>
      </x:c>
      <x:c r="J137" t="n">
        <x:v>1566</x:v>
      </x:c>
      <x:c r="K137" t="n">
        <x:v>69</x:v>
      </x:c>
      <x:c r="L137" t="n">
        <x:v>45</x:v>
      </x:c>
      <x:c r="M137" t="n">
        <x:v>81.5</x:v>
      </x:c>
      <x:c r="N137" t="n">
        <x:v>84.4</x:v>
      </x:c>
      <x:c r="O137" t="n">
        <x:v>85.7</x:v>
      </x:c>
      <x:c r="P137" t="n">
        <x:v>1</x:v>
      </x:c>
      <x:c r="Q137" t="str">
        <x:v>Near miss</x:v>
      </x:c>
      <x:c r="R137" t="str">
        <x:v>Closed</x:v>
      </x:c>
      <x:c r="S137" t="str">
        <x:v>Corrective</x:v>
      </x:c>
      <x:c r="T137" t="n">
        <x:v>1.48</x:v>
      </x:c>
      <x:c r="U137" t="n">
        <x:v>14.4</x:v>
      </x:c>
      <x:c r="V137" t="n">
        <x:f>IFERROR(J137/I137*100,0)</x:f>
        <x:v>86.42384105960265</x:v>
      </x:c>
      <x:c r="W137" t="n">
        <x:f>IFERROR(K137/J137*100,0)</x:f>
        <x:v>4.406130268199234</x:v>
      </x:c>
      <x:c r="X137" t="n">
        <x:f>IFERROR(H137/F137*100,0)</x:f>
        <x:v>10.833333333333334</x:v>
      </x:c>
      <x:c r="Y137" t="n">
        <x:f>J137-K137</x:f>
        <x:v>1497</x:v>
      </x:c>
      <x:c r="Z137" t="n">
        <x:f>MAX(0,MIN(100,(V137/100)*(1-X137/100)*(1-W137/100)*100))</x:f>
        <x:v>73.66583885209712</x:v>
      </x:c>
    </x:row>
    <x:row r="138">
      <x:c r="A138" s="12" t="n">
        <x:v>46072</x:v>
      </x:c>
      <x:c r="B138" t="str">
        <x:v>B</x:v>
      </x:c>
      <x:c r="C138" t="str">
        <x:v>Desiccated Coconut</x:v>
      </x:c>
      <x:c r="D138" t="str">
        <x:v>Dryer 2</x:v>
      </x:c>
      <x:c r="E138" t="str">
        <x:v>Sup 3</x:v>
      </x:c>
      <x:c r="F138" t="n">
        <x:v>480</x:v>
      </x:c>
      <x:c r="G138" t="n">
        <x:v>0</x:v>
      </x:c>
      <x:c r="H138" t="n">
        <x:v>52</x:v>
      </x:c>
      <x:c r="I138" t="n">
        <x:v>1148</x:v>
      </x:c>
      <x:c r="J138" t="n">
        <x:v>1059</x:v>
      </x:c>
      <x:c r="K138" t="n">
        <x:v>36</x:v>
      </x:c>
      <x:c r="L138" t="n">
        <x:v>21</x:v>
      </x:c>
      <x:c r="M138" t="n">
        <x:v>94.4</x:v>
      </x:c>
      <x:c r="N138" t="n">
        <x:v>72.1</x:v>
      </x:c>
      <x:c r="O138" t="n">
        <x:v>70.8</x:v>
      </x:c>
      <x:c r="P138" t="n">
        <x:v>3</x:v>
      </x:c>
      <x:c r="Q138" t="str">
        <x:v>Near miss</x:v>
      </x:c>
      <x:c r="R138" t="str">
        <x:v>In progress</x:v>
      </x:c>
      <x:c r="S138" t="str">
        <x:v>Corrective</x:v>
      </x:c>
      <x:c r="T138" t="n">
        <x:v>1.18</x:v>
      </x:c>
      <x:c r="U138" t="n">
        <x:v>8.1</x:v>
      </x:c>
      <x:c r="V138" t="n">
        <x:f>IFERROR(J138/I138*100,0)</x:f>
        <x:v>92.24738675958189</x:v>
      </x:c>
      <x:c r="W138" t="n">
        <x:f>IFERROR(K138/J138*100,0)</x:f>
        <x:v>3.39943342776204</x:v>
      </x:c>
      <x:c r="X138" t="n">
        <x:f>IFERROR(H138/F138*100,0)</x:f>
        <x:v>10.833333333333334</x:v>
      </x:c>
      <x:c r="Y138" t="n">
        <x:f>J138-K138</x:f>
        <x:v>1023</x:v>
      </x:c>
      <x:c r="Z138" t="n">
        <x:f>MAX(0,MIN(100,(V138/100)*(1-X138/100)*(1-W138/100)*100))</x:f>
        <x:v>79.45775261324042</x:v>
      </x:c>
    </x:row>
    <x:row r="139">
      <x:c r="A139" s="12" t="n">
        <x:v>46072</x:v>
      </x:c>
      <x:c r="B139" t="str">
        <x:v>C</x:v>
      </x:c>
      <x:c r="C139" t="str">
        <x:v>Desiccated Coconut</x:v>
      </x:c>
      <x:c r="D139" t="str">
        <x:v>Dryer 1</x:v>
      </x:c>
      <x:c r="E139" t="str">
        <x:v>Sup 1</x:v>
      </x:c>
      <x:c r="F139" t="n">
        <x:v>450</x:v>
      </x:c>
      <x:c r="G139" t="n">
        <x:v>30</x:v>
      </x:c>
      <x:c r="H139" t="n">
        <x:v>48</x:v>
      </x:c>
      <x:c r="I139" t="n">
        <x:v>1165</x:v>
      </x:c>
      <x:c r="J139" t="n">
        <x:v>981</x:v>
      </x:c>
      <x:c r="K139" t="n">
        <x:v>26</x:v>
      </x:c>
      <x:c r="L139" t="n">
        <x:v>7</x:v>
      </x:c>
      <x:c r="M139" t="n">
        <x:v>84.2</x:v>
      </x:c>
      <x:c r="N139" t="n">
        <x:v>66</x:v>
      </x:c>
      <x:c r="O139" t="n">
        <x:v>74.8</x:v>
      </x:c>
      <x:c r="P139" t="n">
        <x:v>2</x:v>
      </x:c>
      <x:c r="Q139" t="str">
        <x:v>No incident</x:v>
      </x:c>
      <x:c r="R139" t="str">
        <x:v>N/A</x:v>
      </x:c>
      <x:c r="S139" t="str">
        <x:v>Corrective</x:v>
      </x:c>
      <x:c r="T139" t="n">
        <x:v>0.92</x:v>
      </x:c>
      <x:c r="U139" t="n">
        <x:v>8.2</x:v>
      </x:c>
      <x:c r="V139" t="n">
        <x:f>IFERROR(J139/I139*100,0)</x:f>
        <x:v>84.20600858369099</x:v>
      </x:c>
      <x:c r="W139" t="n">
        <x:f>IFERROR(K139/J139*100,0)</x:f>
        <x:v>2.650356778797146</x:v>
      </x:c>
      <x:c r="X139" t="n">
        <x:f>IFERROR(H139/F139*100,0)</x:f>
        <x:v>10.666666666666668</x:v>
      </x:c>
      <x:c r="Y139" t="n">
        <x:f>J139-K139</x:f>
        <x:v>955</x:v>
      </x:c>
      <x:c r="Z139" t="n">
        <x:f>MAX(0,MIN(100,(V139/100)*(1-X139/100)*(1-W139/100)*100))</x:f>
        <x:v>73.23032904148783</x:v>
      </x:c>
    </x:row>
    <x:row r="140">
      <x:c r="A140" s="12" t="n">
        <x:v>46073</x:v>
      </x:c>
      <x:c r="B140" t="str">
        <x:v>A</x:v>
      </x:c>
      <x:c r="C140" t="str">
        <x:v>Desiccated Coconut</x:v>
      </x:c>
      <x:c r="D140" t="str">
        <x:v>Dryer 4</x:v>
      </x:c>
      <x:c r="E140" t="str">
        <x:v>Sup 3</x:v>
      </x:c>
      <x:c r="F140" t="n">
        <x:v>450</x:v>
      </x:c>
      <x:c r="G140" t="n">
        <x:v>40</x:v>
      </x:c>
      <x:c r="H140" t="n">
        <x:v>33</x:v>
      </x:c>
      <x:c r="I140" t="n">
        <x:v>1200</x:v>
      </x:c>
      <x:c r="J140" t="n">
        <x:v>985</x:v>
      </x:c>
      <x:c r="K140" t="n">
        <x:v>25</x:v>
      </x:c>
      <x:c r="L140" t="n">
        <x:v>9</x:v>
      </x:c>
      <x:c r="M140" t="n">
        <x:v>98.5</x:v>
      </x:c>
      <x:c r="N140" t="n">
        <x:v>64.5</x:v>
      </x:c>
      <x:c r="O140" t="n">
        <x:v>75.2</x:v>
      </x:c>
      <x:c r="P140" t="n">
        <x:v>3</x:v>
      </x:c>
      <x:c r="Q140" t="str">
        <x:v>No incident</x:v>
      </x:c>
      <x:c r="R140" t="str">
        <x:v>N/A</x:v>
      </x:c>
      <x:c r="S140" t="str">
        <x:v>Corrective</x:v>
      </x:c>
      <x:c r="T140" t="n">
        <x:v>1.56</x:v>
      </x:c>
      <x:c r="U140" t="n">
        <x:v>9</x:v>
      </x:c>
      <x:c r="V140" t="n">
        <x:f>IFERROR(J140/I140*100,0)</x:f>
        <x:v>82.08333333333333</x:v>
      </x:c>
      <x:c r="W140" t="n">
        <x:f>IFERROR(K140/J140*100,0)</x:f>
        <x:v>2.5380710659898478</x:v>
      </x:c>
      <x:c r="X140" t="n">
        <x:f>IFERROR(H140/F140*100,0)</x:f>
        <x:v>7.333333333333333</x:v>
      </x:c>
      <x:c r="Y140" t="n">
        <x:f>J140-K140</x:f>
        <x:v>960</x:v>
      </x:c>
      <x:c r="Z140" t="n">
        <x:f>MAX(0,MIN(100,(V140/100)*(1-X140/100)*(1-W140/100)*100))</x:f>
        <x:v>74.13333333333333</x:v>
      </x:c>
    </x:row>
    <x:row r="141">
      <x:c r="A141" s="12" t="n">
        <x:v>46073</x:v>
      </x:c>
      <x:c r="B141" t="str">
        <x:v>B</x:v>
      </x:c>
      <x:c r="C141" t="str">
        <x:v>Desiccated Coconut</x:v>
      </x:c>
      <x:c r="D141" t="str">
        <x:v>Dryer 3</x:v>
      </x:c>
      <x:c r="E141" t="str">
        <x:v>Sup 3</x:v>
      </x:c>
      <x:c r="F141" t="n">
        <x:v>480</x:v>
      </x:c>
      <x:c r="G141" t="n">
        <x:v>0</x:v>
      </x:c>
      <x:c r="H141" t="n">
        <x:v>61</x:v>
      </x:c>
      <x:c r="I141" t="n">
        <x:v>1264</x:v>
      </x:c>
      <x:c r="J141" t="n">
        <x:v>1075</x:v>
      </x:c>
      <x:c r="K141" t="n">
        <x:v>35</x:v>
      </x:c>
      <x:c r="L141" t="n">
        <x:v>12</x:v>
      </x:c>
      <x:c r="M141" t="n">
        <x:v>90.2</x:v>
      </x:c>
      <x:c r="N141" t="n">
        <x:v>83.6</x:v>
      </x:c>
      <x:c r="O141" t="n">
        <x:v>58.4</x:v>
      </x:c>
      <x:c r="P141" t="n">
        <x:v>4</x:v>
      </x:c>
      <x:c r="Q141" t="str">
        <x:v>No incident</x:v>
      </x:c>
      <x:c r="R141" t="str">
        <x:v>N/A</x:v>
      </x:c>
      <x:c r="S141" t="str">
        <x:v>Inspection</x:v>
      </x:c>
      <x:c r="T141" t="n">
        <x:v>0.93</x:v>
      </x:c>
      <x:c r="U141" t="n">
        <x:v>9.7</x:v>
      </x:c>
      <x:c r="V141" t="n">
        <x:f>IFERROR(J141/I141*100,0)</x:f>
        <x:v>85.04746835443038</x:v>
      </x:c>
      <x:c r="W141" t="n">
        <x:f>IFERROR(K141/J141*100,0)</x:f>
        <x:v>3.255813953488372</x:v>
      </x:c>
      <x:c r="X141" t="n">
        <x:f>IFERROR(H141/F141*100,0)</x:f>
        <x:v>12.708333333333332</x:v>
      </x:c>
      <x:c r="Y141" t="n">
        <x:f>J141-K141</x:f>
        <x:v>1040</x:v>
      </x:c>
      <x:c r="Z141" t="n">
        <x:f>MAX(0,MIN(100,(V141/100)*(1-X141/100)*(1-W141/100)*100))</x:f>
        <x:v>71.82225738396625</x:v>
      </x:c>
    </x:row>
    <x:row r="142">
      <x:c r="A142" s="12" t="n">
        <x:v>46073</x:v>
      </x:c>
      <x:c r="B142" t="str">
        <x:v>C</x:v>
      </x:c>
      <x:c r="C142" t="str">
        <x:v>Desiccated Coconut</x:v>
      </x:c>
      <x:c r="D142" t="str">
        <x:v>Dryer 1</x:v>
      </x:c>
      <x:c r="E142" t="str">
        <x:v>Sup 3</x:v>
      </x:c>
      <x:c r="F142" t="n">
        <x:v>450</x:v>
      </x:c>
      <x:c r="G142" t="n">
        <x:v>40</x:v>
      </x:c>
      <x:c r="H142" t="n">
        <x:v>39</x:v>
      </x:c>
      <x:c r="I142" t="n">
        <x:v>1148</x:v>
      </x:c>
      <x:c r="J142" t="n">
        <x:v>1032</x:v>
      </x:c>
      <x:c r="K142" t="n">
        <x:v>19</x:v>
      </x:c>
      <x:c r="L142" t="n">
        <x:v>9</x:v>
      </x:c>
      <x:c r="M142" t="n">
        <x:v>92.2</x:v>
      </x:c>
      <x:c r="N142" t="n">
        <x:v>69.9</x:v>
      </x:c>
      <x:c r="O142" t="n">
        <x:v>82.4</x:v>
      </x:c>
      <x:c r="P142" t="n">
        <x:v>4</x:v>
      </x:c>
      <x:c r="Q142" t="str">
        <x:v>No incident</x:v>
      </x:c>
      <x:c r="R142" t="str">
        <x:v>N/A</x:v>
      </x:c>
      <x:c r="S142" t="str">
        <x:v>Preventive</x:v>
      </x:c>
      <x:c r="T142" t="n">
        <x:v>0.62</x:v>
      </x:c>
      <x:c r="U142" t="n">
        <x:v>8</x:v>
      </x:c>
      <x:c r="V142" t="n">
        <x:f>IFERROR(J142/I142*100,0)</x:f>
        <x:v>89.89547038327527</x:v>
      </x:c>
      <x:c r="W142" t="n">
        <x:f>IFERROR(K142/J142*100,0)</x:f>
        <x:v>1.8410852713178296</x:v>
      </x:c>
      <x:c r="X142" t="n">
        <x:f>IFERROR(H142/F142*100,0)</x:f>
        <x:v>8.666666666666668</x:v>
      </x:c>
      <x:c r="Y142" t="n">
        <x:f>J142-K142</x:f>
        <x:v>1013</x:v>
      </x:c>
      <x:c r="Z142" t="n">
        <x:f>MAX(0,MIN(100,(V142/100)*(1-X142/100)*(1-W142/100)*100))</x:f>
        <x:v>80.59291521486644</x:v>
      </x:c>
    </x:row>
    <x:row r="143">
      <x:c r="A143" s="12" t="n">
        <x:v>46074</x:v>
      </x:c>
      <x:c r="B143" t="str">
        <x:v>A</x:v>
      </x:c>
      <x:c r="C143" t="str">
        <x:v>Dried Mango</x:v>
      </x:c>
      <x:c r="D143" t="str">
        <x:v>Dryer 2</x:v>
      </x:c>
      <x:c r="E143" t="str">
        <x:v>Sup 3</x:v>
      </x:c>
      <x:c r="F143" t="n">
        <x:v>450</x:v>
      </x:c>
      <x:c r="G143" t="n">
        <x:v>40</x:v>
      </x:c>
      <x:c r="H143" t="n">
        <x:v>26</x:v>
      </x:c>
      <x:c r="I143" t="n">
        <x:v>1557</x:v>
      </x:c>
      <x:c r="J143" t="n">
        <x:v>1487</x:v>
      </x:c>
      <x:c r="K143" t="n">
        <x:v>56</x:v>
      </x:c>
      <x:c r="L143" t="n">
        <x:v>16</x:v>
      </x:c>
      <x:c r="M143" t="n">
        <x:v>96.1</x:v>
      </x:c>
      <x:c r="N143" t="n">
        <x:v>73.8</x:v>
      </x:c>
      <x:c r="O143" t="n">
        <x:v>66.8</x:v>
      </x:c>
      <x:c r="P143" t="n">
        <x:v>2</x:v>
      </x:c>
      <x:c r="Q143" t="str">
        <x:v>No incident</x:v>
      </x:c>
      <x:c r="R143" t="str">
        <x:v>N/A</x:v>
      </x:c>
      <x:c r="S143" t="str">
        <x:v>Inspection</x:v>
      </x:c>
      <x:c r="T143" t="n">
        <x:v>0.7</x:v>
      </x:c>
      <x:c r="U143" t="n">
        <x:v>13.6</x:v>
      </x:c>
      <x:c r="V143" t="n">
        <x:f>IFERROR(J143/I143*100,0)</x:f>
        <x:v>95.50417469492614</x:v>
      </x:c>
      <x:c r="W143" t="n">
        <x:f>IFERROR(K143/J143*100,0)</x:f>
        <x:v>3.765971755211836</x:v>
      </x:c>
      <x:c r="X143" t="n">
        <x:f>IFERROR(H143/F143*100,0)</x:f>
        <x:v>5.777777777777778</x:v>
      </x:c>
      <x:c r="Y143" t="n">
        <x:f>J143-K143</x:f>
        <x:v>1431</x:v>
      </x:c>
      <x:c r="Z143" t="n">
        <x:f>MAX(0,MIN(100,(V143/100)*(1-X143/100)*(1-W143/100)*100))</x:f>
        <x:v>86.59730250481694</x:v>
      </x:c>
    </x:row>
    <x:row r="144">
      <x:c r="A144" s="12" t="n">
        <x:v>46074</x:v>
      </x:c>
      <x:c r="B144" t="str">
        <x:v>B</x:v>
      </x:c>
      <x:c r="C144" t="str">
        <x:v>Desiccated Coconut</x:v>
      </x:c>
      <x:c r="D144" t="str">
        <x:v>Dryer 2</x:v>
      </x:c>
      <x:c r="E144" t="str">
        <x:v>Sup 1</x:v>
      </x:c>
      <x:c r="F144" t="n">
        <x:v>450</x:v>
      </x:c>
      <x:c r="G144" t="n">
        <x:v>30</x:v>
      </x:c>
      <x:c r="H144" t="n">
        <x:v>21</x:v>
      </x:c>
      <x:c r="I144" t="n">
        <x:v>1108</x:v>
      </x:c>
      <x:c r="J144" t="n">
        <x:v>1000</x:v>
      </x:c>
      <x:c r="K144" t="n">
        <x:v>34</x:v>
      </x:c>
      <x:c r="L144" t="n">
        <x:v>13</x:v>
      </x:c>
      <x:c r="M144" t="n">
        <x:v>98.3</x:v>
      </x:c>
      <x:c r="N144" t="n">
        <x:v>78.3</x:v>
      </x:c>
      <x:c r="O144" t="n">
        <x:v>79.1</x:v>
      </x:c>
      <x:c r="P144" t="n">
        <x:v>0</x:v>
      </x:c>
      <x:c r="Q144" t="str">
        <x:v>No incident</x:v>
      </x:c>
      <x:c r="R144" t="str">
        <x:v>N/A</x:v>
      </x:c>
      <x:c r="S144" t="str">
        <x:v>Inspection</x:v>
      </x:c>
      <x:c r="T144" t="n">
        <x:v>0.85</x:v>
      </x:c>
      <x:c r="U144" t="n">
        <x:v>9.1</x:v>
      </x:c>
      <x:c r="V144" t="n">
        <x:f>IFERROR(J144/I144*100,0)</x:f>
        <x:v>90.25270758122743</x:v>
      </x:c>
      <x:c r="W144" t="n">
        <x:f>IFERROR(K144/J144*100,0)</x:f>
        <x:v>3.4000000000000004</x:v>
      </x:c>
      <x:c r="X144" t="n">
        <x:f>IFERROR(H144/F144*100,0)</x:f>
        <x:v>4.666666666666667</x:v>
      </x:c>
      <x:c r="Y144" t="n">
        <x:f>J144-K144</x:f>
        <x:v>966</x:v>
      </x:c>
      <x:c r="Z144" t="n">
        <x:f>MAX(0,MIN(100,(V144/100)*(1-X144/100)*(1-W144/100)*100))</x:f>
        <x:v>83.11552346570397</x:v>
      </x:c>
    </x:row>
    <x:row r="145">
      <x:c r="A145" s="12" t="n">
        <x:v>46074</x:v>
      </x:c>
      <x:c r="B145" t="str">
        <x:v>C</x:v>
      </x:c>
      <x:c r="C145" t="str">
        <x:v>Dried Mango</x:v>
      </x:c>
      <x:c r="D145" t="str">
        <x:v>Dryer 1</x:v>
      </x:c>
      <x:c r="E145" t="str">
        <x:v>Sup 1</x:v>
      </x:c>
      <x:c r="F145" t="n">
        <x:v>480</x:v>
      </x:c>
      <x:c r="G145" t="n">
        <x:v>0</x:v>
      </x:c>
      <x:c r="H145" t="n">
        <x:v>27</x:v>
      </x:c>
      <x:c r="I145" t="n">
        <x:v>1658</x:v>
      </x:c>
      <x:c r="J145" t="n">
        <x:v>1557</x:v>
      </x:c>
      <x:c r="K145" t="n">
        <x:v>47</x:v>
      </x:c>
      <x:c r="L145" t="n">
        <x:v>12</x:v>
      </x:c>
      <x:c r="M145" t="n">
        <x:v>88.7</x:v>
      </x:c>
      <x:c r="N145" t="n">
        <x:v>67</x:v>
      </x:c>
      <x:c r="O145" t="n">
        <x:v>67</x:v>
      </x:c>
      <x:c r="P145" t="n">
        <x:v>4</x:v>
      </x:c>
      <x:c r="Q145" t="str">
        <x:v>No incident</x:v>
      </x:c>
      <x:c r="R145" t="str">
        <x:v>N/A</x:v>
      </x:c>
      <x:c r="S145" t="str">
        <x:v>Corrective</x:v>
      </x:c>
      <x:c r="T145" t="n">
        <x:v>1.67</x:v>
      </x:c>
      <x:c r="U145" t="n">
        <x:v>12.3</x:v>
      </x:c>
      <x:c r="V145" t="n">
        <x:f>IFERROR(J145/I145*100,0)</x:f>
        <x:v>93.90832328106153</x:v>
      </x:c>
      <x:c r="W145" t="n">
        <x:f>IFERROR(K145/J145*100,0)</x:f>
        <x:v>3.0186255619781632</x:v>
      </x:c>
      <x:c r="X145" t="n">
        <x:f>IFERROR(H145/F145*100,0)</x:f>
        <x:v>5.625</x:v>
      </x:c>
      <x:c r="Y145" t="n">
        <x:f>J145-K145</x:f>
        <x:v>1510</x:v>
      </x:c>
      <x:c r="Z145" t="n">
        <x:f>MAX(0,MIN(100,(V145/100)*(1-X145/100)*(1-W145/100)*100))</x:f>
        <x:v>85.95069360675514</x:v>
      </x:c>
    </x:row>
    <x:row r="146">
      <x:c r="A146" s="12" t="n">
        <x:v>46075</x:v>
      </x:c>
      <x:c r="B146" t="str">
        <x:v>A</x:v>
      </x:c>
      <x:c r="C146" t="str">
        <x:v>Dried Pineapple</x:v>
      </x:c>
      <x:c r="D146" t="str">
        <x:v>Dryer 4</x:v>
      </x:c>
      <x:c r="E146" t="str">
        <x:v>Sup 3</x:v>
      </x:c>
      <x:c r="F146" t="n">
        <x:v>480</x:v>
      </x:c>
      <x:c r="G146" t="n">
        <x:v>20</x:v>
      </x:c>
      <x:c r="H146" t="n">
        <x:v>48</x:v>
      </x:c>
      <x:c r="I146" t="n">
        <x:v>1660</x:v>
      </x:c>
      <x:c r="J146" t="n">
        <x:v>1521</x:v>
      </x:c>
      <x:c r="K146" t="n">
        <x:v>43</x:v>
      </x:c>
      <x:c r="L146" t="n">
        <x:v>30</x:v>
      </x:c>
      <x:c r="M146" t="n">
        <x:v>95.2</x:v>
      </x:c>
      <x:c r="N146" t="n">
        <x:v>70.1</x:v>
      </x:c>
      <x:c r="O146" t="n">
        <x:v>76.6</x:v>
      </x:c>
      <x:c r="P146" t="n">
        <x:v>3</x:v>
      </x:c>
      <x:c r="Q146" t="str">
        <x:v>No incident</x:v>
      </x:c>
      <x:c r="R146" t="str">
        <x:v>N/A</x:v>
      </x:c>
      <x:c r="S146" t="str">
        <x:v>Corrective</x:v>
      </x:c>
      <x:c r="T146" t="n">
        <x:v>1.28</x:v>
      </x:c>
      <x:c r="U146" t="n">
        <x:v>11.6</x:v>
      </x:c>
      <x:c r="V146" t="n">
        <x:f>IFERROR(J146/I146*100,0)</x:f>
        <x:v>91.62650602409639</x:v>
      </x:c>
      <x:c r="W146" t="n">
        <x:f>IFERROR(K146/J146*100,0)</x:f>
        <x:v>2.827087442472058</x:v>
      </x:c>
      <x:c r="X146" t="n">
        <x:f>IFERROR(H146/F146*100,0)</x:f>
        <x:v>10</x:v>
      </x:c>
      <x:c r="Y146" t="n">
        <x:f>J146-K146</x:f>
        <x:v>1478</x:v>
      </x:c>
      <x:c r="Z146" t="n">
        <x:f>MAX(0,MIN(100,(V146/100)*(1-X146/100)*(1-W146/100)*100))</x:f>
        <x:v>80.13253012048193</x:v>
      </x:c>
    </x:row>
    <x:row r="147">
      <x:c r="A147" s="12" t="n">
        <x:v>46075</x:v>
      </x:c>
      <x:c r="B147" t="str">
        <x:v>B</x:v>
      </x:c>
      <x:c r="C147" t="str">
        <x:v>Dried Pineapple</x:v>
      </x:c>
      <x:c r="D147" t="str">
        <x:v>Dryer 2</x:v>
      </x:c>
      <x:c r="E147" t="str">
        <x:v>Sup 3</x:v>
      </x:c>
      <x:c r="F147" t="n">
        <x:v>450</x:v>
      </x:c>
      <x:c r="G147" t="n">
        <x:v>30</x:v>
      </x:c>
      <x:c r="H147" t="n">
        <x:v>40</x:v>
      </x:c>
      <x:c r="I147" t="n">
        <x:v>1745</x:v>
      </x:c>
      <x:c r="J147" t="n">
        <x:v>1479</x:v>
      </x:c>
      <x:c r="K147" t="n">
        <x:v>41</x:v>
      </x:c>
      <x:c r="L147" t="n">
        <x:v>19</x:v>
      </x:c>
      <x:c r="M147" t="n">
        <x:v>87.3</x:v>
      </x:c>
      <x:c r="N147" t="n">
        <x:v>80</x:v>
      </x:c>
      <x:c r="O147" t="n">
        <x:v>85.2</x:v>
      </x:c>
      <x:c r="P147" t="n">
        <x:v>2</x:v>
      </x:c>
      <x:c r="Q147" t="str">
        <x:v>No incident</x:v>
      </x:c>
      <x:c r="R147" t="str">
        <x:v>N/A</x:v>
      </x:c>
      <x:c r="S147" t="str">
        <x:v>Corrective</x:v>
      </x:c>
      <x:c r="T147" t="n">
        <x:v>1.1</x:v>
      </x:c>
      <x:c r="U147" t="n">
        <x:v>13.5</x:v>
      </x:c>
      <x:c r="V147" t="n">
        <x:f>IFERROR(J147/I147*100,0)</x:f>
        <x:v>84.756446991404</x:v>
      </x:c>
      <x:c r="W147" t="n">
        <x:f>IFERROR(K147/J147*100,0)</x:f>
        <x:v>2.7721433400946585</x:v>
      </x:c>
      <x:c r="X147" t="n">
        <x:f>IFERROR(H147/F147*100,0)</x:f>
        <x:v>8.88888888888889</x:v>
      </x:c>
      <x:c r="Y147" t="n">
        <x:f>J147-K147</x:f>
        <x:v>1438</x:v>
      </x:c>
      <x:c r="Z147" t="n">
        <x:f>MAX(0,MIN(100,(V147/100)*(1-X147/100)*(1-W147/100)*100))</x:f>
        <x:v>75.0818210760904</x:v>
      </x:c>
    </x:row>
    <x:row r="148">
      <x:c r="A148" s="12" t="n">
        <x:v>46075</x:v>
      </x:c>
      <x:c r="B148" t="str">
        <x:v>C</x:v>
      </x:c>
      <x:c r="C148" t="str">
        <x:v>Dried Pineapple</x:v>
      </x:c>
      <x:c r="D148" t="str">
        <x:v>Dryer 4</x:v>
      </x:c>
      <x:c r="E148" t="str">
        <x:v>Sup 3</x:v>
      </x:c>
      <x:c r="F148" t="n">
        <x:v>450</x:v>
      </x:c>
      <x:c r="G148" t="n">
        <x:v>0</x:v>
      </x:c>
      <x:c r="H148" t="n">
        <x:v>60</x:v>
      </x:c>
      <x:c r="I148" t="n">
        <x:v>1862</x:v>
      </x:c>
      <x:c r="J148" t="n">
        <x:v>1584</x:v>
      </x:c>
      <x:c r="K148" t="n">
        <x:v>51</x:v>
      </x:c>
      <x:c r="L148" t="n">
        <x:v>34</x:v>
      </x:c>
      <x:c r="M148" t="n">
        <x:v>87.9</x:v>
      </x:c>
      <x:c r="N148" t="n">
        <x:v>79.2</x:v>
      </x:c>
      <x:c r="O148" t="n">
        <x:v>79.5</x:v>
      </x:c>
      <x:c r="P148" t="n">
        <x:v>0</x:v>
      </x:c>
      <x:c r="Q148" t="str">
        <x:v>No incident</x:v>
      </x:c>
      <x:c r="R148" t="str">
        <x:v>N/A</x:v>
      </x:c>
      <x:c r="S148" t="str">
        <x:v>Corrective</x:v>
      </x:c>
      <x:c r="T148" t="n">
        <x:v>1.45</x:v>
      </x:c>
      <x:c r="U148" t="n">
        <x:v>13.5</x:v>
      </x:c>
      <x:c r="V148" t="n">
        <x:f>IFERROR(J148/I148*100,0)</x:f>
        <x:v>85.06981740064447</x:v>
      </x:c>
      <x:c r="W148" t="n">
        <x:f>IFERROR(K148/J148*100,0)</x:f>
        <x:v>3.2196969696969697</x:v>
      </x:c>
      <x:c r="X148" t="n">
        <x:f>IFERROR(H148/F148*100,0)</x:f>
        <x:v>13.333333333333334</x:v>
      </x:c>
      <x:c r="Y148" t="n">
        <x:f>J148-K148</x:f>
        <x:v>1533</x:v>
      </x:c>
      <x:c r="Z148" t="n">
        <x:f>MAX(0,MIN(100,(V148/100)*(1-X148/100)*(1-W148/100)*100))</x:f>
        <x:v>71.35338345864662</x:v>
      </x:c>
    </x:row>
    <x:row r="149">
      <x:c r="A149" s="12" t="n">
        <x:v>46076</x:v>
      </x:c>
      <x:c r="B149" t="str">
        <x:v>A</x:v>
      </x:c>
      <x:c r="C149" t="str">
        <x:v>Desiccated Coconut</x:v>
      </x:c>
      <x:c r="D149" t="str">
        <x:v>Dryer 3</x:v>
      </x:c>
      <x:c r="E149" t="str">
        <x:v>Sup 1</x:v>
      </x:c>
      <x:c r="F149" t="n">
        <x:v>450</x:v>
      </x:c>
      <x:c r="G149" t="n">
        <x:v>40</x:v>
      </x:c>
      <x:c r="H149" t="n">
        <x:v>58</x:v>
      </x:c>
      <x:c r="I149" t="n">
        <x:v>1286</x:v>
      </x:c>
      <x:c r="J149" t="n">
        <x:v>1052</x:v>
      </x:c>
      <x:c r="K149" t="n">
        <x:v>43</x:v>
      </x:c>
      <x:c r="L149" t="n">
        <x:v>16</x:v>
      </x:c>
      <x:c r="M149" t="n">
        <x:v>89.8</x:v>
      </x:c>
      <x:c r="N149" t="n">
        <x:v>63.9</x:v>
      </x:c>
      <x:c r="O149" t="n">
        <x:v>71.2</x:v>
      </x:c>
      <x:c r="P149" t="n">
        <x:v>2</x:v>
      </x:c>
      <x:c r="Q149" t="str">
        <x:v>No incident</x:v>
      </x:c>
      <x:c r="R149" t="str">
        <x:v>N/A</x:v>
      </x:c>
      <x:c r="S149" t="str">
        <x:v>Inspection</x:v>
      </x:c>
      <x:c r="T149" t="n">
        <x:v>0.79</x:v>
      </x:c>
      <x:c r="U149" t="n">
        <x:v>9.2</x:v>
      </x:c>
      <x:c r="V149" t="n">
        <x:f>IFERROR(J149/I149*100,0)</x:f>
        <x:v>81.80404354587868</x:v>
      </x:c>
      <x:c r="W149" t="n">
        <x:f>IFERROR(K149/J149*100,0)</x:f>
        <x:v>4.08745247148289</x:v>
      </x:c>
      <x:c r="X149" t="n">
        <x:f>IFERROR(H149/F149*100,0)</x:f>
        <x:v>12.88888888888889</x:v>
      </x:c>
      <x:c r="Y149" t="n">
        <x:f>J149-K149</x:f>
        <x:v>1009</x:v>
      </x:c>
      <x:c r="Z149" t="n">
        <x:f>MAX(0,MIN(100,(V149/100)*(1-X149/100)*(1-W149/100)*100))</x:f>
        <x:v>68.34767582512528</x:v>
      </x:c>
    </x:row>
    <x:row r="150">
      <x:c r="A150" s="12" t="n">
        <x:v>46076</x:v>
      </x:c>
      <x:c r="B150" t="str">
        <x:v>B</x:v>
      </x:c>
      <x:c r="C150" t="str">
        <x:v>Desiccated Coconut</x:v>
      </x:c>
      <x:c r="D150" t="str">
        <x:v>Dryer 2</x:v>
      </x:c>
      <x:c r="E150" t="str">
        <x:v>Sup 2</x:v>
      </x:c>
      <x:c r="F150" t="n">
        <x:v>450</x:v>
      </x:c>
      <x:c r="G150" t="n">
        <x:v>0</x:v>
      </x:c>
      <x:c r="H150" t="n">
        <x:v>43</x:v>
      </x:c>
      <x:c r="I150" t="n">
        <x:v>1256</x:v>
      </x:c>
      <x:c r="J150" t="n">
        <x:v>1045</x:v>
      </x:c>
      <x:c r="K150" t="n">
        <x:v>28</x:v>
      </x:c>
      <x:c r="L150" t="n">
        <x:v>9</x:v>
      </x:c>
      <x:c r="M150" t="n">
        <x:v>88.1</x:v>
      </x:c>
      <x:c r="N150" t="n">
        <x:v>72.4</x:v>
      </x:c>
      <x:c r="O150" t="n">
        <x:v>69.5</x:v>
      </x:c>
      <x:c r="P150" t="n">
        <x:v>3</x:v>
      </x:c>
      <x:c r="Q150" t="str">
        <x:v>No incident</x:v>
      </x:c>
      <x:c r="R150" t="str">
        <x:v>N/A</x:v>
      </x:c>
      <x:c r="S150" t="str">
        <x:v>Corrective</x:v>
      </x:c>
      <x:c r="T150" t="n">
        <x:v>1.01</x:v>
      </x:c>
      <x:c r="U150" t="n">
        <x:v>8.4</x:v>
      </x:c>
      <x:c r="V150" t="n">
        <x:f>IFERROR(J150/I150*100,0)</x:f>
        <x:v>83.20063694267516</x:v>
      </x:c>
      <x:c r="W150" t="n">
        <x:f>IFERROR(K150/J150*100,0)</x:f>
        <x:v>2.6794258373205744</x:v>
      </x:c>
      <x:c r="X150" t="n">
        <x:f>IFERROR(H150/F150*100,0)</x:f>
        <x:v>9.555555555555555</x:v>
      </x:c>
      <x:c r="Y150" t="n">
        <x:f>J150-K150</x:f>
        <x:v>1017</x:v>
      </x:c>
      <x:c r="Z150" t="n">
        <x:f>MAX(0,MIN(100,(V150/100)*(1-X150/100)*(1-W150/100)*100))</x:f>
        <x:v>73.23407643312102</x:v>
      </x:c>
    </x:row>
    <x:row r="151">
      <x:c r="A151" s="12" t="n">
        <x:v>46076</x:v>
      </x:c>
      <x:c r="B151" t="str">
        <x:v>C</x:v>
      </x:c>
      <x:c r="C151" t="str">
        <x:v>Dried Mango</x:v>
      </x:c>
      <x:c r="D151" t="str">
        <x:v>Dryer 4</x:v>
      </x:c>
      <x:c r="E151" t="str">
        <x:v>Sup 2</x:v>
      </x:c>
      <x:c r="F151" t="n">
        <x:v>480</x:v>
      </x:c>
      <x:c r="G151" t="n">
        <x:v>40</x:v>
      </x:c>
      <x:c r="H151" t="n">
        <x:v>72</x:v>
      </x:c>
      <x:c r="I151" t="n">
        <x:v>1743</x:v>
      </x:c>
      <x:c r="J151" t="n">
        <x:v>1283</x:v>
      </x:c>
      <x:c r="K151" t="n">
        <x:v>59</x:v>
      </x:c>
      <x:c r="L151" t="n">
        <x:v>16</x:v>
      </x:c>
      <x:c r="M151" t="n">
        <x:v>90.8</x:v>
      </x:c>
      <x:c r="N151" t="n">
        <x:v>55.4</x:v>
      </x:c>
      <x:c r="O151" t="n">
        <x:v>75.9</x:v>
      </x:c>
      <x:c r="P151" t="n">
        <x:v>3</x:v>
      </x:c>
      <x:c r="Q151" t="str">
        <x:v>No incident</x:v>
      </x:c>
      <x:c r="R151" t="str">
        <x:v>N/A</x:v>
      </x:c>
      <x:c r="S151" t="str">
        <x:v>Corrective</x:v>
      </x:c>
      <x:c r="T151" t="n">
        <x:v>0.81</x:v>
      </x:c>
      <x:c r="U151" t="n">
        <x:v>10.9</x:v>
      </x:c>
      <x:c r="V151" t="n">
        <x:f>IFERROR(J151/I151*100,0)</x:f>
        <x:v>73.60872059667241</x:v>
      </x:c>
      <x:c r="W151" t="n">
        <x:f>IFERROR(K151/J151*100,0)</x:f>
        <x:v>4.5985970381917385</x:v>
      </x:c>
      <x:c r="X151" t="n">
        <x:f>IFERROR(H151/F151*100,0)</x:f>
        <x:v>15</x:v>
      </x:c>
      <x:c r="Y151" t="n">
        <x:f>J151-K151</x:f>
        <x:v>1224</x:v>
      </x:c>
      <x:c r="Z151" t="n">
        <x:f>MAX(0,MIN(100,(V151/100)*(1-X151/100)*(1-W151/100)*100))</x:f>
        <x:v>59.69018932874355</x:v>
      </x:c>
    </x:row>
    <x:row r="152">
      <x:c r="A152" s="12" t="n">
        <x:v>46077</x:v>
      </x:c>
      <x:c r="B152" t="str">
        <x:v>A</x:v>
      </x:c>
      <x:c r="C152" t="str">
        <x:v>Desiccated Coconut</x:v>
      </x:c>
      <x:c r="D152" t="str">
        <x:v>Dryer 2</x:v>
      </x:c>
      <x:c r="E152" t="str">
        <x:v>Sup 3</x:v>
      </x:c>
      <x:c r="F152" t="n">
        <x:v>480</x:v>
      </x:c>
      <x:c r="G152" t="n">
        <x:v>0</x:v>
      </x:c>
      <x:c r="H152" t="n">
        <x:v>55</x:v>
      </x:c>
      <x:c r="I152" t="n">
        <x:v>1122</x:v>
      </x:c>
      <x:c r="J152" t="n">
        <x:v>954</x:v>
      </x:c>
      <x:c r="K152" t="n">
        <x:v>25</x:v>
      </x:c>
      <x:c r="L152" t="n">
        <x:v>5</x:v>
      </x:c>
      <x:c r="M152" t="n">
        <x:v>86.5</x:v>
      </x:c>
      <x:c r="N152" t="n">
        <x:v>75.4</x:v>
      </x:c>
      <x:c r="O152" t="n">
        <x:v>84.4</x:v>
      </x:c>
      <x:c r="P152" t="n">
        <x:v>4</x:v>
      </x:c>
      <x:c r="Q152" t="str">
        <x:v>No incident</x:v>
      </x:c>
      <x:c r="R152" t="str">
        <x:v>N/A</x:v>
      </x:c>
      <x:c r="S152" t="str">
        <x:v>Corrective</x:v>
      </x:c>
      <x:c r="T152" t="n">
        <x:v>1.23</x:v>
      </x:c>
      <x:c r="U152" t="n">
        <x:v>7.9</x:v>
      </x:c>
      <x:c r="V152" t="n">
        <x:f>IFERROR(J152/I152*100,0)</x:f>
        <x:v>85.02673796791443</x:v>
      </x:c>
      <x:c r="W152" t="n">
        <x:f>IFERROR(K152/J152*100,0)</x:f>
        <x:v>2.6205450733752618</x:v>
      </x:c>
      <x:c r="X152" t="n">
        <x:f>IFERROR(H152/F152*100,0)</x:f>
        <x:v>11.458333333333332</x:v>
      </x:c>
      <x:c r="Y152" t="n">
        <x:f>J152-K152</x:f>
        <x:v>929</x:v>
      </x:c>
      <x:c r="Z152" t="n">
        <x:f>MAX(0,MIN(100,(V152/100)*(1-X152/100)*(1-W152/100)*100))</x:f>
        <x:v>73.31123737373737</x:v>
      </x:c>
    </x:row>
    <x:row r="153">
      <x:c r="A153" s="12" t="n">
        <x:v>46077</x:v>
      </x:c>
      <x:c r="B153" t="str">
        <x:v>B</x:v>
      </x:c>
      <x:c r="C153" t="str">
        <x:v>Dried Mango</x:v>
      </x:c>
      <x:c r="D153" t="str">
        <x:v>Dryer 2</x:v>
      </x:c>
      <x:c r="E153" t="str">
        <x:v>Sup 1</x:v>
      </x:c>
      <x:c r="F153" t="n">
        <x:v>480</x:v>
      </x:c>
      <x:c r="G153" t="n">
        <x:v>0</x:v>
      </x:c>
      <x:c r="H153" t="n">
        <x:v>42</x:v>
      </x:c>
      <x:c r="I153" t="n">
        <x:v>1766</x:v>
      </x:c>
      <x:c r="J153" t="n">
        <x:v>1492</x:v>
      </x:c>
      <x:c r="K153" t="n">
        <x:v>53</x:v>
      </x:c>
      <x:c r="L153" t="n">
        <x:v>24</x:v>
      </x:c>
      <x:c r="M153" t="n">
        <x:v>93.9</x:v>
      </x:c>
      <x:c r="N153" t="n">
        <x:v>71.3</x:v>
      </x:c>
      <x:c r="O153" t="n">
        <x:v>56.7</x:v>
      </x:c>
      <x:c r="P153" t="n">
        <x:v>4</x:v>
      </x:c>
      <x:c r="Q153" t="str">
        <x:v>No incident</x:v>
      </x:c>
      <x:c r="R153" t="str">
        <x:v>N/A</x:v>
      </x:c>
      <x:c r="S153" t="str">
        <x:v>Inspection</x:v>
      </x:c>
      <x:c r="T153" t="n">
        <x:v>0.62</x:v>
      </x:c>
      <x:c r="U153" t="n">
        <x:v>12.2</x:v>
      </x:c>
      <x:c r="V153" t="n">
        <x:f>IFERROR(J153/I153*100,0)</x:f>
        <x:v>84.48471121177803</x:v>
      </x:c>
      <x:c r="W153" t="n">
        <x:f>IFERROR(K153/J153*100,0)</x:f>
        <x:v>3.5522788203753355</x:v>
      </x:c>
      <x:c r="X153" t="n">
        <x:f>IFERROR(H153/F153*100,0)</x:f>
        <x:v>8.75</x:v>
      </x:c>
      <x:c r="Y153" t="n">
        <x:f>J153-K153</x:f>
        <x:v>1439</x:v>
      </x:c>
      <x:c r="Z153" t="n">
        <x:f>MAX(0,MIN(100,(V153/100)*(1-X153/100)*(1-W153/100)*100))</x:f>
        <x:v>74.35376557191393</x:v>
      </x:c>
    </x:row>
    <x:row r="154">
      <x:c r="A154" s="12" t="n">
        <x:v>46077</x:v>
      </x:c>
      <x:c r="B154" t="str">
        <x:v>C</x:v>
      </x:c>
      <x:c r="C154" t="str">
        <x:v>Dried Mango</x:v>
      </x:c>
      <x:c r="D154" t="str">
        <x:v>Dryer 3</x:v>
      </x:c>
      <x:c r="E154" t="str">
        <x:v>Sup 1</x:v>
      </x:c>
      <x:c r="F154" t="n">
        <x:v>450</x:v>
      </x:c>
      <x:c r="G154" t="n">
        <x:v>20</x:v>
      </x:c>
      <x:c r="H154" t="n">
        <x:v>79</x:v>
      </x:c>
      <x:c r="I154" t="n">
        <x:v>1582</x:v>
      </x:c>
      <x:c r="J154" t="n">
        <x:v>1284</x:v>
      </x:c>
      <x:c r="K154" t="n">
        <x:v>71</x:v>
      </x:c>
      <x:c r="L154" t="n">
        <x:v>38</x:v>
      </x:c>
      <x:c r="M154" t="n">
        <x:v>91.6</x:v>
      </x:c>
      <x:c r="N154" t="n">
        <x:v>80.8</x:v>
      </x:c>
      <x:c r="O154" t="n">
        <x:v>67.7</x:v>
      </x:c>
      <x:c r="P154" t="n">
        <x:v>1</x:v>
      </x:c>
      <x:c r="Q154" t="str">
        <x:v>No incident</x:v>
      </x:c>
      <x:c r="R154" t="str">
        <x:v>N/A</x:v>
      </x:c>
      <x:c r="S154" t="str">
        <x:v>Inspection</x:v>
      </x:c>
      <x:c r="T154" t="n">
        <x:v>0.69</x:v>
      </x:c>
      <x:c r="U154" t="n">
        <x:v>9.8</x:v>
      </x:c>
      <x:c r="V154" t="n">
        <x:f>IFERROR(J154/I154*100,0)</x:f>
        <x:v>81.16308470290771</x:v>
      </x:c>
      <x:c r="W154" t="n">
        <x:f>IFERROR(K154/J154*100,0)</x:f>
        <x:v>5.529595015576324</x:v>
      </x:c>
      <x:c r="X154" t="n">
        <x:f>IFERROR(H154/F154*100,0)</x:f>
        <x:v>17.555555555555554</x:v>
      </x:c>
      <x:c r="Y154" t="n">
        <x:f>J154-K154</x:f>
        <x:v>1213</x:v>
      </x:c>
      <x:c r="Z154" t="n">
        <x:f>MAX(0,MIN(100,(V154/100)*(1-X154/100)*(1-W154/100)*100))</x:f>
        <x:v>63.21435594886922</x:v>
      </x:c>
    </x:row>
    <x:row r="155">
      <x:c r="A155" s="12" t="n">
        <x:v>46078</x:v>
      </x:c>
      <x:c r="B155" t="str">
        <x:v>A</x:v>
      </x:c>
      <x:c r="C155" t="str">
        <x:v>Desiccated Coconut</x:v>
      </x:c>
      <x:c r="D155" t="str">
        <x:v>Dryer 3</x:v>
      </x:c>
      <x:c r="E155" t="str">
        <x:v>Sup 3</x:v>
      </x:c>
      <x:c r="F155" t="n">
        <x:v>450</x:v>
      </x:c>
      <x:c r="G155" t="n">
        <x:v>0</x:v>
      </x:c>
      <x:c r="H155" t="n">
        <x:v>69</x:v>
      </x:c>
      <x:c r="I155" t="n">
        <x:v>1270</x:v>
      </x:c>
      <x:c r="J155" t="n">
        <x:v>1029</x:v>
      </x:c>
      <x:c r="K155" t="n">
        <x:v>39</x:v>
      </x:c>
      <x:c r="L155" t="n">
        <x:v>7</x:v>
      </x:c>
      <x:c r="M155" t="n">
        <x:v>89.4</x:v>
      </x:c>
      <x:c r="N155" t="n">
        <x:v>67.9</x:v>
      </x:c>
      <x:c r="O155" t="n">
        <x:v>61.5</x:v>
      </x:c>
      <x:c r="P155" t="n">
        <x:v>4</x:v>
      </x:c>
      <x:c r="Q155" t="str">
        <x:v>No incident</x:v>
      </x:c>
      <x:c r="R155" t="str">
        <x:v>N/A</x:v>
      </x:c>
      <x:c r="S155" t="str">
        <x:v>Preventive</x:v>
      </x:c>
      <x:c r="T155" t="n">
        <x:v>0.92</x:v>
      </x:c>
      <x:c r="U155" t="n">
        <x:v>9.2</x:v>
      </x:c>
      <x:c r="V155" t="n">
        <x:f>IFERROR(J155/I155*100,0)</x:f>
        <x:v>81.02362204724409</x:v>
      </x:c>
      <x:c r="W155" t="n">
        <x:f>IFERROR(K155/J155*100,0)</x:f>
        <x:v>3.7900874635568513</x:v>
      </x:c>
      <x:c r="X155" t="n">
        <x:f>IFERROR(H155/F155*100,0)</x:f>
        <x:v>15.333333333333332</x:v>
      </x:c>
      <x:c r="Y155" t="n">
        <x:f>J155-K155</x:f>
        <x:v>990</x:v>
      </x:c>
      <x:c r="Z155" t="n">
        <x:f>MAX(0,MIN(100,(V155/100)*(1-X155/100)*(1-W155/100)*100))</x:f>
        <x:v>66</x:v>
      </x:c>
    </x:row>
    <x:row r="156">
      <x:c r="A156" s="12" t="n">
        <x:v>46078</x:v>
      </x:c>
      <x:c r="B156" t="str">
        <x:v>B</x:v>
      </x:c>
      <x:c r="C156" t="str">
        <x:v>Dried Mango</x:v>
      </x:c>
      <x:c r="D156" t="str">
        <x:v>Dryer 2</x:v>
      </x:c>
      <x:c r="E156" t="str">
        <x:v>Sup 3</x:v>
      </x:c>
      <x:c r="F156" t="n">
        <x:v>450</x:v>
      </x:c>
      <x:c r="G156" t="n">
        <x:v>30</x:v>
      </x:c>
      <x:c r="H156" t="n">
        <x:v>44</x:v>
      </x:c>
      <x:c r="I156" t="n">
        <x:v>1559</x:v>
      </x:c>
      <x:c r="J156" t="n">
        <x:v>1381</x:v>
      </x:c>
      <x:c r="K156" t="n">
        <x:v>49</x:v>
      </x:c>
      <x:c r="L156" t="n">
        <x:v>27</x:v>
      </x:c>
      <x:c r="M156" t="n">
        <x:v>82.6</x:v>
      </x:c>
      <x:c r="N156" t="n">
        <x:v>72.5</x:v>
      </x:c>
      <x:c r="O156" t="n">
        <x:v>85.4</x:v>
      </x:c>
      <x:c r="P156" t="n">
        <x:v>5</x:v>
      </x:c>
      <x:c r="Q156" t="str">
        <x:v>No incident</x:v>
      </x:c>
      <x:c r="R156" t="str">
        <x:v>N/A</x:v>
      </x:c>
      <x:c r="S156" t="str">
        <x:v>Inspection</x:v>
      </x:c>
      <x:c r="T156" t="n">
        <x:v>0.93</x:v>
      </x:c>
      <x:c r="U156" t="n">
        <x:v>11.2</x:v>
      </x:c>
      <x:c r="V156" t="n">
        <x:f>IFERROR(J156/I156*100,0)</x:f>
        <x:v>88.58242463117382</x:v>
      </x:c>
      <x:c r="W156" t="n">
        <x:f>IFERROR(K156/J156*100,0)</x:f>
        <x:v>3.5481535119478638</x:v>
      </x:c>
      <x:c r="X156" t="n">
        <x:f>IFERROR(H156/F156*100,0)</x:f>
        <x:v>9.777777777777779</x:v>
      </x:c>
      <x:c r="Y156" t="n">
        <x:f>J156-K156</x:f>
        <x:v>1332</x:v>
      </x:c>
      <x:c r="Z156" t="n">
        <x:f>MAX(0,MIN(100,(V156/100)*(1-X156/100)*(1-W156/100)*100))</x:f>
        <x:v>77.08531109685696</x:v>
      </x:c>
    </x:row>
    <x:row r="157">
      <x:c r="A157" s="12" t="n">
        <x:v>46078</x:v>
      </x:c>
      <x:c r="B157" t="str">
        <x:v>C</x:v>
      </x:c>
      <x:c r="C157" t="str">
        <x:v>Desiccated Coconut</x:v>
      </x:c>
      <x:c r="D157" t="str">
        <x:v>Dryer 2</x:v>
      </x:c>
      <x:c r="E157" t="str">
        <x:v>Sup 3</x:v>
      </x:c>
      <x:c r="F157" t="n">
        <x:v>450</x:v>
      </x:c>
      <x:c r="G157" t="n">
        <x:v>30</x:v>
      </x:c>
      <x:c r="H157" t="n">
        <x:v>61</x:v>
      </x:c>
      <x:c r="I157" t="n">
        <x:v>1208</x:v>
      </x:c>
      <x:c r="J157" t="n">
        <x:v>936</x:v>
      </x:c>
      <x:c r="K157" t="n">
        <x:v>30</x:v>
      </x:c>
      <x:c r="L157" t="n">
        <x:v>12</x:v>
      </x:c>
      <x:c r="M157" t="n">
        <x:v>91.9</x:v>
      </x:c>
      <x:c r="N157" t="n">
        <x:v>84.2</x:v>
      </x:c>
      <x:c r="O157" t="n">
        <x:v>70.1</x:v>
      </x:c>
      <x:c r="P157" t="n">
        <x:v>4</x:v>
      </x:c>
      <x:c r="Q157" t="str">
        <x:v>No incident</x:v>
      </x:c>
      <x:c r="R157" t="str">
        <x:v>N/A</x:v>
      </x:c>
      <x:c r="S157" t="str">
        <x:v>Corrective</x:v>
      </x:c>
      <x:c r="T157" t="n">
        <x:v>1.54</x:v>
      </x:c>
      <x:c r="U157" t="n">
        <x:v>7.9</x:v>
      </x:c>
      <x:c r="V157" t="n">
        <x:f>IFERROR(J157/I157*100,0)</x:f>
        <x:v>77.48344370860927</x:v>
      </x:c>
      <x:c r="W157" t="n">
        <x:f>IFERROR(K157/J157*100,0)</x:f>
        <x:v>3.205128205128205</x:v>
      </x:c>
      <x:c r="X157" t="n">
        <x:f>IFERROR(H157/F157*100,0)</x:f>
        <x:v>13.555555555555557</x:v>
      </x:c>
      <x:c r="Y157" t="n">
        <x:f>J157-K157</x:f>
        <x:v>906</x:v>
      </x:c>
      <x:c r="Z157" t="n">
        <x:f>MAX(0,MIN(100,(V157/100)*(1-X157/100)*(1-W157/100)*100))</x:f>
        <x:v>64.83333333333333</x:v>
      </x:c>
    </x:row>
    <x:row r="158">
      <x:c r="A158" s="12" t="n">
        <x:v>46079</x:v>
      </x:c>
      <x:c r="B158" t="str">
        <x:v>A</x:v>
      </x:c>
      <x:c r="C158" t="str">
        <x:v>Dried Mango</x:v>
      </x:c>
      <x:c r="D158" t="str">
        <x:v>Dryer 3</x:v>
      </x:c>
      <x:c r="E158" t="str">
        <x:v>Sup 1</x:v>
      </x:c>
      <x:c r="F158" t="n">
        <x:v>420</x:v>
      </x:c>
      <x:c r="G158" t="n">
        <x:v>0</x:v>
      </x:c>
      <x:c r="H158" t="n">
        <x:v>62</x:v>
      </x:c>
      <x:c r="I158" t="n">
        <x:v>1692</x:v>
      </x:c>
      <x:c r="J158" t="n">
        <x:v>1415</x:v>
      </x:c>
      <x:c r="K158" t="n">
        <x:v>76</x:v>
      </x:c>
      <x:c r="L158" t="n">
        <x:v>39</x:v>
      </x:c>
      <x:c r="M158" t="n">
        <x:v>87.5</x:v>
      </x:c>
      <x:c r="N158" t="n">
        <x:v>83</x:v>
      </x:c>
      <x:c r="O158" t="n">
        <x:v>79.7</x:v>
      </x:c>
      <x:c r="P158" t="n">
        <x:v>0</x:v>
      </x:c>
      <x:c r="Q158" t="str">
        <x:v>Near miss</x:v>
      </x:c>
      <x:c r="R158" t="str">
        <x:v>Closed</x:v>
      </x:c>
      <x:c r="S158" t="str">
        <x:v>Preventive</x:v>
      </x:c>
      <x:c r="T158" t="n">
        <x:v>0.82</x:v>
      </x:c>
      <x:c r="U158" t="n">
        <x:v>12</x:v>
      </x:c>
      <x:c r="V158" t="n">
        <x:f>IFERROR(J158/I158*100,0)</x:f>
        <x:v>83.62884160756501</x:v>
      </x:c>
      <x:c r="W158" t="n">
        <x:f>IFERROR(K158/J158*100,0)</x:f>
        <x:v>5.371024734982332</x:v>
      </x:c>
      <x:c r="X158" t="n">
        <x:f>IFERROR(H158/F158*100,0)</x:f>
        <x:v>14.761904761904763</x:v>
      </x:c>
      <x:c r="Y158" t="n">
        <x:f>J158-K158</x:f>
        <x:v>1339</x:v>
      </x:c>
      <x:c r="Z158" t="n">
        <x:f>MAX(0,MIN(100,(V158/100)*(1-X158/100)*(1-W158/100)*100))</x:f>
        <x:v>67.45497016773612</x:v>
      </x:c>
    </x:row>
    <x:row r="159">
      <x:c r="A159" s="12" t="n">
        <x:v>46079</x:v>
      </x:c>
      <x:c r="B159" t="str">
        <x:v>B</x:v>
      </x:c>
      <x:c r="C159" t="str">
        <x:v>Desiccated Coconut</x:v>
      </x:c>
      <x:c r="D159" t="str">
        <x:v>Dryer 4</x:v>
      </x:c>
      <x:c r="E159" t="str">
        <x:v>Sup 2</x:v>
      </x:c>
      <x:c r="F159" t="n">
        <x:v>480</x:v>
      </x:c>
      <x:c r="G159" t="n">
        <x:v>40</x:v>
      </x:c>
      <x:c r="H159" t="n">
        <x:v>48</x:v>
      </x:c>
      <x:c r="I159" t="n">
        <x:v>1193</x:v>
      </x:c>
      <x:c r="J159" t="n">
        <x:v>1044</x:v>
      </x:c>
      <x:c r="K159" t="n">
        <x:v>23</x:v>
      </x:c>
      <x:c r="L159" t="n">
        <x:v>7</x:v>
      </x:c>
      <x:c r="M159" t="n">
        <x:v>85</x:v>
      </x:c>
      <x:c r="N159" t="n">
        <x:v>71.5</x:v>
      </x:c>
      <x:c r="O159" t="n">
        <x:v>73.4</x:v>
      </x:c>
      <x:c r="P159" t="n">
        <x:v>2</x:v>
      </x:c>
      <x:c r="Q159" t="str">
        <x:v>No incident</x:v>
      </x:c>
      <x:c r="R159" t="str">
        <x:v>N/A</x:v>
      </x:c>
      <x:c r="S159" t="str">
        <x:v>Corrective</x:v>
      </x:c>
      <x:c r="T159" t="n">
        <x:v>0.98</x:v>
      </x:c>
      <x:c r="U159" t="n">
        <x:v>7.9</x:v>
      </x:c>
      <x:c r="V159" t="n">
        <x:f>IFERROR(J159/I159*100,0)</x:f>
        <x:v>87.51047778709136</x:v>
      </x:c>
      <x:c r="W159" t="n">
        <x:f>IFERROR(K159/J159*100,0)</x:f>
        <x:v>2.203065134099617</x:v>
      </x:c>
      <x:c r="X159" t="n">
        <x:f>IFERROR(H159/F159*100,0)</x:f>
        <x:v>10</x:v>
      </x:c>
      <x:c r="Y159" t="n">
        <x:f>J159-K159</x:f>
        <x:v>1021</x:v>
      </x:c>
      <x:c r="Z159" t="n">
        <x:f>MAX(0,MIN(100,(V159/100)*(1-X159/100)*(1-W159/100)*100))</x:f>
        <x:v>77.02430846605198</x:v>
      </x:c>
    </x:row>
    <x:row r="160">
      <x:c r="A160" s="12" t="n">
        <x:v>46079</x:v>
      </x:c>
      <x:c r="B160" t="str">
        <x:v>C</x:v>
      </x:c>
      <x:c r="C160" t="str">
        <x:v>Desiccated Coconut</x:v>
      </x:c>
      <x:c r="D160" t="str">
        <x:v>Dryer 3</x:v>
      </x:c>
      <x:c r="E160" t="str">
        <x:v>Sup 3</x:v>
      </x:c>
      <x:c r="F160" t="n">
        <x:v>480</x:v>
      </x:c>
      <x:c r="G160" t="n">
        <x:v>20</x:v>
      </x:c>
      <x:c r="H160" t="n">
        <x:v>52</x:v>
      </x:c>
      <x:c r="I160" t="n">
        <x:v>1113</x:v>
      </x:c>
      <x:c r="J160" t="n">
        <x:v>889</x:v>
      </x:c>
      <x:c r="K160" t="n">
        <x:v>27</x:v>
      </x:c>
      <x:c r="L160" t="n">
        <x:v>10</x:v>
      </x:c>
      <x:c r="M160" t="n">
        <x:v>87.2</x:v>
      </x:c>
      <x:c r="N160" t="n">
        <x:v>64.7</x:v>
      </x:c>
      <x:c r="O160" t="n">
        <x:v>75</x:v>
      </x:c>
      <x:c r="P160" t="n">
        <x:v>3</x:v>
      </x:c>
      <x:c r="Q160" t="str">
        <x:v>Near miss</x:v>
      </x:c>
      <x:c r="R160" t="str">
        <x:v>In progress</x:v>
      </x:c>
      <x:c r="S160" t="str">
        <x:v>Inspection</x:v>
      </x:c>
      <x:c r="T160" t="n">
        <x:v>0.5</x:v>
      </x:c>
      <x:c r="U160" t="n">
        <x:v>7</x:v>
      </x:c>
      <x:c r="V160" t="n">
        <x:f>IFERROR(J160/I160*100,0)</x:f>
        <x:v>79.87421383647799</x:v>
      </x:c>
      <x:c r="W160" t="n">
        <x:f>IFERROR(K160/J160*100,0)</x:f>
        <x:v>3.0371203599550056</x:v>
      </x:c>
      <x:c r="X160" t="n">
        <x:f>IFERROR(H160/F160*100,0)</x:f>
        <x:v>10.833333333333334</x:v>
      </x:c>
      <x:c r="Y160" t="n">
        <x:f>J160-K160</x:f>
        <x:v>862</x:v>
      </x:c>
      <x:c r="Z160" t="n">
        <x:f>MAX(0,MIN(100,(V160/100)*(1-X160/100)*(1-W160/100)*100))</x:f>
        <x:v>69.05810122791254</x:v>
      </x:c>
    </x:row>
    <x:row r="161">
      <x:c r="A161" s="12" t="n">
        <x:v>46080</x:v>
      </x:c>
      <x:c r="B161" t="str">
        <x:v>A</x:v>
      </x:c>
      <x:c r="C161" t="str">
        <x:v>Dried Pineapple</x:v>
      </x:c>
      <x:c r="D161" t="str">
        <x:v>Dryer 1</x:v>
      </x:c>
      <x:c r="E161" t="str">
        <x:v>Sup 3</x:v>
      </x:c>
      <x:c r="F161" t="n">
        <x:v>450</x:v>
      </x:c>
      <x:c r="G161" t="n">
        <x:v>40</x:v>
      </x:c>
      <x:c r="H161" t="n">
        <x:v>40</x:v>
      </x:c>
      <x:c r="I161" t="n">
        <x:v>1770</x:v>
      </x:c>
      <x:c r="J161" t="n">
        <x:v>1447</x:v>
      </x:c>
      <x:c r="K161" t="n">
        <x:v>43</x:v>
      </x:c>
      <x:c r="L161" t="n">
        <x:v>8</x:v>
      </x:c>
      <x:c r="M161" t="n">
        <x:v>88.2</x:v>
      </x:c>
      <x:c r="N161" t="n">
        <x:v>59.2</x:v>
      </x:c>
      <x:c r="O161" t="n">
        <x:v>66.5</x:v>
      </x:c>
      <x:c r="P161" t="n">
        <x:v>3</x:v>
      </x:c>
      <x:c r="Q161" t="str">
        <x:v>No incident</x:v>
      </x:c>
      <x:c r="R161" t="str">
        <x:v>N/A</x:v>
      </x:c>
      <x:c r="S161" t="str">
        <x:v>Corrective</x:v>
      </x:c>
      <x:c r="T161" t="n">
        <x:v>1.48</x:v>
      </x:c>
      <x:c r="U161" t="n">
        <x:v>12.5</x:v>
      </x:c>
      <x:c r="V161" t="n">
        <x:f>IFERROR(J161/I161*100,0)</x:f>
        <x:v>81.75141242937853</x:v>
      </x:c>
      <x:c r="W161" t="n">
        <x:f>IFERROR(K161/J161*100,0)</x:f>
        <x:v>2.9716655148583278</x:v>
      </x:c>
      <x:c r="X161" t="n">
        <x:f>IFERROR(H161/F161*100,0)</x:f>
        <x:v>8.88888888888889</x:v>
      </x:c>
      <x:c r="Y161" t="n">
        <x:f>J161-K161</x:f>
        <x:v>1404</x:v>
      </x:c>
      <x:c r="Z161" t="n">
        <x:f>MAX(0,MIN(100,(V161/100)*(1-X161/100)*(1-W161/100)*100))</x:f>
        <x:v>72.27118644067797</x:v>
      </x:c>
    </x:row>
    <x:row r="162">
      <x:c r="A162" s="12" t="n">
        <x:v>46080</x:v>
      </x:c>
      <x:c r="B162" t="str">
        <x:v>B</x:v>
      </x:c>
      <x:c r="C162" t="str">
        <x:v>Dried Pineapple</x:v>
      </x:c>
      <x:c r="D162" t="str">
        <x:v>Dryer 1</x:v>
      </x:c>
      <x:c r="E162" t="str">
        <x:v>Sup 1</x:v>
      </x:c>
      <x:c r="F162" t="n">
        <x:v>450</x:v>
      </x:c>
      <x:c r="G162" t="n">
        <x:v>0</x:v>
      </x:c>
      <x:c r="H162" t="n">
        <x:v>38</x:v>
      </x:c>
      <x:c r="I162" t="n">
        <x:v>1704</x:v>
      </x:c>
      <x:c r="J162" t="n">
        <x:v>1534</x:v>
      </x:c>
      <x:c r="K162" t="n">
        <x:v>52</x:v>
      </x:c>
      <x:c r="L162" t="n">
        <x:v>13</x:v>
      </x:c>
      <x:c r="M162" t="n">
        <x:v>79.4</x:v>
      </x:c>
      <x:c r="N162" t="n">
        <x:v>71.6</x:v>
      </x:c>
      <x:c r="O162" t="n">
        <x:v>73.2</x:v>
      </x:c>
      <x:c r="P162" t="n">
        <x:v>1</x:v>
      </x:c>
      <x:c r="Q162" t="str">
        <x:v>First aid</x:v>
      </x:c>
      <x:c r="R162" t="str">
        <x:v>Open</x:v>
      </x:c>
      <x:c r="S162" t="str">
        <x:v>Inspection</x:v>
      </x:c>
      <x:c r="T162" t="n">
        <x:v>0.93</x:v>
      </x:c>
      <x:c r="U162" t="n">
        <x:v>13.7</x:v>
      </x:c>
      <x:c r="V162" t="n">
        <x:f>IFERROR(J162/I162*100,0)</x:f>
        <x:v>90.02347417840375</x:v>
      </x:c>
      <x:c r="W162" t="n">
        <x:f>IFERROR(K162/J162*100,0)</x:f>
        <x:v>3.389830508474576</x:v>
      </x:c>
      <x:c r="X162" t="n">
        <x:f>IFERROR(H162/F162*100,0)</x:f>
        <x:v>8.444444444444445</x:v>
      </x:c>
      <x:c r="Y162" t="n">
        <x:f>J162-K162</x:f>
        <x:v>1482</x:v>
      </x:c>
      <x:c r="Z162" t="n">
        <x:f>MAX(0,MIN(100,(V162/100)*(1-X162/100)*(1-W162/100)*100))</x:f>
        <x:v>79.62754303599374</x:v>
      </x:c>
    </x:row>
    <x:row r="163">
      <x:c r="A163" s="12" t="n">
        <x:v>46080</x:v>
      </x:c>
      <x:c r="B163" t="str">
        <x:v>C</x:v>
      </x:c>
      <x:c r="C163" t="str">
        <x:v>Desiccated Coconut</x:v>
      </x:c>
      <x:c r="D163" t="str">
        <x:v>Dryer 4</x:v>
      </x:c>
      <x:c r="E163" t="str">
        <x:v>Sup 1</x:v>
      </x:c>
      <x:c r="F163" t="n">
        <x:v>450</x:v>
      </x:c>
      <x:c r="G163" t="n">
        <x:v>20</x:v>
      </x:c>
      <x:c r="H163" t="n">
        <x:v>43</x:v>
      </x:c>
      <x:c r="I163" t="n">
        <x:v>1129</x:v>
      </x:c>
      <x:c r="J163" t="n">
        <x:v>974</x:v>
      </x:c>
      <x:c r="K163" t="n">
        <x:v>33</x:v>
      </x:c>
      <x:c r="L163" t="n">
        <x:v>18</x:v>
      </x:c>
      <x:c r="M163" t="n">
        <x:v>88.9</x:v>
      </x:c>
      <x:c r="N163" t="n">
        <x:v>73.3</x:v>
      </x:c>
      <x:c r="O163" t="n">
        <x:v>73.1</x:v>
      </x:c>
      <x:c r="P163" t="n">
        <x:v>4</x:v>
      </x:c>
      <x:c r="Q163" t="str">
        <x:v>Near miss</x:v>
      </x:c>
      <x:c r="R163" t="str">
        <x:v>In progress</x:v>
      </x:c>
      <x:c r="S163" t="str">
        <x:v>Inspection</x:v>
      </x:c>
      <x:c r="T163" t="n">
        <x:v>0.92</x:v>
      </x:c>
      <x:c r="U163" t="n">
        <x:v>8.6</x:v>
      </x:c>
      <x:c r="V163" t="n">
        <x:f>IFERROR(J163/I163*100,0)</x:f>
        <x:v>86.27103631532329</x:v>
      </x:c>
      <x:c r="W163" t="n">
        <x:f>IFERROR(K163/J163*100,0)</x:f>
        <x:v>3.3880903490759757</x:v>
      </x:c>
      <x:c r="X163" t="n">
        <x:f>IFERROR(H163/F163*100,0)</x:f>
        <x:v>9.555555555555555</x:v>
      </x:c>
      <x:c r="Y163" t="n">
        <x:f>J163-K163</x:f>
        <x:v>941</x:v>
      </x:c>
      <x:c r="Z163" t="n">
        <x:f>MAX(0,MIN(100,(V163/100)*(1-X163/100)*(1-W163/100)*100))</x:f>
        <x:v>75.38372207459895</x:v>
      </x:c>
    </x:row>
    <x:row r="164">
      <x:c r="A164" s="12" t="n">
        <x:v>46081</x:v>
      </x:c>
      <x:c r="B164" t="str">
        <x:v>A</x:v>
      </x:c>
      <x:c r="C164" t="str">
        <x:v>Desiccated Coconut</x:v>
      </x:c>
      <x:c r="D164" t="str">
        <x:v>Dryer 2</x:v>
      </x:c>
      <x:c r="E164" t="str">
        <x:v>Sup 3</x:v>
      </x:c>
      <x:c r="F164" t="n">
        <x:v>420</x:v>
      </x:c>
      <x:c r="G164" t="n">
        <x:v>40</x:v>
      </x:c>
      <x:c r="H164" t="n">
        <x:v>32</x:v>
      </x:c>
      <x:c r="I164" t="n">
        <x:v>1215</x:v>
      </x:c>
      <x:c r="J164" t="n">
        <x:v>1085</x:v>
      </x:c>
      <x:c r="K164" t="n">
        <x:v>37</x:v>
      </x:c>
      <x:c r="L164" t="n">
        <x:v>21</x:v>
      </x:c>
      <x:c r="M164" t="n">
        <x:v>86.1</x:v>
      </x:c>
      <x:c r="N164" t="n">
        <x:v>71.5</x:v>
      </x:c>
      <x:c r="O164" t="n">
        <x:v>77.4</x:v>
      </x:c>
      <x:c r="P164" t="n">
        <x:v>0</x:v>
      </x:c>
      <x:c r="Q164" t="str">
        <x:v>No incident</x:v>
      </x:c>
      <x:c r="R164" t="str">
        <x:v>N/A</x:v>
      </x:c>
      <x:c r="S164" t="str">
        <x:v>Corrective</x:v>
      </x:c>
      <x:c r="T164" t="n">
        <x:v>1.25</x:v>
      </x:c>
      <x:c r="U164" t="n">
        <x:v>9.1</x:v>
      </x:c>
      <x:c r="V164" t="n">
        <x:f>IFERROR(J164/I164*100,0)</x:f>
        <x:v>89.30041152263375</x:v>
      </x:c>
      <x:c r="W164" t="n">
        <x:f>IFERROR(K164/J164*100,0)</x:f>
        <x:v>3.410138248847926</x:v>
      </x:c>
      <x:c r="X164" t="n">
        <x:f>IFERROR(H164/F164*100,0)</x:f>
        <x:v>7.6190476190476195</x:v>
      </x:c>
      <x:c r="Y164" t="n">
        <x:f>J164-K164</x:f>
        <x:v>1048</x:v>
      </x:c>
      <x:c r="Z164" t="n">
        <x:f>MAX(0,MIN(100,(V164/100)*(1-X164/100)*(1-W164/100)*100))</x:f>
        <x:v>79.6833235351754</x:v>
      </x:c>
    </x:row>
    <x:row r="165">
      <x:c r="A165" s="12" t="n">
        <x:v>46081</x:v>
      </x:c>
      <x:c r="B165" t="str">
        <x:v>B</x:v>
      </x:c>
      <x:c r="C165" t="str">
        <x:v>Desiccated Coconut</x:v>
      </x:c>
      <x:c r="D165" t="str">
        <x:v>Dryer 3</x:v>
      </x:c>
      <x:c r="E165" t="str">
        <x:v>Sup 3</x:v>
      </x:c>
      <x:c r="F165" t="n">
        <x:v>420</x:v>
      </x:c>
      <x:c r="G165" t="n">
        <x:v>0</x:v>
      </x:c>
      <x:c r="H165" t="n">
        <x:v>78</x:v>
      </x:c>
      <x:c r="I165" t="n">
        <x:v>1203</x:v>
      </x:c>
      <x:c r="J165" t="n">
        <x:v>877</x:v>
      </x:c>
      <x:c r="K165" t="n">
        <x:v>42</x:v>
      </x:c>
      <x:c r="L165" t="n">
        <x:v>24</x:v>
      </x:c>
      <x:c r="M165" t="n">
        <x:v>97.3</x:v>
      </x:c>
      <x:c r="N165" t="n">
        <x:v>73.9</x:v>
      </x:c>
      <x:c r="O165" t="n">
        <x:v>78</x:v>
      </x:c>
      <x:c r="P165" t="n">
        <x:v>6</x:v>
      </x:c>
      <x:c r="Q165" t="str">
        <x:v>No incident</x:v>
      </x:c>
      <x:c r="R165" t="str">
        <x:v>N/A</x:v>
      </x:c>
      <x:c r="S165" t="str">
        <x:v>Preventive</x:v>
      </x:c>
      <x:c r="T165" t="n">
        <x:v>0.81</x:v>
      </x:c>
      <x:c r="U165" t="n">
        <x:v>7.3</x:v>
      </x:c>
      <x:c r="V165" t="n">
        <x:f>IFERROR(J165/I165*100,0)</x:f>
        <x:v>72.90108063175394</x:v>
      </x:c>
      <x:c r="W165" t="n">
        <x:f>IFERROR(K165/J165*100,0)</x:f>
        <x:v>4.789053591790194</x:v>
      </x:c>
      <x:c r="X165" t="n">
        <x:f>IFERROR(H165/F165*100,0)</x:f>
        <x:v>18.571428571428573</x:v>
      </x:c>
      <x:c r="Y165" t="n">
        <x:f>J165-K165</x:f>
        <x:v>835</x:v>
      </x:c>
      <x:c r="Z165" t="n">
        <x:f>MAX(0,MIN(100,(V165/100)*(1-X165/100)*(1-W165/100)*100))</x:f>
        <x:v>56.519415746348415</x:v>
      </x:c>
    </x:row>
    <x:row r="166">
      <x:c r="A166" s="12" t="n">
        <x:v>46081</x:v>
      </x:c>
      <x:c r="B166" t="str">
        <x:v>C</x:v>
      </x:c>
      <x:c r="C166" t="str">
        <x:v>Desiccated Coconut</x:v>
      </x:c>
      <x:c r="D166" t="str">
        <x:v>Dryer 1</x:v>
      </x:c>
      <x:c r="E166" t="str">
        <x:v>Sup 3</x:v>
      </x:c>
      <x:c r="F166" t="n">
        <x:v>480</x:v>
      </x:c>
      <x:c r="G166" t="n">
        <x:v>30</x:v>
      </x:c>
      <x:c r="H166" t="n">
        <x:v>23</x:v>
      </x:c>
      <x:c r="I166" t="n">
        <x:v>1130</x:v>
      </x:c>
      <x:c r="J166" t="n">
        <x:v>1087</x:v>
      </x:c>
      <x:c r="K166" t="n">
        <x:v>23</x:v>
      </x:c>
      <x:c r="L166" t="n">
        <x:v>15</x:v>
      </x:c>
      <x:c r="M166" t="n">
        <x:v>87.9</x:v>
      </x:c>
      <x:c r="N166" t="n">
        <x:v>67.4</x:v>
      </x:c>
      <x:c r="O166" t="n">
        <x:v>70.9</x:v>
      </x:c>
      <x:c r="P166" t="n">
        <x:v>5</x:v>
      </x:c>
      <x:c r="Q166" t="str">
        <x:v>No incident</x:v>
      </x:c>
      <x:c r="R166" t="str">
        <x:v>N/A</x:v>
      </x:c>
      <x:c r="S166" t="str">
        <x:v>Inspection</x:v>
      </x:c>
      <x:c r="T166" t="n">
        <x:v>0.5</x:v>
      </x:c>
      <x:c r="U166" t="n">
        <x:v>9.4</x:v>
      </x:c>
      <x:c r="V166" t="n">
        <x:f>IFERROR(J166/I166*100,0)</x:f>
        <x:v>96.19469026548673</x:v>
      </x:c>
      <x:c r="W166" t="n">
        <x:f>IFERROR(K166/J166*100,0)</x:f>
        <x:v>2.1159153633854646</x:v>
      </x:c>
      <x:c r="X166" t="n">
        <x:f>IFERROR(H166/F166*100,0)</x:f>
        <x:v>4.791666666666667</x:v>
      </x:c>
      <x:c r="Y166" t="n">
        <x:f>J166-K166</x:f>
        <x:v>1064</x:v>
      </x:c>
      <x:c r="Z166" t="n">
        <x:f>MAX(0,MIN(100,(V166/100)*(1-X166/100)*(1-W166/100)*100))</x:f>
        <x:v>89.64749262536873</x:v>
      </x:c>
    </x:row>
    <x:row r="167">
      <x:c r="A167" s="12" t="n">
        <x:v>46082</x:v>
      </x:c>
      <x:c r="B167" t="str">
        <x:v>A</x:v>
      </x:c>
      <x:c r="C167" t="str">
        <x:v>Desiccated Coconut</x:v>
      </x:c>
      <x:c r="D167" t="str">
        <x:v>Dryer 4</x:v>
      </x:c>
      <x:c r="E167" t="str">
        <x:v>Sup 3</x:v>
      </x:c>
      <x:c r="F167" t="n">
        <x:v>420</x:v>
      </x:c>
      <x:c r="G167" t="n">
        <x:v>30</x:v>
      </x:c>
      <x:c r="H167" t="n">
        <x:v>23</x:v>
      </x:c>
      <x:c r="I167" t="n">
        <x:v>1122</x:v>
      </x:c>
      <x:c r="J167" t="n">
        <x:v>1082</x:v>
      </x:c>
      <x:c r="K167" t="n">
        <x:v>30</x:v>
      </x:c>
      <x:c r="L167" t="n">
        <x:v>6</x:v>
      </x:c>
      <x:c r="M167" t="n">
        <x:v>93.1</x:v>
      </x:c>
      <x:c r="N167" t="n">
        <x:v>82.7</x:v>
      </x:c>
      <x:c r="O167" t="n">
        <x:v>75.4</x:v>
      </x:c>
      <x:c r="P167" t="n">
        <x:v>4</x:v>
      </x:c>
      <x:c r="Q167" t="str">
        <x:v>No incident</x:v>
      </x:c>
      <x:c r="R167" t="str">
        <x:v>N/A</x:v>
      </x:c>
      <x:c r="S167" t="str">
        <x:v>Inspection</x:v>
      </x:c>
      <x:c r="T167" t="n">
        <x:v>0.74</x:v>
      </x:c>
      <x:c r="U167" t="n">
        <x:v>9</x:v>
      </x:c>
      <x:c r="V167" t="n">
        <x:f>IFERROR(J167/I167*100,0)</x:f>
        <x:v>96.4349376114082</x:v>
      </x:c>
      <x:c r="W167" t="n">
        <x:f>IFERROR(K167/J167*100,0)</x:f>
        <x:v>2.7726432532347505</x:v>
      </x:c>
      <x:c r="X167" t="n">
        <x:f>IFERROR(H167/F167*100,0)</x:f>
        <x:v>5.476190476190476</x:v>
      </x:c>
      <x:c r="Y167" t="n">
        <x:f>J167-K167</x:f>
        <x:v>1052</x:v>
      </x:c>
      <x:c r="Z167" t="n">
        <x:f>MAX(0,MIN(100,(V167/100)*(1-X167/100)*(1-W167/100)*100))</x:f>
        <x:v>88.62660215601392</x:v>
      </x:c>
    </x:row>
    <x:row r="168">
      <x:c r="A168" s="12" t="n">
        <x:v>46082</x:v>
      </x:c>
      <x:c r="B168" t="str">
        <x:v>B</x:v>
      </x:c>
      <x:c r="C168" t="str">
        <x:v>Dried Mango</x:v>
      </x:c>
      <x:c r="D168" t="str">
        <x:v>Dryer 3</x:v>
      </x:c>
      <x:c r="E168" t="str">
        <x:v>Sup 3</x:v>
      </x:c>
      <x:c r="F168" t="n">
        <x:v>450</x:v>
      </x:c>
      <x:c r="G168" t="n">
        <x:v>30</x:v>
      </x:c>
      <x:c r="H168" t="n">
        <x:v>70</x:v>
      </x:c>
      <x:c r="I168" t="n">
        <x:v>1768</x:v>
      </x:c>
      <x:c r="J168" t="n">
        <x:v>1489</x:v>
      </x:c>
      <x:c r="K168" t="n">
        <x:v>74</x:v>
      </x:c>
      <x:c r="L168" t="n">
        <x:v>23</x:v>
      </x:c>
      <x:c r="M168" t="n">
        <x:v>98.5</x:v>
      </x:c>
      <x:c r="N168" t="n">
        <x:v>65.3</x:v>
      </x:c>
      <x:c r="O168" t="n">
        <x:v>65.4</x:v>
      </x:c>
      <x:c r="P168" t="n">
        <x:v>3</x:v>
      </x:c>
      <x:c r="Q168" t="str">
        <x:v>No incident</x:v>
      </x:c>
      <x:c r="R168" t="str">
        <x:v>N/A</x:v>
      </x:c>
      <x:c r="S168" t="str">
        <x:v>Corrective</x:v>
      </x:c>
      <x:c r="T168" t="n">
        <x:v>0.89</x:v>
      </x:c>
      <x:c r="U168" t="n">
        <x:v>12.4</x:v>
      </x:c>
      <x:c r="V168" t="n">
        <x:f>IFERROR(J168/I168*100,0)</x:f>
        <x:v>84.21945701357465</x:v>
      </x:c>
      <x:c r="W168" t="n">
        <x:f>IFERROR(K168/J168*100,0)</x:f>
        <x:v>4.969778374748153</x:v>
      </x:c>
      <x:c r="X168" t="n">
        <x:f>IFERROR(H168/F168*100,0)</x:f>
        <x:v>15.555555555555555</x:v>
      </x:c>
      <x:c r="Y168" t="n">
        <x:f>J168-K168</x:f>
        <x:v>1415</x:v>
      </x:c>
      <x:c r="Z168" t="n">
        <x:f>MAX(0,MIN(100,(V168/100)*(1-X168/100)*(1-W168/100)*100))</x:f>
        <x:v>67.58421317244846</x:v>
      </x:c>
    </x:row>
    <x:row r="169">
      <x:c r="A169" s="12" t="n">
        <x:v>46082</x:v>
      </x:c>
      <x:c r="B169" t="str">
        <x:v>C</x:v>
      </x:c>
      <x:c r="C169" t="str">
        <x:v>Dried Pineapple</x:v>
      </x:c>
      <x:c r="D169" t="str">
        <x:v>Dryer 4</x:v>
      </x:c>
      <x:c r="E169" t="str">
        <x:v>Sup 1</x:v>
      </x:c>
      <x:c r="F169" t="n">
        <x:v>420</x:v>
      </x:c>
      <x:c r="G169" t="n">
        <x:v>20</x:v>
      </x:c>
      <x:c r="H169" t="n">
        <x:v>30</x:v>
      </x:c>
      <x:c r="I169" t="n">
        <x:v>1748</x:v>
      </x:c>
      <x:c r="J169" t="n">
        <x:v>1532</x:v>
      </x:c>
      <x:c r="K169" t="n">
        <x:v>37</x:v>
      </x:c>
      <x:c r="L169" t="n">
        <x:v>8</x:v>
      </x:c>
      <x:c r="M169" t="n">
        <x:v>87.2</x:v>
      </x:c>
      <x:c r="N169" t="n">
        <x:v>74.7</x:v>
      </x:c>
      <x:c r="O169" t="n">
        <x:v>77.7</x:v>
      </x:c>
      <x:c r="P169" t="n">
        <x:v>4</x:v>
      </x:c>
      <x:c r="Q169" t="str">
        <x:v>First aid</x:v>
      </x:c>
      <x:c r="R169" t="str">
        <x:v>Closed</x:v>
      </x:c>
      <x:c r="S169" t="str">
        <x:v>Corrective</x:v>
      </x:c>
      <x:c r="T169" t="n">
        <x:v>1.64</x:v>
      </x:c>
      <x:c r="U169" t="n">
        <x:v>11.9</x:v>
      </x:c>
      <x:c r="V169" t="n">
        <x:f>IFERROR(J169/I169*100,0)</x:f>
        <x:v>87.64302059496568</x:v>
      </x:c>
      <x:c r="W169" t="n">
        <x:f>IFERROR(K169/J169*100,0)</x:f>
        <x:v>2.415143603133159</x:v>
      </x:c>
      <x:c r="X169" t="n">
        <x:f>IFERROR(H169/F169*100,0)</x:f>
        <x:v>7.142857142857142</x:v>
      </x:c>
      <x:c r="Y169" t="n">
        <x:f>J169-K169</x:f>
        <x:v>1495</x:v>
      </x:c>
      <x:c r="Z169" t="n">
        <x:f>MAX(0,MIN(100,(V169/100)*(1-X169/100)*(1-W169/100)*100))</x:f>
        <x:v>79.4172932330827</x:v>
      </x:c>
    </x:row>
    <x:row r="170">
      <x:c r="A170" s="12" t="n">
        <x:v>46083</x:v>
      </x:c>
      <x:c r="B170" t="str">
        <x:v>A</x:v>
      </x:c>
      <x:c r="C170" t="str">
        <x:v>Dried Mango</x:v>
      </x:c>
      <x:c r="D170" t="str">
        <x:v>Dryer 4</x:v>
      </x:c>
      <x:c r="E170" t="str">
        <x:v>Sup 3</x:v>
      </x:c>
      <x:c r="F170" t="n">
        <x:v>420</x:v>
      </x:c>
      <x:c r="G170" t="n">
        <x:v>0</x:v>
      </x:c>
      <x:c r="H170" t="n">
        <x:v>21</x:v>
      </x:c>
      <x:c r="I170" t="n">
        <x:v>1628</x:v>
      </x:c>
      <x:c r="J170" t="n">
        <x:v>1593</x:v>
      </x:c>
      <x:c r="K170" t="n">
        <x:v>71</x:v>
      </x:c>
      <x:c r="L170" t="n">
        <x:v>34</x:v>
      </x:c>
      <x:c r="M170" t="n">
        <x:v>90.4</x:v>
      </x:c>
      <x:c r="N170" t="n">
        <x:v>73.9</x:v>
      </x:c>
      <x:c r="O170" t="n">
        <x:v>76.3</x:v>
      </x:c>
      <x:c r="P170" t="n">
        <x:v>5</x:v>
      </x:c>
      <x:c r="Q170" t="str">
        <x:v>No incident</x:v>
      </x:c>
      <x:c r="R170" t="str">
        <x:v>N/A</x:v>
      </x:c>
      <x:c r="S170" t="str">
        <x:v>Corrective</x:v>
      </x:c>
      <x:c r="T170" t="n">
        <x:v>0.71</x:v>
      </x:c>
      <x:c r="U170" t="n">
        <x:v>14.3</x:v>
      </x:c>
      <x:c r="V170" t="n">
        <x:f>IFERROR(J170/I170*100,0)</x:f>
        <x:v>97.85012285012284</x:v>
      </x:c>
      <x:c r="W170" t="n">
        <x:f>IFERROR(K170/J170*100,0)</x:f>
        <x:v>4.45699937225361</x:v>
      </x:c>
      <x:c r="X170" t="n">
        <x:f>IFERROR(H170/F170*100,0)</x:f>
        <x:v>5</x:v>
      </x:c>
      <x:c r="Y170" t="n">
        <x:f>J170-K170</x:f>
        <x:v>1522</x:v>
      </x:c>
      <x:c r="Z170" t="n">
        <x:f>MAX(0,MIN(100,(V170/100)*(1-X170/100)*(1-W170/100)*100))</x:f>
        <x:v>88.81449631449631</x:v>
      </x:c>
    </x:row>
    <x:row r="171">
      <x:c r="A171" s="12" t="n">
        <x:v>46083</x:v>
      </x:c>
      <x:c r="B171" t="str">
        <x:v>B</x:v>
      </x:c>
      <x:c r="C171" t="str">
        <x:v>Dried Pineapple</x:v>
      </x:c>
      <x:c r="D171" t="str">
        <x:v>Dryer 4</x:v>
      </x:c>
      <x:c r="E171" t="str">
        <x:v>Sup 2</x:v>
      </x:c>
      <x:c r="F171" t="n">
        <x:v>450</x:v>
      </x:c>
      <x:c r="G171" t="n">
        <x:v>30</x:v>
      </x:c>
      <x:c r="H171" t="n">
        <x:v>64</x:v>
      </x:c>
      <x:c r="I171" t="n">
        <x:v>1886</x:v>
      </x:c>
      <x:c r="J171" t="n">
        <x:v>1457</x:v>
      </x:c>
      <x:c r="K171" t="n">
        <x:v>34</x:v>
      </x:c>
      <x:c r="L171" t="n">
        <x:v>17</x:v>
      </x:c>
      <x:c r="M171" t="n">
        <x:v>93.9</x:v>
      </x:c>
      <x:c r="N171" t="n">
        <x:v>67.9</x:v>
      </x:c>
      <x:c r="O171" t="n">
        <x:v>72.7</x:v>
      </x:c>
      <x:c r="P171" t="n">
        <x:v>3</x:v>
      </x:c>
      <x:c r="Q171" t="str">
        <x:v>Near miss</x:v>
      </x:c>
      <x:c r="R171" t="str">
        <x:v>In progress</x:v>
      </x:c>
      <x:c r="S171" t="str">
        <x:v>Corrective</x:v>
      </x:c>
      <x:c r="T171" t="n">
        <x:v>1.19</x:v>
      </x:c>
      <x:c r="U171" t="n">
        <x:v>11.8</x:v>
      </x:c>
      <x:c r="V171" t="n">
        <x:f>IFERROR(J171/I171*100,0)</x:f>
        <x:v>77.25344644750795</x:v>
      </x:c>
      <x:c r="W171" t="n">
        <x:f>IFERROR(K171/J171*100,0)</x:f>
        <x:v>2.3335621139327385</x:v>
      </x:c>
      <x:c r="X171" t="n">
        <x:f>IFERROR(H171/F171*100,0)</x:f>
        <x:v>14.222222222222221</x:v>
      </x:c>
      <x:c r="Y171" t="n">
        <x:f>J171-K171</x:f>
        <x:v>1423</x:v>
      </x:c>
      <x:c r="Z171" t="n">
        <x:f>MAX(0,MIN(100,(V171/100)*(1-X171/100)*(1-W171/100)*100))</x:f>
        <x:v>64.71992459055025</x:v>
      </x:c>
    </x:row>
    <x:row r="172">
      <x:c r="A172" s="12" t="n">
        <x:v>46083</x:v>
      </x:c>
      <x:c r="B172" t="str">
        <x:v>C</x:v>
      </x:c>
      <x:c r="C172" t="str">
        <x:v>Dried Mango</x:v>
      </x:c>
      <x:c r="D172" t="str">
        <x:v>Dryer 1</x:v>
      </x:c>
      <x:c r="E172" t="str">
        <x:v>Sup 2</x:v>
      </x:c>
      <x:c r="F172" t="n">
        <x:v>480</x:v>
      </x:c>
      <x:c r="G172" t="n">
        <x:v>40</x:v>
      </x:c>
      <x:c r="H172" t="n">
        <x:v>31</x:v>
      </x:c>
      <x:c r="I172" t="n">
        <x:v>1528</x:v>
      </x:c>
      <x:c r="J172" t="n">
        <x:v>1255</x:v>
      </x:c>
      <x:c r="K172" t="n">
        <x:v>37</x:v>
      </x:c>
      <x:c r="L172" t="n">
        <x:v>23</x:v>
      </x:c>
      <x:c r="M172" t="n">
        <x:v>86.9</x:v>
      </x:c>
      <x:c r="N172" t="n">
        <x:v>82.9</x:v>
      </x:c>
      <x:c r="O172" t="n">
        <x:v>74.3</x:v>
      </x:c>
      <x:c r="P172" t="n">
        <x:v>5</x:v>
      </x:c>
      <x:c r="Q172" t="str">
        <x:v>First aid</x:v>
      </x:c>
      <x:c r="R172" t="str">
        <x:v>Closed</x:v>
      </x:c>
      <x:c r="S172" t="str">
        <x:v>Preventive</x:v>
      </x:c>
      <x:c r="T172" t="n">
        <x:v>1.64</x:v>
      </x:c>
      <x:c r="U172" t="n">
        <x:v>11.1</x:v>
      </x:c>
      <x:c r="V172" t="n">
        <x:f>IFERROR(J172/I172*100,0)</x:f>
        <x:v>82.13350785340315</x:v>
      </x:c>
      <x:c r="W172" t="n">
        <x:f>IFERROR(K172/J172*100,0)</x:f>
        <x:v>2.948207171314741</x:v>
      </x:c>
      <x:c r="X172" t="n">
        <x:f>IFERROR(H172/F172*100,0)</x:f>
        <x:v>6.458333333333334</x:v>
      </x:c>
      <x:c r="Y172" t="n">
        <x:f>J172-K172</x:f>
        <x:v>1218</x:v>
      </x:c>
      <x:c r="Z172" t="n">
        <x:f>MAX(0,MIN(100,(V172/100)*(1-X172/100)*(1-W172/100)*100))</x:f>
        <x:v>74.563972513089</x:v>
      </x:c>
    </x:row>
    <x:row r="173">
      <x:c r="A173" s="12" t="n">
        <x:v>46084</x:v>
      </x:c>
      <x:c r="B173" t="str">
        <x:v>A</x:v>
      </x:c>
      <x:c r="C173" t="str">
        <x:v>Desiccated Coconut</x:v>
      </x:c>
      <x:c r="D173" t="str">
        <x:v>Dryer 2</x:v>
      </x:c>
      <x:c r="E173" t="str">
        <x:v>Sup 2</x:v>
      </x:c>
      <x:c r="F173" t="n">
        <x:v>480</x:v>
      </x:c>
      <x:c r="G173" t="n">
        <x:v>30</x:v>
      </x:c>
      <x:c r="H173" t="n">
        <x:v>57</x:v>
      </x:c>
      <x:c r="I173" t="n">
        <x:v>1154</x:v>
      </x:c>
      <x:c r="J173" t="n">
        <x:v>939</x:v>
      </x:c>
      <x:c r="K173" t="n">
        <x:v>33</x:v>
      </x:c>
      <x:c r="L173" t="n">
        <x:v>15</x:v>
      </x:c>
      <x:c r="M173" t="n">
        <x:v>93.2</x:v>
      </x:c>
      <x:c r="N173" t="n">
        <x:v>68.7</x:v>
      </x:c>
      <x:c r="O173" t="n">
        <x:v>80.5</x:v>
      </x:c>
      <x:c r="P173" t="n">
        <x:v>6</x:v>
      </x:c>
      <x:c r="Q173" t="str">
        <x:v>No incident</x:v>
      </x:c>
      <x:c r="R173" t="str">
        <x:v>N/A</x:v>
      </x:c>
      <x:c r="S173" t="str">
        <x:v>Preventive</x:v>
      </x:c>
      <x:c r="T173" t="n">
        <x:v>0.5</x:v>
      </x:c>
      <x:c r="U173" t="n">
        <x:v>7.7</x:v>
      </x:c>
      <x:c r="V173" t="n">
        <x:f>IFERROR(J173/I173*100,0)</x:f>
        <x:v>81.36915077989602</x:v>
      </x:c>
      <x:c r="W173" t="n">
        <x:f>IFERROR(K173/J173*100,0)</x:f>
        <x:v>3.5143769968051117</x:v>
      </x:c>
      <x:c r="X173" t="n">
        <x:f>IFERROR(H173/F173*100,0)</x:f>
        <x:v>11.875</x:v>
      </x:c>
      <x:c r="Y173" t="n">
        <x:f>J173-K173</x:f>
        <x:v>906</x:v>
      </x:c>
      <x:c r="Z173" t="n">
        <x:f>MAX(0,MIN(100,(V173/100)*(1-X173/100)*(1-W173/100)*100))</x:f>
        <x:v>69.18652512998267</x:v>
      </x:c>
    </x:row>
    <x:row r="174">
      <x:c r="A174" s="12" t="n">
        <x:v>46084</x:v>
      </x:c>
      <x:c r="B174" t="str">
        <x:v>B</x:v>
      </x:c>
      <x:c r="C174" t="str">
        <x:v>Dried Pineapple</x:v>
      </x:c>
      <x:c r="D174" t="str">
        <x:v>Dryer 4</x:v>
      </x:c>
      <x:c r="E174" t="str">
        <x:v>Sup 3</x:v>
      </x:c>
      <x:c r="F174" t="n">
        <x:v>480</x:v>
      </x:c>
      <x:c r="G174" t="n">
        <x:v>0</x:v>
      </x:c>
      <x:c r="H174" t="n">
        <x:v>60</x:v>
      </x:c>
      <x:c r="I174" t="n">
        <x:v>1789</x:v>
      </x:c>
      <x:c r="J174" t="n">
        <x:v>1467</x:v>
      </x:c>
      <x:c r="K174" t="n">
        <x:v>36</x:v>
      </x:c>
      <x:c r="L174" t="n">
        <x:v>22</x:v>
      </x:c>
      <x:c r="M174" t="n">
        <x:v>83.1</x:v>
      </x:c>
      <x:c r="N174" t="n">
        <x:v>84.8</x:v>
      </x:c>
      <x:c r="O174" t="n">
        <x:v>76.4</x:v>
      </x:c>
      <x:c r="P174" t="n">
        <x:v>5</x:v>
      </x:c>
      <x:c r="Q174" t="str">
        <x:v>No incident</x:v>
      </x:c>
      <x:c r="R174" t="str">
        <x:v>N/A</x:v>
      </x:c>
      <x:c r="S174" t="str">
        <x:v>Inspection</x:v>
      </x:c>
      <x:c r="T174" t="n">
        <x:v>0.54</x:v>
      </x:c>
      <x:c r="U174" t="n">
        <x:v>11.4</x:v>
      </x:c>
      <x:c r="V174" t="n">
        <x:f>IFERROR(J174/I174*100,0)</x:f>
        <x:v>82.0011179429849</x:v>
      </x:c>
      <x:c r="W174" t="n">
        <x:f>IFERROR(K174/J174*100,0)</x:f>
        <x:v>2.4539877300613497</x:v>
      </x:c>
      <x:c r="X174" t="n">
        <x:f>IFERROR(H174/F174*100,0)</x:f>
        <x:v>12.5</x:v>
      </x:c>
      <x:c r="Y174" t="n">
        <x:f>J174-K174</x:f>
        <x:v>1431</x:v>
      </x:c>
      <x:c r="Z174" t="n">
        <x:f>MAX(0,MIN(100,(V174/100)*(1-X174/100)*(1-W174/100)*100))</x:f>
        <x:v>69.99021799888206</x:v>
      </x:c>
    </x:row>
    <x:row r="175">
      <x:c r="A175" s="12" t="n">
        <x:v>46084</x:v>
      </x:c>
      <x:c r="B175" t="str">
        <x:v>C</x:v>
      </x:c>
      <x:c r="C175" t="str">
        <x:v>Dried Pineapple</x:v>
      </x:c>
      <x:c r="D175" t="str">
        <x:v>Dryer 1</x:v>
      </x:c>
      <x:c r="E175" t="str">
        <x:v>Sup 1</x:v>
      </x:c>
      <x:c r="F175" t="n">
        <x:v>450</x:v>
      </x:c>
      <x:c r="G175" t="n">
        <x:v>0</x:v>
      </x:c>
      <x:c r="H175" t="n">
        <x:v>58</x:v>
      </x:c>
      <x:c r="I175" t="n">
        <x:v>1864</x:v>
      </x:c>
      <x:c r="J175" t="n">
        <x:v>1429</x:v>
      </x:c>
      <x:c r="K175" t="n">
        <x:v>55</x:v>
      </x:c>
      <x:c r="L175" t="n">
        <x:v>24</x:v>
      </x:c>
      <x:c r="M175" t="n">
        <x:v>79.9</x:v>
      </x:c>
      <x:c r="N175" t="n">
        <x:v>64.9</x:v>
      </x:c>
      <x:c r="O175" t="n">
        <x:v>75</x:v>
      </x:c>
      <x:c r="P175" t="n">
        <x:v>1</x:v>
      </x:c>
      <x:c r="Q175" t="str">
        <x:v>Near miss</x:v>
      </x:c>
      <x:c r="R175" t="str">
        <x:v>Closed</x:v>
      </x:c>
      <x:c r="S175" t="str">
        <x:v>Preventive</x:v>
      </x:c>
      <x:c r="T175" t="n">
        <x:v>0.5</x:v>
      </x:c>
      <x:c r="U175" t="n">
        <x:v>12.1</x:v>
      </x:c>
      <x:c r="V175" t="n">
        <x:f>IFERROR(J175/I175*100,0)</x:f>
        <x:v>76.66309012875536</x:v>
      </x:c>
      <x:c r="W175" t="n">
        <x:f>IFERROR(K175/J175*100,0)</x:f>
        <x:v>3.8488453463960814</x:v>
      </x:c>
      <x:c r="X175" t="n">
        <x:f>IFERROR(H175/F175*100,0)</x:f>
        <x:v>12.88888888888889</x:v>
      </x:c>
      <x:c r="Y175" t="n">
        <x:f>J175-K175</x:f>
        <x:v>1374</x:v>
      </x:c>
      <x:c r="Z175" t="n">
        <x:f>MAX(0,MIN(100,(V175/100)*(1-X175/100)*(1-W175/100)*100))</x:f>
        <x:v>64.21173104434908</x:v>
      </x:c>
    </x:row>
    <x:row r="176">
      <x:c r="A176" s="12" t="n">
        <x:v>46085</x:v>
      </x:c>
      <x:c r="B176" t="str">
        <x:v>A</x:v>
      </x:c>
      <x:c r="C176" t="str">
        <x:v>Dried Mango</x:v>
      </x:c>
      <x:c r="D176" t="str">
        <x:v>Dryer 2</x:v>
      </x:c>
      <x:c r="E176" t="str">
        <x:v>Sup 2</x:v>
      </x:c>
      <x:c r="F176" t="n">
        <x:v>420</x:v>
      </x:c>
      <x:c r="G176" t="n">
        <x:v>20</x:v>
      </x:c>
      <x:c r="H176" t="n">
        <x:v>15</x:v>
      </x:c>
      <x:c r="I176" t="n">
        <x:v>1520</x:v>
      </x:c>
      <x:c r="J176" t="n">
        <x:v>1409</x:v>
      </x:c>
      <x:c r="K176" t="n">
        <x:v>42</x:v>
      </x:c>
      <x:c r="L176" t="n">
        <x:v>15</x:v>
      </x:c>
      <x:c r="M176" t="n">
        <x:v>77.2</x:v>
      </x:c>
      <x:c r="N176" t="n">
        <x:v>72</x:v>
      </x:c>
      <x:c r="O176" t="n">
        <x:v>65.3</x:v>
      </x:c>
      <x:c r="P176" t="n">
        <x:v>1</x:v>
      </x:c>
      <x:c r="Q176" t="str">
        <x:v>No incident</x:v>
      </x:c>
      <x:c r="R176" t="str">
        <x:v>N/A</x:v>
      </x:c>
      <x:c r="S176" t="str">
        <x:v>Inspection</x:v>
      </x:c>
      <x:c r="T176" t="n">
        <x:v>0.83</x:v>
      </x:c>
      <x:c r="U176" t="n">
        <x:v>12.4</x:v>
      </x:c>
      <x:c r="V176" t="n">
        <x:f>IFERROR(J176/I176*100,0)</x:f>
        <x:v>92.69736842105263</x:v>
      </x:c>
      <x:c r="W176" t="n">
        <x:f>IFERROR(K176/J176*100,0)</x:f>
        <x:v>2.9808374733853795</x:v>
      </x:c>
      <x:c r="X176" t="n">
        <x:f>IFERROR(H176/F176*100,0)</x:f>
        <x:v>3.571428571428571</x:v>
      </x:c>
      <x:c r="Y176" t="n">
        <x:f>J176-K176</x:f>
        <x:v>1367</x:v>
      </x:c>
      <x:c r="Z176" t="n">
        <x:f>MAX(0,MIN(100,(V176/100)*(1-X176/100)*(1-W176/100)*100))</x:f>
        <x:v>86.72227443609023</x:v>
      </x:c>
    </x:row>
    <x:row r="177">
      <x:c r="A177" s="12" t="n">
        <x:v>46085</x:v>
      </x:c>
      <x:c r="B177" t="str">
        <x:v>B</x:v>
      </x:c>
      <x:c r="C177" t="str">
        <x:v>Dried Pineapple</x:v>
      </x:c>
      <x:c r="D177" t="str">
        <x:v>Dryer 1</x:v>
      </x:c>
      <x:c r="E177" t="str">
        <x:v>Sup 2</x:v>
      </x:c>
      <x:c r="F177" t="n">
        <x:v>450</x:v>
      </x:c>
      <x:c r="G177" t="n">
        <x:v>20</x:v>
      </x:c>
      <x:c r="H177" t="n">
        <x:v>59</x:v>
      </x:c>
      <x:c r="I177" t="n">
        <x:v>1647</x:v>
      </x:c>
      <x:c r="J177" t="n">
        <x:v>1257</x:v>
      </x:c>
      <x:c r="K177" t="n">
        <x:v>41</x:v>
      </x:c>
      <x:c r="L177" t="n">
        <x:v>26</x:v>
      </x:c>
      <x:c r="M177" t="n">
        <x:v>91.3</x:v>
      </x:c>
      <x:c r="N177" t="n">
        <x:v>84.1</x:v>
      </x:c>
      <x:c r="O177" t="n">
        <x:v>86.8</x:v>
      </x:c>
      <x:c r="P177" t="n">
        <x:v>4</x:v>
      </x:c>
      <x:c r="Q177" t="str">
        <x:v>No incident</x:v>
      </x:c>
      <x:c r="R177" t="str">
        <x:v>N/A</x:v>
      </x:c>
      <x:c r="S177" t="str">
        <x:v>Corrective</x:v>
      </x:c>
      <x:c r="T177" t="n">
        <x:v>1.4</x:v>
      </x:c>
      <x:c r="U177" t="n">
        <x:v>9.4</x:v>
      </x:c>
      <x:c r="V177" t="n">
        <x:f>IFERROR(J177/I177*100,0)</x:f>
        <x:v>76.32058287795994</x:v>
      </x:c>
      <x:c r="W177" t="n">
        <x:f>IFERROR(K177/J177*100,0)</x:f>
        <x:v>3.261734287987271</x:v>
      </x:c>
      <x:c r="X177" t="n">
        <x:f>IFERROR(H177/F177*100,0)</x:f>
        <x:v>13.111111111111112</x:v>
      </x:c>
      <x:c r="Y177" t="n">
        <x:f>J177-K177</x:f>
        <x:v>1216</x:v>
      </x:c>
      <x:c r="Z177" t="n">
        <x:f>MAX(0,MIN(100,(V177/100)*(1-X177/100)*(1-W177/100)*100))</x:f>
        <x:v>64.15111650812925</x:v>
      </x:c>
    </x:row>
    <x:row r="178">
      <x:c r="A178" s="12" t="n">
        <x:v>46085</x:v>
      </x:c>
      <x:c r="B178" t="str">
        <x:v>C</x:v>
      </x:c>
      <x:c r="C178" t="str">
        <x:v>Desiccated Coconut</x:v>
      </x:c>
      <x:c r="D178" t="str">
        <x:v>Dryer 1</x:v>
      </x:c>
      <x:c r="E178" t="str">
        <x:v>Sup 3</x:v>
      </x:c>
      <x:c r="F178" t="n">
        <x:v>420</x:v>
      </x:c>
      <x:c r="G178" t="n">
        <x:v>20</x:v>
      </x:c>
      <x:c r="H178" t="n">
        <x:v>53</x:v>
      </x:c>
      <x:c r="I178" t="n">
        <x:v>1117</x:v>
      </x:c>
      <x:c r="J178" t="n">
        <x:v>1006</x:v>
      </x:c>
      <x:c r="K178" t="n">
        <x:v>24</x:v>
      </x:c>
      <x:c r="L178" t="n">
        <x:v>10</x:v>
      </x:c>
      <x:c r="M178" t="n">
        <x:v>82.1</x:v>
      </x:c>
      <x:c r="N178" t="n">
        <x:v>77.9</x:v>
      </x:c>
      <x:c r="O178" t="n">
        <x:v>75.6</x:v>
      </x:c>
      <x:c r="P178" t="n">
        <x:v>3</x:v>
      </x:c>
      <x:c r="Q178" t="str">
        <x:v>Near miss</x:v>
      </x:c>
      <x:c r="R178" t="str">
        <x:v>Open</x:v>
      </x:c>
      <x:c r="S178" t="str">
        <x:v>Corrective</x:v>
      </x:c>
      <x:c r="T178" t="n">
        <x:v>1.99</x:v>
      </x:c>
      <x:c r="U178" t="n">
        <x:v>7.6</x:v>
      </x:c>
      <x:c r="V178" t="n">
        <x:f>IFERROR(J178/I178*100,0)</x:f>
        <x:v>90.0626678603402</x:v>
      </x:c>
      <x:c r="W178" t="n">
        <x:f>IFERROR(K178/J178*100,0)</x:f>
        <x:v>2.3856858846918487</x:v>
      </x:c>
      <x:c r="X178" t="n">
        <x:f>IFERROR(H178/F178*100,0)</x:f>
        <x:v>12.619047619047619</x:v>
      </x:c>
      <x:c r="Y178" t="n">
        <x:f>J178-K178</x:f>
        <x:v>982</x:v>
      </x:c>
      <x:c r="Z178" t="n">
        <x:f>MAX(0,MIN(100,(V178/100)*(1-X178/100)*(1-W178/100)*100))</x:f>
        <x:v>76.82013897770389</x:v>
      </x:c>
    </x:row>
    <x:row r="179">
      <x:c r="A179" s="12" t="n">
        <x:v>46086</x:v>
      </x:c>
      <x:c r="B179" t="str">
        <x:v>A</x:v>
      </x:c>
      <x:c r="C179" t="str">
        <x:v>Dried Pineapple</x:v>
      </x:c>
      <x:c r="D179" t="str">
        <x:v>Dryer 1</x:v>
      </x:c>
      <x:c r="E179" t="str">
        <x:v>Sup 3</x:v>
      </x:c>
      <x:c r="F179" t="n">
        <x:v>450</x:v>
      </x:c>
      <x:c r="G179" t="n">
        <x:v>30</x:v>
      </x:c>
      <x:c r="H179" t="n">
        <x:v>48</x:v>
      </x:c>
      <x:c r="I179" t="n">
        <x:v>1793</x:v>
      </x:c>
      <x:c r="J179" t="n">
        <x:v>1534</x:v>
      </x:c>
      <x:c r="K179" t="n">
        <x:v>41</x:v>
      </x:c>
      <x:c r="L179" t="n">
        <x:v>22</x:v>
      </x:c>
      <x:c r="M179" t="n">
        <x:v>96.9</x:v>
      </x:c>
      <x:c r="N179" t="n">
        <x:v>73</x:v>
      </x:c>
      <x:c r="O179" t="n">
        <x:v>87</x:v>
      </x:c>
      <x:c r="P179" t="n">
        <x:v>4</x:v>
      </x:c>
      <x:c r="Q179" t="str">
        <x:v>No incident</x:v>
      </x:c>
      <x:c r="R179" t="str">
        <x:v>N/A</x:v>
      </x:c>
      <x:c r="S179" t="str">
        <x:v>Preventive</x:v>
      </x:c>
      <x:c r="T179" t="n">
        <x:v>0.76</x:v>
      </x:c>
      <x:c r="U179" t="n">
        <x:v>12.8</x:v>
      </x:c>
      <x:c r="V179" t="n">
        <x:f>IFERROR(J179/I179*100,0)</x:f>
        <x:v>85.55493586168433</x:v>
      </x:c>
      <x:c r="W179" t="n">
        <x:f>IFERROR(K179/J179*100,0)</x:f>
        <x:v>2.6727509778357237</x:v>
      </x:c>
      <x:c r="X179" t="n">
        <x:f>IFERROR(H179/F179*100,0)</x:f>
        <x:v>10.666666666666668</x:v>
      </x:c>
      <x:c r="Y179" t="n">
        <x:f>J179-K179</x:f>
        <x:v>1493</x:v>
      </x:c>
      <x:c r="Z179" t="n">
        <x:f>MAX(0,MIN(100,(V179/100)*(1-X179/100)*(1-W179/100)*100))</x:f>
        <x:v>74.38631715932328</x:v>
      </x:c>
    </x:row>
    <x:row r="180">
      <x:c r="A180" s="12" t="n">
        <x:v>46086</x:v>
      </x:c>
      <x:c r="B180" t="str">
        <x:v>B</x:v>
      </x:c>
      <x:c r="C180" t="str">
        <x:v>Dried Pineapple</x:v>
      </x:c>
      <x:c r="D180" t="str">
        <x:v>Dryer 3</x:v>
      </x:c>
      <x:c r="E180" t="str">
        <x:v>Sup 3</x:v>
      </x:c>
      <x:c r="F180" t="n">
        <x:v>480</x:v>
      </x:c>
      <x:c r="G180" t="n">
        <x:v>0</x:v>
      </x:c>
      <x:c r="H180" t="n">
        <x:v>53</x:v>
      </x:c>
      <x:c r="I180" t="n">
        <x:v>1841</x:v>
      </x:c>
      <x:c r="J180" t="n">
        <x:v>1453</x:v>
      </x:c>
      <x:c r="K180" t="n">
        <x:v>58</x:v>
      </x:c>
      <x:c r="L180" t="n">
        <x:v>26</x:v>
      </x:c>
      <x:c r="M180" t="n">
        <x:v>91.8</x:v>
      </x:c>
      <x:c r="N180" t="n">
        <x:v>87</x:v>
      </x:c>
      <x:c r="O180" t="n">
        <x:v>91.5</x:v>
      </x:c>
      <x:c r="P180" t="n">
        <x:v>1</x:v>
      </x:c>
      <x:c r="Q180" t="str">
        <x:v>No incident</x:v>
      </x:c>
      <x:c r="R180" t="str">
        <x:v>N/A</x:v>
      </x:c>
      <x:c r="S180" t="str">
        <x:v>Inspection</x:v>
      </x:c>
      <x:c r="T180" t="n">
        <x:v>0.73</x:v>
      </x:c>
      <x:c r="U180" t="n">
        <x:v>13.2</x:v>
      </x:c>
      <x:c r="V180" t="n">
        <x:f>IFERROR(J180/I180*100,0)</x:f>
        <x:v>78.92449755567627</x:v>
      </x:c>
      <x:c r="W180" t="n">
        <x:f>IFERROR(K180/J180*100,0)</x:f>
        <x:v>3.9917412250516175</x:v>
      </x:c>
      <x:c r="X180" t="n">
        <x:f>IFERROR(H180/F180*100,0)</x:f>
        <x:v>11.041666666666666</x:v>
      </x:c>
      <x:c r="Y180" t="n">
        <x:f>J180-K180</x:f>
        <x:v>1395</x:v>
      </x:c>
      <x:c r="Z180" t="n">
        <x:f>MAX(0,MIN(100,(V180/100)*(1-X180/100)*(1-W180/100)*100))</x:f>
        <x:v>67.40731939163499</x:v>
      </x:c>
    </x:row>
    <x:row r="181">
      <x:c r="A181" s="12" t="n">
        <x:v>46086</x:v>
      </x:c>
      <x:c r="B181" t="str">
        <x:v>C</x:v>
      </x:c>
      <x:c r="C181" t="str">
        <x:v>Dried Pineapple</x:v>
      </x:c>
      <x:c r="D181" t="str">
        <x:v>Dryer 1</x:v>
      </x:c>
      <x:c r="E181" t="str">
        <x:v>Sup 3</x:v>
      </x:c>
      <x:c r="F181" t="n">
        <x:v>450</x:v>
      </x:c>
      <x:c r="G181" t="n">
        <x:v>30</x:v>
      </x:c>
      <x:c r="H181" t="n">
        <x:v>43</x:v>
      </x:c>
      <x:c r="I181" t="n">
        <x:v>1840</x:v>
      </x:c>
      <x:c r="J181" t="n">
        <x:v>1632</x:v>
      </x:c>
      <x:c r="K181" t="n">
        <x:v>66</x:v>
      </x:c>
      <x:c r="L181" t="n">
        <x:v>34</x:v>
      </x:c>
      <x:c r="M181" t="n">
        <x:v>85.8</x:v>
      </x:c>
      <x:c r="N181" t="n">
        <x:v>67.5</x:v>
      </x:c>
      <x:c r="O181" t="n">
        <x:v>81.5</x:v>
      </x:c>
      <x:c r="P181" t="n">
        <x:v>3</x:v>
      </x:c>
      <x:c r="Q181" t="str">
        <x:v>First aid</x:v>
      </x:c>
      <x:c r="R181" t="str">
        <x:v>In progress</x:v>
      </x:c>
      <x:c r="S181" t="str">
        <x:v>Corrective</x:v>
      </x:c>
      <x:c r="T181" t="n">
        <x:v>1.21</x:v>
      </x:c>
      <x:c r="U181" t="n">
        <x:v>14.9</x:v>
      </x:c>
      <x:c r="V181" t="n">
        <x:f>IFERROR(J181/I181*100,0)</x:f>
        <x:v>88.69565217391305</x:v>
      </x:c>
      <x:c r="W181" t="n">
        <x:f>IFERROR(K181/J181*100,0)</x:f>
        <x:v>4.044117647058823</x:v>
      </x:c>
      <x:c r="X181" t="n">
        <x:f>IFERROR(H181/F181*100,0)</x:f>
        <x:v>9.555555555555555</x:v>
      </x:c>
      <x:c r="Y181" t="n">
        <x:f>J181-K181</x:f>
        <x:v>1566</x:v>
      </x:c>
      <x:c r="Z181" t="n">
        <x:f>MAX(0,MIN(100,(V181/100)*(1-X181/100)*(1-W181/100)*100))</x:f>
        <x:v>76.97608695652174</x:v>
      </x:c>
    </x:row>
    <x:row r="182">
      <x:c r="A182" s="12" t="n">
        <x:v>46087</x:v>
      </x:c>
      <x:c r="B182" t="str">
        <x:v>A</x:v>
      </x:c>
      <x:c r="C182" t="str">
        <x:v>Dried Pineapple</x:v>
      </x:c>
      <x:c r="D182" t="str">
        <x:v>Dryer 2</x:v>
      </x:c>
      <x:c r="E182" t="str">
        <x:v>Sup 2</x:v>
      </x:c>
      <x:c r="F182" t="n">
        <x:v>420</x:v>
      </x:c>
      <x:c r="G182" t="n">
        <x:v>30</x:v>
      </x:c>
      <x:c r="H182" t="n">
        <x:v>33</x:v>
      </x:c>
      <x:c r="I182" t="n">
        <x:v>1625</x:v>
      </x:c>
      <x:c r="J182" t="n">
        <x:v>1511</x:v>
      </x:c>
      <x:c r="K182" t="n">
        <x:v>52</x:v>
      </x:c>
      <x:c r="L182" t="n">
        <x:v>34</x:v>
      </x:c>
      <x:c r="M182" t="n">
        <x:v>86</x:v>
      </x:c>
      <x:c r="N182" t="n">
        <x:v>89.1</x:v>
      </x:c>
      <x:c r="O182" t="n">
        <x:v>77.6</x:v>
      </x:c>
      <x:c r="P182" t="n">
        <x:v>1</x:v>
      </x:c>
      <x:c r="Q182" t="str">
        <x:v>No incident</x:v>
      </x:c>
      <x:c r="R182" t="str">
        <x:v>N/A</x:v>
      </x:c>
      <x:c r="S182" t="str">
        <x:v>Preventive</x:v>
      </x:c>
      <x:c r="T182" t="n">
        <x:v>0.73</x:v>
      </x:c>
      <x:c r="U182" t="n">
        <x:v>13.2</x:v>
      </x:c>
      <x:c r="V182" t="n">
        <x:f>IFERROR(J182/I182*100,0)</x:f>
        <x:v>92.98461538461538</x:v>
      </x:c>
      <x:c r="W182" t="n">
        <x:f>IFERROR(K182/J182*100,0)</x:f>
        <x:v>3.441429516876241</x:v>
      </x:c>
      <x:c r="X182" t="n">
        <x:f>IFERROR(H182/F182*100,0)</x:f>
        <x:v>7.857142857142857</x:v>
      </x:c>
      <x:c r="Y182" t="n">
        <x:f>J182-K182</x:f>
        <x:v>1459</x:v>
      </x:c>
      <x:c r="Z182" t="n">
        <x:f>MAX(0,MIN(100,(V182/100)*(1-X182/100)*(1-W182/100)*100))</x:f>
        <x:v>82.73010989010989</x:v>
      </x:c>
    </x:row>
    <x:row r="183">
      <x:c r="A183" s="12" t="n">
        <x:v>46087</x:v>
      </x:c>
      <x:c r="B183" t="str">
        <x:v>B</x:v>
      </x:c>
      <x:c r="C183" t="str">
        <x:v>Dried Mango</x:v>
      </x:c>
      <x:c r="D183" t="str">
        <x:v>Dryer 3</x:v>
      </x:c>
      <x:c r="E183" t="str">
        <x:v>Sup 3</x:v>
      </x:c>
      <x:c r="F183" t="n">
        <x:v>420</x:v>
      </x:c>
      <x:c r="G183" t="n">
        <x:v>20</x:v>
      </x:c>
      <x:c r="H183" t="n">
        <x:v>58</x:v>
      </x:c>
      <x:c r="I183" t="n">
        <x:v>1652</x:v>
      </x:c>
      <x:c r="J183" t="n">
        <x:v>1387</x:v>
      </x:c>
      <x:c r="K183" t="n">
        <x:v>61</x:v>
      </x:c>
      <x:c r="L183" t="n">
        <x:v>28</x:v>
      </x:c>
      <x:c r="M183" t="n">
        <x:v>93.3</x:v>
      </x:c>
      <x:c r="N183" t="n">
        <x:v>70.4</x:v>
      </x:c>
      <x:c r="O183" t="n">
        <x:v>78.3</x:v>
      </x:c>
      <x:c r="P183" t="n">
        <x:v>1</x:v>
      </x:c>
      <x:c r="Q183" t="str">
        <x:v>No incident</x:v>
      </x:c>
      <x:c r="R183" t="str">
        <x:v>N/A</x:v>
      </x:c>
      <x:c r="S183" t="str">
        <x:v>Preventive</x:v>
      </x:c>
      <x:c r="T183" t="n">
        <x:v>0.9</x:v>
      </x:c>
      <x:c r="U183" t="n">
        <x:v>12.2</x:v>
      </x:c>
      <x:c r="V183" t="n">
        <x:f>IFERROR(J183/I183*100,0)</x:f>
        <x:v>83.9588377723971</x:v>
      </x:c>
      <x:c r="W183" t="n">
        <x:f>IFERROR(K183/J183*100,0)</x:f>
        <x:v>4.397981254506128</x:v>
      </x:c>
      <x:c r="X183" t="n">
        <x:f>IFERROR(H183/F183*100,0)</x:f>
        <x:v>13.80952380952381</x:v>
      </x:c>
      <x:c r="Y183" t="n">
        <x:f>J183-K183</x:f>
        <x:v>1326</x:v>
      </x:c>
      <x:c r="Z183" t="n">
        <x:f>MAX(0,MIN(100,(V183/100)*(1-X183/100)*(1-W183/100)*100))</x:f>
        <x:v>69.1819439640263</x:v>
      </x:c>
    </x:row>
    <x:row r="184">
      <x:c r="A184" s="12" t="n">
        <x:v>46087</x:v>
      </x:c>
      <x:c r="B184" t="str">
        <x:v>C</x:v>
      </x:c>
      <x:c r="C184" t="str">
        <x:v>Dried Mango</x:v>
      </x:c>
      <x:c r="D184" t="str">
        <x:v>Dryer 3</x:v>
      </x:c>
      <x:c r="E184" t="str">
        <x:v>Sup 2</x:v>
      </x:c>
      <x:c r="F184" t="n">
        <x:v>450</x:v>
      </x:c>
      <x:c r="G184" t="n">
        <x:v>40</x:v>
      </x:c>
      <x:c r="H184" t="n">
        <x:v>71</x:v>
      </x:c>
      <x:c r="I184" t="n">
        <x:v>1768</x:v>
      </x:c>
      <x:c r="J184" t="n">
        <x:v>1519</x:v>
      </x:c>
      <x:c r="K184" t="n">
        <x:v>83</x:v>
      </x:c>
      <x:c r="L184" t="n">
        <x:v>35</x:v>
      </x:c>
      <x:c r="M184" t="n">
        <x:v>83.6</x:v>
      </x:c>
      <x:c r="N184" t="n">
        <x:v>57.3</x:v>
      </x:c>
      <x:c r="O184" t="n">
        <x:v>72.8</x:v>
      </x:c>
      <x:c r="P184" t="n">
        <x:v>1</x:v>
      </x:c>
      <x:c r="Q184" t="str">
        <x:v>Near miss</x:v>
      </x:c>
      <x:c r="R184" t="str">
        <x:v>In progress</x:v>
      </x:c>
      <x:c r="S184" t="str">
        <x:v>Inspection</x:v>
      </x:c>
      <x:c r="T184" t="n">
        <x:v>0.67</x:v>
      </x:c>
      <x:c r="U184" t="n">
        <x:v>13.5</x:v>
      </x:c>
      <x:c r="V184" t="n">
        <x:f>IFERROR(J184/I184*100,0)</x:f>
        <x:v>85.91628959276018</x:v>
      </x:c>
      <x:c r="W184" t="n">
        <x:f>IFERROR(K184/J184*100,0)</x:f>
        <x:v>5.464121132323897</x:v>
      </x:c>
      <x:c r="X184" t="n">
        <x:f>IFERROR(H184/F184*100,0)</x:f>
        <x:v>15.777777777777777</x:v>
      </x:c>
      <x:c r="Y184" t="n">
        <x:f>J184-K184</x:f>
        <x:v>1436</x:v>
      </x:c>
      <x:c r="Z184" t="n">
        <x:f>MAX(0,MIN(100,(V184/100)*(1-X184/100)*(1-W184/100)*100))</x:f>
        <x:v>68.40673705379588</x:v>
      </x:c>
    </x:row>
    <x:row r="185">
      <x:c r="A185" s="12" t="n">
        <x:v>46088</x:v>
      </x:c>
      <x:c r="B185" t="str">
        <x:v>A</x:v>
      </x:c>
      <x:c r="C185" t="str">
        <x:v>Desiccated Coconut</x:v>
      </x:c>
      <x:c r="D185" t="str">
        <x:v>Dryer 1</x:v>
      </x:c>
      <x:c r="E185" t="str">
        <x:v>Sup 1</x:v>
      </x:c>
      <x:c r="F185" t="n">
        <x:v>480</x:v>
      </x:c>
      <x:c r="G185" t="n">
        <x:v>20</x:v>
      </x:c>
      <x:c r="H185" t="n">
        <x:v>54</x:v>
      </x:c>
      <x:c r="I185" t="n">
        <x:v>1180</x:v>
      </x:c>
      <x:c r="J185" t="n">
        <x:v>1036</x:v>
      </x:c>
      <x:c r="K185" t="n">
        <x:v>35</x:v>
      </x:c>
      <x:c r="L185" t="n">
        <x:v>11</x:v>
      </x:c>
      <x:c r="M185" t="n">
        <x:v>85.5</x:v>
      </x:c>
      <x:c r="N185" t="n">
        <x:v>91.5</x:v>
      </x:c>
      <x:c r="O185" t="n">
        <x:v>79.1</x:v>
      </x:c>
      <x:c r="P185" t="n">
        <x:v>1</x:v>
      </x:c>
      <x:c r="Q185" t="str">
        <x:v>No incident</x:v>
      </x:c>
      <x:c r="R185" t="str">
        <x:v>N/A</x:v>
      </x:c>
      <x:c r="S185" t="str">
        <x:v>Corrective</x:v>
      </x:c>
      <x:c r="T185" t="n">
        <x:v>1.82</x:v>
      </x:c>
      <x:c r="U185" t="n">
        <x:v>9.5</x:v>
      </x:c>
      <x:c r="V185" t="n">
        <x:f>IFERROR(J185/I185*100,0)</x:f>
        <x:v>87.79661016949153</x:v>
      </x:c>
      <x:c r="W185" t="n">
        <x:f>IFERROR(K185/J185*100,0)</x:f>
        <x:v>3.3783783783783785</x:v>
      </x:c>
      <x:c r="X185" t="n">
        <x:f>IFERROR(H185/F185*100,0)</x:f>
        <x:v>11.25</x:v>
      </x:c>
      <x:c r="Y185" t="n">
        <x:f>J185-K185</x:f>
        <x:v>1001</x:v>
      </x:c>
      <x:c r="Z185" t="n">
        <x:f>MAX(0,MIN(100,(V185/100)*(1-X185/100)*(1-W185/100)*100))</x:f>
        <x:v>75.28707627118644</x:v>
      </x:c>
    </x:row>
    <x:row r="186">
      <x:c r="A186" s="12" t="n">
        <x:v>46088</x:v>
      </x:c>
      <x:c r="B186" t="str">
        <x:v>B</x:v>
      </x:c>
      <x:c r="C186" t="str">
        <x:v>Dried Mango</x:v>
      </x:c>
      <x:c r="D186" t="str">
        <x:v>Dryer 3</x:v>
      </x:c>
      <x:c r="E186" t="str">
        <x:v>Sup 2</x:v>
      </x:c>
      <x:c r="F186" t="n">
        <x:v>420</x:v>
      </x:c>
      <x:c r="G186" t="n">
        <x:v>0</x:v>
      </x:c>
      <x:c r="H186" t="n">
        <x:v>31</x:v>
      </x:c>
      <x:c r="I186" t="n">
        <x:v>1567</x:v>
      </x:c>
      <x:c r="J186" t="n">
        <x:v>1310</x:v>
      </x:c>
      <x:c r="K186" t="n">
        <x:v>66</x:v>
      </x:c>
      <x:c r="L186" t="n">
        <x:v>17</x:v>
      </x:c>
      <x:c r="M186" t="n">
        <x:v>91.1</x:v>
      </x:c>
      <x:c r="N186" t="n">
        <x:v>74.1</x:v>
      </x:c>
      <x:c r="O186" t="n">
        <x:v>70.2</x:v>
      </x:c>
      <x:c r="P186" t="n">
        <x:v>8</x:v>
      </x:c>
      <x:c r="Q186" t="str">
        <x:v>Recordable</x:v>
      </x:c>
      <x:c r="R186" t="str">
        <x:v>In progress</x:v>
      </x:c>
      <x:c r="S186" t="str">
        <x:v>Inspection</x:v>
      </x:c>
      <x:c r="T186" t="n">
        <x:v>0.68</x:v>
      </x:c>
      <x:c r="U186" t="n">
        <x:v>11</x:v>
      </x:c>
      <x:c r="V186" t="n">
        <x:f>IFERROR(J186/I186*100,0)</x:f>
        <x:v>83.59923420548819</x:v>
      </x:c>
      <x:c r="W186" t="n">
        <x:f>IFERROR(K186/J186*100,0)</x:f>
        <x:v>5.038167938931298</x:v>
      </x:c>
      <x:c r="X186" t="n">
        <x:f>IFERROR(H186/F186*100,0)</x:f>
        <x:v>7.380952380952381</x:v>
      </x:c>
      <x:c r="Y186" t="n">
        <x:f>J186-K186</x:f>
        <x:v>1244</x:v>
      </x:c>
      <x:c r="Z186" t="n">
        <x:f>MAX(0,MIN(100,(V186/100)*(1-X186/100)*(1-W186/100)*100))</x:f>
        <x:v>73.52782082839518</x:v>
      </x:c>
    </x:row>
    <x:row r="187">
      <x:c r="A187" s="12" t="n">
        <x:v>46088</x:v>
      </x:c>
      <x:c r="B187" t="str">
        <x:v>C</x:v>
      </x:c>
      <x:c r="C187" t="str">
        <x:v>Dried Pineapple</x:v>
      </x:c>
      <x:c r="D187" t="str">
        <x:v>Dryer 1</x:v>
      </x:c>
      <x:c r="E187" t="str">
        <x:v>Sup 1</x:v>
      </x:c>
      <x:c r="F187" t="n">
        <x:v>450</x:v>
      </x:c>
      <x:c r="G187" t="n">
        <x:v>20</x:v>
      </x:c>
      <x:c r="H187" t="n">
        <x:v>39</x:v>
      </x:c>
      <x:c r="I187" t="n">
        <x:v>1693</x:v>
      </x:c>
      <x:c r="J187" t="n">
        <x:v>1572</x:v>
      </x:c>
      <x:c r="K187" t="n">
        <x:v>59</x:v>
      </x:c>
      <x:c r="L187" t="n">
        <x:v>29</x:v>
      </x:c>
      <x:c r="M187" t="n">
        <x:v>90.6</x:v>
      </x:c>
      <x:c r="N187" t="n">
        <x:v>62.2</x:v>
      </x:c>
      <x:c r="O187" t="n">
        <x:v>74.6</x:v>
      </x:c>
      <x:c r="P187" t="n">
        <x:v>1</x:v>
      </x:c>
      <x:c r="Q187" t="str">
        <x:v>No incident</x:v>
      </x:c>
      <x:c r="R187" t="str">
        <x:v>N/A</x:v>
      </x:c>
      <x:c r="S187" t="str">
        <x:v>Corrective</x:v>
      </x:c>
      <x:c r="T187" t="n">
        <x:v>1.54</x:v>
      </x:c>
      <x:c r="U187" t="n">
        <x:v>12.5</x:v>
      </x:c>
      <x:c r="V187" t="n">
        <x:f>IFERROR(J187/I187*100,0)</x:f>
        <x:v>92.8529238038984</x:v>
      </x:c>
      <x:c r="W187" t="n">
        <x:f>IFERROR(K187/J187*100,0)</x:f>
        <x:v>3.753180661577608</x:v>
      </x:c>
      <x:c r="X187" t="n">
        <x:f>IFERROR(H187/F187*100,0)</x:f>
        <x:v>8.666666666666668</x:v>
      </x:c>
      <x:c r="Y187" t="n">
        <x:f>J187-K187</x:f>
        <x:v>1513</x:v>
      </x:c>
      <x:c r="Z187" t="n">
        <x:f>MAX(0,MIN(100,(V187/100)*(1-X187/100)*(1-W187/100)*100))</x:f>
        <x:v>81.62276038590274</x:v>
      </x:c>
    </x:row>
    <x:row r="188">
      <x:c r="A188" s="12" t="n">
        <x:v>46089</x:v>
      </x:c>
      <x:c r="B188" t="str">
        <x:v>A</x:v>
      </x:c>
      <x:c r="C188" t="str">
        <x:v>Dried Pineapple</x:v>
      </x:c>
      <x:c r="D188" t="str">
        <x:v>Dryer 3</x:v>
      </x:c>
      <x:c r="E188" t="str">
        <x:v>Sup 1</x:v>
      </x:c>
      <x:c r="F188" t="n">
        <x:v>480</x:v>
      </x:c>
      <x:c r="G188" t="n">
        <x:v>0</x:v>
      </x:c>
      <x:c r="H188" t="n">
        <x:v>51</x:v>
      </x:c>
      <x:c r="I188" t="n">
        <x:v>1652</x:v>
      </x:c>
      <x:c r="J188" t="n">
        <x:v>1480</x:v>
      </x:c>
      <x:c r="K188" t="n">
        <x:v>69</x:v>
      </x:c>
      <x:c r="L188" t="n">
        <x:v>42</x:v>
      </x:c>
      <x:c r="M188" t="n">
        <x:v>88.3</x:v>
      </x:c>
      <x:c r="N188" t="n">
        <x:v>57.7</x:v>
      </x:c>
      <x:c r="O188" t="n">
        <x:v>69.3</x:v>
      </x:c>
      <x:c r="P188" t="n">
        <x:v>3</x:v>
      </x:c>
      <x:c r="Q188" t="str">
        <x:v>First aid</x:v>
      </x:c>
      <x:c r="R188" t="str">
        <x:v>Open</x:v>
      </x:c>
      <x:c r="S188" t="str">
        <x:v>Corrective</x:v>
      </x:c>
      <x:c r="T188" t="n">
        <x:v>1.11</x:v>
      </x:c>
      <x:c r="U188" t="n">
        <x:v>12.4</x:v>
      </x:c>
      <x:c r="V188" t="n">
        <x:f>IFERROR(J188/I188*100,0)</x:f>
        <x:v>89.58837772397095</x:v>
      </x:c>
      <x:c r="W188" t="n">
        <x:f>IFERROR(K188/J188*100,0)</x:f>
        <x:v>4.662162162162162</x:v>
      </x:c>
      <x:c r="X188" t="n">
        <x:f>IFERROR(H188/F188*100,0)</x:f>
        <x:v>10.625</x:v>
      </x:c>
      <x:c r="Y188" t="n">
        <x:f>J188-K188</x:f>
        <x:v>1411</x:v>
      </x:c>
      <x:c r="Z188" t="n">
        <x:f>MAX(0,MIN(100,(V188/100)*(1-X188/100)*(1-W188/100)*100))</x:f>
        <x:v>76.33663740920097</x:v>
      </x:c>
    </x:row>
    <x:row r="189">
      <x:c r="A189" s="12" t="n">
        <x:v>46089</x:v>
      </x:c>
      <x:c r="B189" t="str">
        <x:v>B</x:v>
      </x:c>
      <x:c r="C189" t="str">
        <x:v>Dried Pineapple</x:v>
      </x:c>
      <x:c r="D189" t="str">
        <x:v>Dryer 4</x:v>
      </x:c>
      <x:c r="E189" t="str">
        <x:v>Sup 1</x:v>
      </x:c>
      <x:c r="F189" t="n">
        <x:v>420</x:v>
      </x:c>
      <x:c r="G189" t="n">
        <x:v>40</x:v>
      </x:c>
      <x:c r="H189" t="n">
        <x:v>41</x:v>
      </x:c>
      <x:c r="I189" t="n">
        <x:v>1854</x:v>
      </x:c>
      <x:c r="J189" t="n">
        <x:v>1670</x:v>
      </x:c>
      <x:c r="K189" t="n">
        <x:v>37</x:v>
      </x:c>
      <x:c r="L189" t="n">
        <x:v>25</x:v>
      </x:c>
      <x:c r="M189" t="n">
        <x:v>81.8</x:v>
      </x:c>
      <x:c r="N189" t="n">
        <x:v>86.3</x:v>
      </x:c>
      <x:c r="O189" t="n">
        <x:v>78.2</x:v>
      </x:c>
      <x:c r="P189" t="n">
        <x:v>6</x:v>
      </x:c>
      <x:c r="Q189" t="str">
        <x:v>No incident</x:v>
      </x:c>
      <x:c r="R189" t="str">
        <x:v>N/A</x:v>
      </x:c>
      <x:c r="S189" t="str">
        <x:v>Corrective</x:v>
      </x:c>
      <x:c r="T189" t="n">
        <x:v>0.94</x:v>
      </x:c>
      <x:c r="U189" t="n">
        <x:v>13.6</x:v>
      </x:c>
      <x:c r="V189" t="n">
        <x:f>IFERROR(J189/I189*100,0)</x:f>
        <x:v>90.07551240560949</x:v>
      </x:c>
      <x:c r="W189" t="n">
        <x:f>IFERROR(K189/J189*100,0)</x:f>
        <x:v>2.215568862275449</x:v>
      </x:c>
      <x:c r="X189" t="n">
        <x:f>IFERROR(H189/F189*100,0)</x:f>
        <x:v>9.761904761904763</x:v>
      </x:c>
      <x:c r="Y189" t="n">
        <x:f>J189-K189</x:f>
        <x:v>1633</x:v>
      </x:c>
      <x:c r="Z189" t="n">
        <x:f>MAX(0,MIN(100,(V189/100)*(1-X189/100)*(1-W189/100)*100))</x:f>
        <x:v>79.48155853495659</x:v>
      </x:c>
    </x:row>
    <x:row r="190">
      <x:c r="A190" s="12" t="n">
        <x:v>46089</x:v>
      </x:c>
      <x:c r="B190" t="str">
        <x:v>C</x:v>
      </x:c>
      <x:c r="C190" t="str">
        <x:v>Desiccated Coconut</x:v>
      </x:c>
      <x:c r="D190" t="str">
        <x:v>Dryer 1</x:v>
      </x:c>
      <x:c r="E190" t="str">
        <x:v>Sup 3</x:v>
      </x:c>
      <x:c r="F190" t="n">
        <x:v>420</x:v>
      </x:c>
      <x:c r="G190" t="n">
        <x:v>20</x:v>
      </x:c>
      <x:c r="H190" t="n">
        <x:v>20</x:v>
      </x:c>
      <x:c r="I190" t="n">
        <x:v>1239</x:v>
      </x:c>
      <x:c r="J190" t="n">
        <x:v>1195</x:v>
      </x:c>
      <x:c r="K190" t="n">
        <x:v>30</x:v>
      </x:c>
      <x:c r="L190" t="n">
        <x:v>11</x:v>
      </x:c>
      <x:c r="M190" t="n">
        <x:v>88.4</x:v>
      </x:c>
      <x:c r="N190" t="n">
        <x:v>76.3</x:v>
      </x:c>
      <x:c r="O190" t="n">
        <x:v>73.3</x:v>
      </x:c>
      <x:c r="P190" t="n">
        <x:v>2</x:v>
      </x:c>
      <x:c r="Q190" t="str">
        <x:v>No incident</x:v>
      </x:c>
      <x:c r="R190" t="str">
        <x:v>N/A</x:v>
      </x:c>
      <x:c r="S190" t="str">
        <x:v>Corrective</x:v>
      </x:c>
      <x:c r="T190" t="n">
        <x:v>1.41</x:v>
      </x:c>
      <x:c r="U190" t="n">
        <x:v>10</x:v>
      </x:c>
      <x:c r="V190" t="n">
        <x:f>IFERROR(J190/I190*100,0)</x:f>
        <x:v>96.44874899112187</x:v>
      </x:c>
      <x:c r="W190" t="n">
        <x:f>IFERROR(K190/J190*100,0)</x:f>
        <x:v>2.510460251046025</x:v>
      </x:c>
      <x:c r="X190" t="n">
        <x:f>IFERROR(H190/F190*100,0)</x:f>
        <x:v>4.761904761904762</x:v>
      </x:c>
      <x:c r="Y190" t="n">
        <x:f>J190-K190</x:f>
        <x:v>1165</x:v>
      </x:c>
      <x:c r="Z190" t="n">
        <x:f>MAX(0,MIN(100,(V190/100)*(1-X190/100)*(1-W190/100)*100))</x:f>
        <x:v>89.54994427149391</x:v>
      </x:c>
    </x:row>
    <x:row r="191">
      <x:c r="A191" s="12" t="n">
        <x:v>46090</x:v>
      </x:c>
      <x:c r="B191" t="str">
        <x:v>A</x:v>
      </x:c>
      <x:c r="C191" t="str">
        <x:v>Dried Mango</x:v>
      </x:c>
      <x:c r="D191" t="str">
        <x:v>Dryer 1</x:v>
      </x:c>
      <x:c r="E191" t="str">
        <x:v>Sup 2</x:v>
      </x:c>
      <x:c r="F191" t="n">
        <x:v>480</x:v>
      </x:c>
      <x:c r="G191" t="n">
        <x:v>40</x:v>
      </x:c>
      <x:c r="H191" t="n">
        <x:v>25</x:v>
      </x:c>
      <x:c r="I191" t="n">
        <x:v>1717</x:v>
      </x:c>
      <x:c r="J191" t="n">
        <x:v>1442</x:v>
      </x:c>
      <x:c r="K191" t="n">
        <x:v>59</x:v>
      </x:c>
      <x:c r="L191" t="n">
        <x:v>40</x:v>
      </x:c>
      <x:c r="M191" t="n">
        <x:v>80.8</x:v>
      </x:c>
      <x:c r="N191" t="n">
        <x:v>78.7</x:v>
      </x:c>
      <x:c r="O191" t="n">
        <x:v>76.6</x:v>
      </x:c>
      <x:c r="P191" t="n">
        <x:v>2</x:v>
      </x:c>
      <x:c r="Q191" t="str">
        <x:v>Near miss</x:v>
      </x:c>
      <x:c r="R191" t="str">
        <x:v>Closed</x:v>
      </x:c>
      <x:c r="S191" t="str">
        <x:v>Inspection</x:v>
      </x:c>
      <x:c r="T191" t="n">
        <x:v>1.47</x:v>
      </x:c>
      <x:c r="U191" t="n">
        <x:v>10.9</x:v>
      </x:c>
      <x:c r="V191" t="n">
        <x:f>IFERROR(J191/I191*100,0)</x:f>
        <x:v>83.98369248689575</x:v>
      </x:c>
      <x:c r="W191" t="n">
        <x:f>IFERROR(K191/J191*100,0)</x:f>
        <x:v>4.091539528432732</x:v>
      </x:c>
      <x:c r="X191" t="n">
        <x:f>IFERROR(H191/F191*100,0)</x:f>
        <x:v>5.208333333333334</x:v>
      </x:c>
      <x:c r="Y191" t="n">
        <x:f>J191-K191</x:f>
        <x:v>1383</x:v>
      </x:c>
      <x:c r="Z191" t="n">
        <x:f>MAX(0,MIN(100,(V191/100)*(1-X191/100)*(1-W191/100)*100))</x:f>
        <x:v>76.35228596389051</x:v>
      </x:c>
    </x:row>
    <x:row r="192">
      <x:c r="A192" s="12" t="n">
        <x:v>46090</x:v>
      </x:c>
      <x:c r="B192" t="str">
        <x:v>B</x:v>
      </x:c>
      <x:c r="C192" t="str">
        <x:v>Dried Mango</x:v>
      </x:c>
      <x:c r="D192" t="str">
        <x:v>Dryer 3</x:v>
      </x:c>
      <x:c r="E192" t="str">
        <x:v>Sup 3</x:v>
      </x:c>
      <x:c r="F192" t="n">
        <x:v>420</x:v>
      </x:c>
      <x:c r="G192" t="n">
        <x:v>40</x:v>
      </x:c>
      <x:c r="H192" t="n">
        <x:v>66</x:v>
      </x:c>
      <x:c r="I192" t="n">
        <x:v>1679</x:v>
      </x:c>
      <x:c r="J192" t="n">
        <x:v>1286</x:v>
      </x:c>
      <x:c r="K192" t="n">
        <x:v>50</x:v>
      </x:c>
      <x:c r="L192" t="n">
        <x:v>14</x:v>
      </x:c>
      <x:c r="M192" t="n">
        <x:v>92.6</x:v>
      </x:c>
      <x:c r="N192" t="n">
        <x:v>69.4</x:v>
      </x:c>
      <x:c r="O192" t="n">
        <x:v>82.4</x:v>
      </x:c>
      <x:c r="P192" t="n">
        <x:v>4</x:v>
      </x:c>
      <x:c r="Q192" t="str">
        <x:v>No incident</x:v>
      </x:c>
      <x:c r="R192" t="str">
        <x:v>N/A</x:v>
      </x:c>
      <x:c r="S192" t="str">
        <x:v>Inspection</x:v>
      </x:c>
      <x:c r="T192" t="n">
        <x:v>1.08</x:v>
      </x:c>
      <x:c r="U192" t="n">
        <x:v>10</x:v>
      </x:c>
      <x:c r="V192" t="n">
        <x:f>IFERROR(J192/I192*100,0)</x:f>
        <x:v>76.59321024419297</x:v>
      </x:c>
      <x:c r="W192" t="n">
        <x:f>IFERROR(K192/J192*100,0)</x:f>
        <x:v>3.8880248833592534</x:v>
      </x:c>
      <x:c r="X192" t="n">
        <x:f>IFERROR(H192/F192*100,0)</x:f>
        <x:v>15.714285714285714</x:v>
      </x:c>
      <x:c r="Y192" t="n">
        <x:f>J192-K192</x:f>
        <x:v>1236</x:v>
      </x:c>
      <x:c r="Z192" t="n">
        <x:f>MAX(0,MIN(100,(V192/100)*(1-X192/100)*(1-W192/100)*100))</x:f>
        <x:v>62.04713690121672</x:v>
      </x:c>
    </x:row>
    <x:row r="193">
      <x:c r="A193" s="12" t="n">
        <x:v>46090</x:v>
      </x:c>
      <x:c r="B193" t="str">
        <x:v>C</x:v>
      </x:c>
      <x:c r="C193" t="str">
        <x:v>Dried Mango</x:v>
      </x:c>
      <x:c r="D193" t="str">
        <x:v>Dryer 4</x:v>
      </x:c>
      <x:c r="E193" t="str">
        <x:v>Sup 3</x:v>
      </x:c>
      <x:c r="F193" t="n">
        <x:v>450</x:v>
      </x:c>
      <x:c r="G193" t="n">
        <x:v>0</x:v>
      </x:c>
      <x:c r="H193" t="n">
        <x:v>50</x:v>
      </x:c>
      <x:c r="I193" t="n">
        <x:v>1582</x:v>
      </x:c>
      <x:c r="J193" t="n">
        <x:v>1459</x:v>
      </x:c>
      <x:c r="K193" t="n">
        <x:v>63</x:v>
      </x:c>
      <x:c r="L193" t="n">
        <x:v>15</x:v>
      </x:c>
      <x:c r="M193" t="n">
        <x:v>86.8</x:v>
      </x:c>
      <x:c r="N193" t="n">
        <x:v>57.2</x:v>
      </x:c>
      <x:c r="O193" t="n">
        <x:v>71.8</x:v>
      </x:c>
      <x:c r="P193" t="n">
        <x:v>4</x:v>
      </x:c>
      <x:c r="Q193" t="str">
        <x:v>No incident</x:v>
      </x:c>
      <x:c r="R193" t="str">
        <x:v>N/A</x:v>
      </x:c>
      <x:c r="S193" t="str">
        <x:v>Preventive</x:v>
      </x:c>
      <x:c r="T193" t="n">
        <x:v>0.5</x:v>
      </x:c>
      <x:c r="U193" t="n">
        <x:v>11.8</x:v>
      </x:c>
      <x:c r="V193" t="n">
        <x:f>IFERROR(J193/I193*100,0)</x:f>
        <x:v>92.22503160556258</x:v>
      </x:c>
      <x:c r="W193" t="n">
        <x:f>IFERROR(K193/J193*100,0)</x:f>
        <x:v>4.318026045236463</x:v>
      </x:c>
      <x:c r="X193" t="n">
        <x:f>IFERROR(H193/F193*100,0)</x:f>
        <x:v>11.11111111111111</x:v>
      </x:c>
      <x:c r="Y193" t="n">
        <x:f>J193-K193</x:f>
        <x:v>1396</x:v>
      </x:c>
      <x:c r="Z193" t="n">
        <x:f>MAX(0,MIN(100,(V193/100)*(1-X193/100)*(1-W193/100)*100))</x:f>
        <x:v>78.43798286276161</x:v>
      </x:c>
    </x:row>
    <x:row r="194">
      <x:c r="A194" s="12" t="n">
        <x:v>46091</x:v>
      </x:c>
      <x:c r="B194" t="str">
        <x:v>A</x:v>
      </x:c>
      <x:c r="C194" t="str">
        <x:v>Desiccated Coconut</x:v>
      </x:c>
      <x:c r="D194" t="str">
        <x:v>Dryer 2</x:v>
      </x:c>
      <x:c r="E194" t="str">
        <x:v>Sup 2</x:v>
      </x:c>
      <x:c r="F194" t="n">
        <x:v>480</x:v>
      </x:c>
      <x:c r="G194" t="n">
        <x:v>30</x:v>
      </x:c>
      <x:c r="H194" t="n">
        <x:v>36</x:v>
      </x:c>
      <x:c r="I194" t="n">
        <x:v>1198</x:v>
      </x:c>
      <x:c r="J194" t="n">
        <x:v>1070</x:v>
      </x:c>
      <x:c r="K194" t="n">
        <x:v>25</x:v>
      </x:c>
      <x:c r="L194" t="n">
        <x:v>8</x:v>
      </x:c>
      <x:c r="M194" t="n">
        <x:v>88</x:v>
      </x:c>
      <x:c r="N194" t="n">
        <x:v>66.2</x:v>
      </x:c>
      <x:c r="O194" t="n">
        <x:v>75.6</x:v>
      </x:c>
      <x:c r="P194" t="n">
        <x:v>3</x:v>
      </x:c>
      <x:c r="Q194" t="str">
        <x:v>No incident</x:v>
      </x:c>
      <x:c r="R194" t="str">
        <x:v>N/A</x:v>
      </x:c>
      <x:c r="S194" t="str">
        <x:v>Corrective</x:v>
      </x:c>
      <x:c r="T194" t="n">
        <x:v>1.39</x:v>
      </x:c>
      <x:c r="U194" t="n">
        <x:v>8.4</x:v>
      </x:c>
      <x:c r="V194" t="n">
        <x:f>IFERROR(J194/I194*100,0)</x:f>
        <x:v>89.31552587646077</x:v>
      </x:c>
      <x:c r="W194" t="n">
        <x:f>IFERROR(K194/J194*100,0)</x:f>
        <x:v>2.336448598130841</x:v>
      </x:c>
      <x:c r="X194" t="n">
        <x:f>IFERROR(H194/F194*100,0)</x:f>
        <x:v>7.5</x:v>
      </x:c>
      <x:c r="Y194" t="n">
        <x:f>J194-K194</x:f>
        <x:v>1045</x:v>
      </x:c>
      <x:c r="Z194" t="n">
        <x:f>MAX(0,MIN(100,(V194/100)*(1-X194/100)*(1-W194/100)*100))</x:f>
        <x:v>80.68656093489149</x:v>
      </x:c>
    </x:row>
    <x:row r="195">
      <x:c r="A195" s="12" t="n">
        <x:v>46091</x:v>
      </x:c>
      <x:c r="B195" t="str">
        <x:v>B</x:v>
      </x:c>
      <x:c r="C195" t="str">
        <x:v>Dried Pineapple</x:v>
      </x:c>
      <x:c r="D195" t="str">
        <x:v>Dryer 2</x:v>
      </x:c>
      <x:c r="E195" t="str">
        <x:v>Sup 3</x:v>
      </x:c>
      <x:c r="F195" t="n">
        <x:v>450</x:v>
      </x:c>
      <x:c r="G195" t="n">
        <x:v>20</x:v>
      </x:c>
      <x:c r="H195" t="n">
        <x:v>39</x:v>
      </x:c>
      <x:c r="I195" t="n">
        <x:v>1858</x:v>
      </x:c>
      <x:c r="J195" t="n">
        <x:v>1655</x:v>
      </x:c>
      <x:c r="K195" t="n">
        <x:v>37</x:v>
      </x:c>
      <x:c r="L195" t="n">
        <x:v>22</x:v>
      </x:c>
      <x:c r="M195" t="n">
        <x:v>100</x:v>
      </x:c>
      <x:c r="N195" t="n">
        <x:v>62.4</x:v>
      </x:c>
      <x:c r="O195" t="n">
        <x:v>81.7</x:v>
      </x:c>
      <x:c r="P195" t="n">
        <x:v>3</x:v>
      </x:c>
      <x:c r="Q195" t="str">
        <x:v>Near miss</x:v>
      </x:c>
      <x:c r="R195" t="str">
        <x:v>Open</x:v>
      </x:c>
      <x:c r="S195" t="str">
        <x:v>Inspection</x:v>
      </x:c>
      <x:c r="T195" t="n">
        <x:v>0.5</x:v>
      </x:c>
      <x:c r="U195" t="n">
        <x:v>13.2</x:v>
      </x:c>
      <x:c r="V195" t="n">
        <x:f>IFERROR(J195/I195*100,0)</x:f>
        <x:v>89.07427341227125</x:v>
      </x:c>
      <x:c r="W195" t="n">
        <x:f>IFERROR(K195/J195*100,0)</x:f>
        <x:v>2.2356495468277946</x:v>
      </x:c>
      <x:c r="X195" t="n">
        <x:f>IFERROR(H195/F195*100,0)</x:f>
        <x:v>8.666666666666668</x:v>
      </x:c>
      <x:c r="Y195" t="n">
        <x:f>J195-K195</x:f>
        <x:v>1618</x:v>
      </x:c>
      <x:c r="Z195" t="n">
        <x:f>MAX(0,MIN(100,(V195/100)*(1-X195/100)*(1-W195/100)*100))</x:f>
        <x:v>79.5357014711159</x:v>
      </x:c>
    </x:row>
    <x:row r="196">
      <x:c r="A196" s="12" t="n">
        <x:v>46091</x:v>
      </x:c>
      <x:c r="B196" t="str">
        <x:v>C</x:v>
      </x:c>
      <x:c r="C196" t="str">
        <x:v>Dried Pineapple</x:v>
      </x:c>
      <x:c r="D196" t="str">
        <x:v>Dryer 4</x:v>
      </x:c>
      <x:c r="E196" t="str">
        <x:v>Sup 3</x:v>
      </x:c>
      <x:c r="F196" t="n">
        <x:v>420</x:v>
      </x:c>
      <x:c r="G196" t="n">
        <x:v>0</x:v>
      </x:c>
      <x:c r="H196" t="n">
        <x:v>66</x:v>
      </x:c>
      <x:c r="I196" t="n">
        <x:v>1653</x:v>
      </x:c>
      <x:c r="J196" t="n">
        <x:v>1274</x:v>
      </x:c>
      <x:c r="K196" t="n">
        <x:v>35</x:v>
      </x:c>
      <x:c r="L196" t="n">
        <x:v>8</x:v>
      </x:c>
      <x:c r="M196" t="n">
        <x:v>82.1</x:v>
      </x:c>
      <x:c r="N196" t="n">
        <x:v>77.6</x:v>
      </x:c>
      <x:c r="O196" t="n">
        <x:v>81.8</x:v>
      </x:c>
      <x:c r="P196" t="n">
        <x:v>5</x:v>
      </x:c>
      <x:c r="Q196" t="str">
        <x:v>No incident</x:v>
      </x:c>
      <x:c r="R196" t="str">
        <x:v>N/A</x:v>
      </x:c>
      <x:c r="S196" t="str">
        <x:v>Inspection</x:v>
      </x:c>
      <x:c r="T196" t="n">
        <x:v>0.5</x:v>
      </x:c>
      <x:c r="U196" t="n">
        <x:v>11</x:v>
      </x:c>
      <x:c r="V196" t="n">
        <x:f>IFERROR(J196/I196*100,0)</x:f>
        <x:v>77.07199032062915</x:v>
      </x:c>
      <x:c r="W196" t="n">
        <x:f>IFERROR(K196/J196*100,0)</x:f>
        <x:v>2.7472527472527473</x:v>
      </x:c>
      <x:c r="X196" t="n">
        <x:f>IFERROR(H196/F196*100,0)</x:f>
        <x:v>15.714285714285714</x:v>
      </x:c>
      <x:c r="Y196" t="n">
        <x:f>J196-K196</x:f>
        <x:v>1239</x:v>
      </x:c>
      <x:c r="Z196" t="n">
        <x:f>MAX(0,MIN(100,(V196/100)*(1-X196/100)*(1-W196/100)*100))</x:f>
        <x:v>63.17604355716878</x:v>
      </x:c>
    </x:row>
    <x:row r="197">
      <x:c r="A197" s="12" t="n">
        <x:v>46092</x:v>
      </x:c>
      <x:c r="B197" t="str">
        <x:v>A</x:v>
      </x:c>
      <x:c r="C197" t="str">
        <x:v>Desiccated Coconut</x:v>
      </x:c>
      <x:c r="D197" t="str">
        <x:v>Dryer 1</x:v>
      </x:c>
      <x:c r="E197" t="str">
        <x:v>Sup 2</x:v>
      </x:c>
      <x:c r="F197" t="n">
        <x:v>450</x:v>
      </x:c>
      <x:c r="G197" t="n">
        <x:v>40</x:v>
      </x:c>
      <x:c r="H197" t="n">
        <x:v>38</x:v>
      </x:c>
      <x:c r="I197" t="n">
        <x:v>1217</x:v>
      </x:c>
      <x:c r="J197" t="n">
        <x:v>1029</x:v>
      </x:c>
      <x:c r="K197" t="n">
        <x:v>22</x:v>
      </x:c>
      <x:c r="L197" t="n">
        <x:v>12</x:v>
      </x:c>
      <x:c r="M197" t="n">
        <x:v>96.9</x:v>
      </x:c>
      <x:c r="N197" t="n">
        <x:v>84.1</x:v>
      </x:c>
      <x:c r="O197" t="n">
        <x:v>88</x:v>
      </x:c>
      <x:c r="P197" t="n">
        <x:v>3</x:v>
      </x:c>
      <x:c r="Q197" t="str">
        <x:v>No incident</x:v>
      </x:c>
      <x:c r="R197" t="str">
        <x:v>N/A</x:v>
      </x:c>
      <x:c r="S197" t="str">
        <x:v>Corrective</x:v>
      </x:c>
      <x:c r="T197" t="n">
        <x:v>1.53</x:v>
      </x:c>
      <x:c r="U197" t="n">
        <x:v>8.9</x:v>
      </x:c>
      <x:c r="V197" t="n">
        <x:f>IFERROR(J197/I197*100,0)</x:f>
        <x:v>84.55217748562038</x:v>
      </x:c>
      <x:c r="W197" t="n">
        <x:f>IFERROR(K197/J197*100,0)</x:f>
        <x:v>2.1379980563654035</x:v>
      </x:c>
      <x:c r="X197" t="n">
        <x:f>IFERROR(H197/F197*100,0)</x:f>
        <x:v>8.444444444444445</x:v>
      </x:c>
      <x:c r="Y197" t="n">
        <x:f>J197-K197</x:f>
        <x:v>1007</x:v>
      </x:c>
      <x:c r="Z197" t="n">
        <x:f>MAX(0,MIN(100,(V197/100)*(1-X197/100)*(1-W197/100)*100))</x:f>
        <x:v>75.75714416141696</x:v>
      </x:c>
    </x:row>
    <x:row r="198">
      <x:c r="A198" s="12" t="n">
        <x:v>46092</x:v>
      </x:c>
      <x:c r="B198" t="str">
        <x:v>B</x:v>
      </x:c>
      <x:c r="C198" t="str">
        <x:v>Desiccated Coconut</x:v>
      </x:c>
      <x:c r="D198" t="str">
        <x:v>Dryer 2</x:v>
      </x:c>
      <x:c r="E198" t="str">
        <x:v>Sup 3</x:v>
      </x:c>
      <x:c r="F198" t="n">
        <x:v>450</x:v>
      </x:c>
      <x:c r="G198" t="n">
        <x:v>0</x:v>
      </x:c>
      <x:c r="H198" t="n">
        <x:v>53</x:v>
      </x:c>
      <x:c r="I198" t="n">
        <x:v>1135</x:v>
      </x:c>
      <x:c r="J198" t="n">
        <x:v>909</x:v>
      </x:c>
      <x:c r="K198" t="n">
        <x:v>19</x:v>
      </x:c>
      <x:c r="L198" t="n">
        <x:v>12</x:v>
      </x:c>
      <x:c r="M198" t="n">
        <x:v>97.1</x:v>
      </x:c>
      <x:c r="N198" t="n">
        <x:v>79.3</x:v>
      </x:c>
      <x:c r="O198" t="n">
        <x:v>83</x:v>
      </x:c>
      <x:c r="P198" t="n">
        <x:v>1</x:v>
      </x:c>
      <x:c r="Q198" t="str">
        <x:v>No incident</x:v>
      </x:c>
      <x:c r="R198" t="str">
        <x:v>N/A</x:v>
      </x:c>
      <x:c r="S198" t="str">
        <x:v>Corrective</x:v>
      </x:c>
      <x:c r="T198" t="n">
        <x:v>2.01</x:v>
      </x:c>
      <x:c r="U198" t="n">
        <x:v>8</x:v>
      </x:c>
      <x:c r="V198" t="n">
        <x:f>IFERROR(J198/I198*100,0)</x:f>
        <x:v>80.08810572687224</x:v>
      </x:c>
      <x:c r="W198" t="n">
        <x:f>IFERROR(K198/J198*100,0)</x:f>
        <x:v>2.0902090209020905</x:v>
      </x:c>
      <x:c r="X198" t="n">
        <x:f>IFERROR(H198/F198*100,0)</x:f>
        <x:v>11.777777777777777</x:v>
      </x:c>
      <x:c r="Y198" t="n">
        <x:f>J198-K198</x:f>
        <x:v>890</x:v>
      </x:c>
      <x:c r="Z198" t="n">
        <x:f>MAX(0,MIN(100,(V198/100)*(1-X198/100)*(1-W198/100)*100))</x:f>
        <x:v>69.17865883504649</x:v>
      </x:c>
    </x:row>
    <x:row r="199">
      <x:c r="A199" s="12" t="n">
        <x:v>46092</x:v>
      </x:c>
      <x:c r="B199" t="str">
        <x:v>C</x:v>
      </x:c>
      <x:c r="C199" t="str">
        <x:v>Desiccated Coconut</x:v>
      </x:c>
      <x:c r="D199" t="str">
        <x:v>Dryer 1</x:v>
      </x:c>
      <x:c r="E199" t="str">
        <x:v>Sup 3</x:v>
      </x:c>
      <x:c r="F199" t="n">
        <x:v>420</x:v>
      </x:c>
      <x:c r="G199" t="n">
        <x:v>40</x:v>
      </x:c>
      <x:c r="H199" t="n">
        <x:v>27</x:v>
      </x:c>
      <x:c r="I199" t="n">
        <x:v>1181</x:v>
      </x:c>
      <x:c r="J199" t="n">
        <x:v>969</x:v>
      </x:c>
      <x:c r="K199" t="n">
        <x:v>33</x:v>
      </x:c>
      <x:c r="L199" t="n">
        <x:v>22</x:v>
      </x:c>
      <x:c r="M199" t="n">
        <x:v>93.5</x:v>
      </x:c>
      <x:c r="N199" t="n">
        <x:v>68.4</x:v>
      </x:c>
      <x:c r="O199" t="n">
        <x:v>69.6</x:v>
      </x:c>
      <x:c r="P199" t="n">
        <x:v>2</x:v>
      </x:c>
      <x:c r="Q199" t="str">
        <x:v>No incident</x:v>
      </x:c>
      <x:c r="R199" t="str">
        <x:v>N/A</x:v>
      </x:c>
      <x:c r="S199" t="str">
        <x:v>Preventive</x:v>
      </x:c>
      <x:c r="T199" t="n">
        <x:v>0.5</x:v>
      </x:c>
      <x:c r="U199" t="n">
        <x:v>8.9</x:v>
      </x:c>
      <x:c r="V199" t="n">
        <x:f>IFERROR(J199/I199*100,0)</x:f>
        <x:v>82.04911092294665</x:v>
      </x:c>
      <x:c r="W199" t="n">
        <x:f>IFERROR(K199/J199*100,0)</x:f>
        <x:v>3.4055727554179565</x:v>
      </x:c>
      <x:c r="X199" t="n">
        <x:f>IFERROR(H199/F199*100,0)</x:f>
        <x:v>6.428571428571428</x:v>
      </x:c>
      <x:c r="Y199" t="n">
        <x:f>J199-K199</x:f>
        <x:v>936</x:v>
      </x:c>
      <x:c r="Z199" t="n">
        <x:f>MAX(0,MIN(100,(V199/100)*(1-X199/100)*(1-W199/100)*100))</x:f>
        <x:v>74.15991290673763</x:v>
      </x:c>
    </x:row>
    <x:row r="200">
      <x:c r="A200" s="12" t="n">
        <x:v>46093</x:v>
      </x:c>
      <x:c r="B200" t="str">
        <x:v>A</x:v>
      </x:c>
      <x:c r="C200" t="str">
        <x:v>Desiccated Coconut</x:v>
      </x:c>
      <x:c r="D200" t="str">
        <x:v>Dryer 4</x:v>
      </x:c>
      <x:c r="E200" t="str">
        <x:v>Sup 2</x:v>
      </x:c>
      <x:c r="F200" t="n">
        <x:v>480</x:v>
      </x:c>
      <x:c r="G200" t="n">
        <x:v>0</x:v>
      </x:c>
      <x:c r="H200" t="n">
        <x:v>50</x:v>
      </x:c>
      <x:c r="I200" t="n">
        <x:v>1167</x:v>
      </x:c>
      <x:c r="J200" t="n">
        <x:v>999</x:v>
      </x:c>
      <x:c r="K200" t="n">
        <x:v>33</x:v>
      </x:c>
      <x:c r="L200" t="n">
        <x:v>7</x:v>
      </x:c>
      <x:c r="M200" t="n">
        <x:v>89.2</x:v>
      </x:c>
      <x:c r="N200" t="n">
        <x:v>87.7</x:v>
      </x:c>
      <x:c r="O200" t="n">
        <x:v>82.4</x:v>
      </x:c>
      <x:c r="P200" t="n">
        <x:v>0</x:v>
      </x:c>
      <x:c r="Q200" t="str">
        <x:v>No incident</x:v>
      </x:c>
      <x:c r="R200" t="str">
        <x:v>N/A</x:v>
      </x:c>
      <x:c r="S200" t="str">
        <x:v>Corrective</x:v>
      </x:c>
      <x:c r="T200" t="n">
        <x:v>1.26</x:v>
      </x:c>
      <x:c r="U200" t="n">
        <x:v>7.9</x:v>
      </x:c>
      <x:c r="V200" t="n">
        <x:f>IFERROR(J200/I200*100,0)</x:f>
        <x:v>85.60411311053984</x:v>
      </x:c>
      <x:c r="W200" t="n">
        <x:f>IFERROR(K200/J200*100,0)</x:f>
        <x:v>3.303303303303303</x:v>
      </x:c>
      <x:c r="X200" t="n">
        <x:f>IFERROR(H200/F200*100,0)</x:f>
        <x:v>10.416666666666668</x:v>
      </x:c>
      <x:c r="Y200" t="n">
        <x:f>J200-K200</x:f>
        <x:v>966</x:v>
      </x:c>
      <x:c r="Z200" t="n">
        <x:f>MAX(0,MIN(100,(V200/100)*(1-X200/100)*(1-W200/100)*100))</x:f>
        <x:v>74.15381319622963</x:v>
      </x:c>
    </x:row>
    <x:row r="201">
      <x:c r="A201" s="12" t="n">
        <x:v>46093</x:v>
      </x:c>
      <x:c r="B201" t="str">
        <x:v>B</x:v>
      </x:c>
      <x:c r="C201" t="str">
        <x:v>Desiccated Coconut</x:v>
      </x:c>
      <x:c r="D201" t="str">
        <x:v>Dryer 3</x:v>
      </x:c>
      <x:c r="E201" t="str">
        <x:v>Sup 3</x:v>
      </x:c>
      <x:c r="F201" t="n">
        <x:v>450</x:v>
      </x:c>
      <x:c r="G201" t="n">
        <x:v>0</x:v>
      </x:c>
      <x:c r="H201" t="n">
        <x:v>40</x:v>
      </x:c>
      <x:c r="I201" t="n">
        <x:v>1283</x:v>
      </x:c>
      <x:c r="J201" t="n">
        <x:v>1210</x:v>
      </x:c>
      <x:c r="K201" t="n">
        <x:v>56</x:v>
      </x:c>
      <x:c r="L201" t="n">
        <x:v>35</x:v>
      </x:c>
      <x:c r="M201" t="n">
        <x:v>96.5</x:v>
      </x:c>
      <x:c r="N201" t="n">
        <x:v>71.4</x:v>
      </x:c>
      <x:c r="O201" t="n">
        <x:v>82.8</x:v>
      </x:c>
      <x:c r="P201" t="n">
        <x:v>1</x:v>
      </x:c>
      <x:c r="Q201" t="str">
        <x:v>Recordable</x:v>
      </x:c>
      <x:c r="R201" t="str">
        <x:v>In progress</x:v>
      </x:c>
      <x:c r="S201" t="str">
        <x:v>Inspection</x:v>
      </x:c>
      <x:c r="T201" t="n">
        <x:v>0.5</x:v>
      </x:c>
      <x:c r="U201" t="n">
        <x:v>10.8</x:v>
      </x:c>
      <x:c r="V201" t="n">
        <x:f>IFERROR(J201/I201*100,0)</x:f>
        <x:v>94.31021044427123</x:v>
      </x:c>
      <x:c r="W201" t="n">
        <x:f>IFERROR(K201/J201*100,0)</x:f>
        <x:v>4.628099173553719</x:v>
      </x:c>
      <x:c r="X201" t="n">
        <x:f>IFERROR(H201/F201*100,0)</x:f>
        <x:v>8.88888888888889</x:v>
      </x:c>
      <x:c r="Y201" t="n">
        <x:f>J201-K201</x:f>
        <x:v>1154</x:v>
      </x:c>
      <x:c r="Z201" t="n">
        <x:f>MAX(0,MIN(100,(V201/100)*(1-X201/100)*(1-W201/100)*100))</x:f>
        <x:v>81.95029011864553</x:v>
      </x:c>
    </x:row>
    <x:row r="202">
      <x:c r="A202" s="12" t="n">
        <x:v>46093</x:v>
      </x:c>
      <x:c r="B202" t="str">
        <x:v>C</x:v>
      </x:c>
      <x:c r="C202" t="str">
        <x:v>Desiccated Coconut</x:v>
      </x:c>
      <x:c r="D202" t="str">
        <x:v>Dryer 3</x:v>
      </x:c>
      <x:c r="E202" t="str">
        <x:v>Sup 3</x:v>
      </x:c>
      <x:c r="F202" t="n">
        <x:v>420</x:v>
      </x:c>
      <x:c r="G202" t="n">
        <x:v>0</x:v>
      </x:c>
      <x:c r="H202" t="n">
        <x:v>64</x:v>
      </x:c>
      <x:c r="I202" t="n">
        <x:v>1170</x:v>
      </x:c>
      <x:c r="J202" t="n">
        <x:v>887</x:v>
      </x:c>
      <x:c r="K202" t="n">
        <x:v>33</x:v>
      </x:c>
      <x:c r="L202" t="n">
        <x:v>6</x:v>
      </x:c>
      <x:c r="M202" t="n">
        <x:v>90.1</x:v>
      </x:c>
      <x:c r="N202" t="n">
        <x:v>65.8</x:v>
      </x:c>
      <x:c r="O202" t="n">
        <x:v>65.6</x:v>
      </x:c>
      <x:c r="P202" t="n">
        <x:v>5</x:v>
      </x:c>
      <x:c r="Q202" t="str">
        <x:v>No incident</x:v>
      </x:c>
      <x:c r="R202" t="str">
        <x:v>N/A</x:v>
      </x:c>
      <x:c r="S202" t="str">
        <x:v>Inspection</x:v>
      </x:c>
      <x:c r="T202" t="n">
        <x:v>0.96</x:v>
      </x:c>
      <x:c r="U202" t="n">
        <x:v>7.5</x:v>
      </x:c>
      <x:c r="V202" t="n">
        <x:f>IFERROR(J202/I202*100,0)</x:f>
        <x:v>75.8119658119658</x:v>
      </x:c>
      <x:c r="W202" t="n">
        <x:f>IFERROR(K202/J202*100,0)</x:f>
        <x:v>3.720405862457723</x:v>
      </x:c>
      <x:c r="X202" t="n">
        <x:f>IFERROR(H202/F202*100,0)</x:f>
        <x:v>15.238095238095239</x:v>
      </x:c>
      <x:c r="Y202" t="n">
        <x:f>J202-K202</x:f>
        <x:v>854</x:v>
      </x:c>
      <x:c r="Z202" t="n">
        <x:f>MAX(0,MIN(100,(V202/100)*(1-X202/100)*(1-W202/100)*100))</x:f>
        <x:v>61.86894586894587</x:v>
      </x:c>
    </x:row>
    <x:row r="203">
      <x:c r="A203" s="12" t="n">
        <x:v>46094</x:v>
      </x:c>
      <x:c r="B203" t="str">
        <x:v>A</x:v>
      </x:c>
      <x:c r="C203" t="str">
        <x:v>Dried Mango</x:v>
      </x:c>
      <x:c r="D203" t="str">
        <x:v>Dryer 4</x:v>
      </x:c>
      <x:c r="E203" t="str">
        <x:v>Sup 1</x:v>
      </x:c>
      <x:c r="F203" t="n">
        <x:v>420</x:v>
      </x:c>
      <x:c r="G203" t="n">
        <x:v>20</x:v>
      </x:c>
      <x:c r="H203" t="n">
        <x:v>45</x:v>
      </x:c>
      <x:c r="I203" t="n">
        <x:v>1708</x:v>
      </x:c>
      <x:c r="J203" t="n">
        <x:v>1499</x:v>
      </x:c>
      <x:c r="K203" t="n">
        <x:v>42</x:v>
      </x:c>
      <x:c r="L203" t="n">
        <x:v>16</x:v>
      </x:c>
      <x:c r="M203" t="n">
        <x:v>98.9</x:v>
      </x:c>
      <x:c r="N203" t="n">
        <x:v>90.1</x:v>
      </x:c>
      <x:c r="O203" t="n">
        <x:v>75.9</x:v>
      </x:c>
      <x:c r="P203" t="n">
        <x:v>3</x:v>
      </x:c>
      <x:c r="Q203" t="str">
        <x:v>No incident</x:v>
      </x:c>
      <x:c r="R203" t="str">
        <x:v>N/A</x:v>
      </x:c>
      <x:c r="S203" t="str">
        <x:v>Corrective</x:v>
      </x:c>
      <x:c r="T203" t="n">
        <x:v>1.15</x:v>
      </x:c>
      <x:c r="U203" t="n">
        <x:v>13.6</x:v>
      </x:c>
      <x:c r="V203" t="n">
        <x:f>IFERROR(J203/I203*100,0)</x:f>
        <x:v>87.76346604215458</x:v>
      </x:c>
      <x:c r="W203" t="n">
        <x:f>IFERROR(K203/J203*100,0)</x:f>
        <x:v>2.801867911941294</x:v>
      </x:c>
      <x:c r="X203" t="n">
        <x:f>IFERROR(H203/F203*100,0)</x:f>
        <x:v>10.714285714285714</x:v>
      </x:c>
      <x:c r="Y203" t="n">
        <x:f>J203-K203</x:f>
        <x:v>1457</x:v>
      </x:c>
      <x:c r="Z203" t="n">
        <x:f>MAX(0,MIN(100,(V203/100)*(1-X203/100)*(1-W203/100)*100))</x:f>
        <x:v>76.16468718634997</x:v>
      </x:c>
    </x:row>
    <x:row r="204">
      <x:c r="A204" s="12" t="n">
        <x:v>46094</x:v>
      </x:c>
      <x:c r="B204" t="str">
        <x:v>B</x:v>
      </x:c>
      <x:c r="C204" t="str">
        <x:v>Dried Pineapple</x:v>
      </x:c>
      <x:c r="D204" t="str">
        <x:v>Dryer 1</x:v>
      </x:c>
      <x:c r="E204" t="str">
        <x:v>Sup 3</x:v>
      </x:c>
      <x:c r="F204" t="n">
        <x:v>420</x:v>
      </x:c>
      <x:c r="G204" t="n">
        <x:v>30</x:v>
      </x:c>
      <x:c r="H204" t="n">
        <x:v>23</x:v>
      </x:c>
      <x:c r="I204" t="n">
        <x:v>1812</x:v>
      </x:c>
      <x:c r="J204" t="n">
        <x:v>1673</x:v>
      </x:c>
      <x:c r="K204" t="n">
        <x:v>62</x:v>
      </x:c>
      <x:c r="L204" t="n">
        <x:v>28</x:v>
      </x:c>
      <x:c r="M204" t="n">
        <x:v>90.7</x:v>
      </x:c>
      <x:c r="N204" t="n">
        <x:v>78.9</x:v>
      </x:c>
      <x:c r="O204" t="n">
        <x:v>75.6</x:v>
      </x:c>
      <x:c r="P204" t="n">
        <x:v>3</x:v>
      </x:c>
      <x:c r="Q204" t="str">
        <x:v>No incident</x:v>
      </x:c>
      <x:c r="R204" t="str">
        <x:v>N/A</x:v>
      </x:c>
      <x:c r="S204" t="str">
        <x:v>Inspection</x:v>
      </x:c>
      <x:c r="T204" t="n">
        <x:v>0.55</x:v>
      </x:c>
      <x:c r="U204" t="n">
        <x:v>12.7</x:v>
      </x:c>
      <x:c r="V204" t="n">
        <x:f>IFERROR(J204/I204*100,0)</x:f>
        <x:v>92.3289183222958</x:v>
      </x:c>
      <x:c r="W204" t="n">
        <x:f>IFERROR(K204/J204*100,0)</x:f>
        <x:v>3.705917513448894</x:v>
      </x:c>
      <x:c r="X204" t="n">
        <x:f>IFERROR(H204/F204*100,0)</x:f>
        <x:v>5.476190476190476</x:v>
      </x:c>
      <x:c r="Y204" t="n">
        <x:f>J204-K204</x:f>
        <x:v>1611</x:v>
      </x:c>
      <x:c r="Z204" t="n">
        <x:f>MAX(0,MIN(100,(V204/100)*(1-X204/100)*(1-W204/100)*100))</x:f>
        <x:v>84.03855250709555</x:v>
      </x:c>
    </x:row>
    <x:row r="205">
      <x:c r="A205" s="12" t="n">
        <x:v>46094</x:v>
      </x:c>
      <x:c r="B205" t="str">
        <x:v>C</x:v>
      </x:c>
      <x:c r="C205" t="str">
        <x:v>Dried Pineapple</x:v>
      </x:c>
      <x:c r="D205" t="str">
        <x:v>Dryer 1</x:v>
      </x:c>
      <x:c r="E205" t="str">
        <x:v>Sup 3</x:v>
      </x:c>
      <x:c r="F205" t="n">
        <x:v>420</x:v>
      </x:c>
      <x:c r="G205" t="n">
        <x:v>30</x:v>
      </x:c>
      <x:c r="H205" t="n">
        <x:v>51</x:v>
      </x:c>
      <x:c r="I205" t="n">
        <x:v>1670</x:v>
      </x:c>
      <x:c r="J205" t="n">
        <x:v>1311</x:v>
      </x:c>
      <x:c r="K205" t="n">
        <x:v>47</x:v>
      </x:c>
      <x:c r="L205" t="n">
        <x:v>15</x:v>
      </x:c>
      <x:c r="M205" t="n">
        <x:v>86.2</x:v>
      </x:c>
      <x:c r="N205" t="n">
        <x:v>73.3</x:v>
      </x:c>
      <x:c r="O205" t="n">
        <x:v>83.7</x:v>
      </x:c>
      <x:c r="P205" t="n">
        <x:v>5</x:v>
      </x:c>
      <x:c r="Q205" t="str">
        <x:v>No incident</x:v>
      </x:c>
      <x:c r="R205" t="str">
        <x:v>N/A</x:v>
      </x:c>
      <x:c r="S205" t="str">
        <x:v>Corrective</x:v>
      </x:c>
      <x:c r="T205" t="n">
        <x:v>1.28</x:v>
      </x:c>
      <x:c r="U205" t="n">
        <x:v>10.7</x:v>
      </x:c>
      <x:c r="V205" t="n">
        <x:f>IFERROR(J205/I205*100,0)</x:f>
        <x:v>78.50299401197604</x:v>
      </x:c>
      <x:c r="W205" t="n">
        <x:f>IFERROR(K205/J205*100,0)</x:f>
        <x:v>3.585049580472922</x:v>
      </x:c>
      <x:c r="X205" t="n">
        <x:f>IFERROR(H205/F205*100,0)</x:f>
        <x:v>12.142857142857142</x:v>
      </x:c>
      <x:c r="Y205" t="n">
        <x:f>J205-K205</x:f>
        <x:v>1264</x:v>
      </x:c>
      <x:c r="Z205" t="n">
        <x:f>MAX(0,MIN(100,(V205/100)*(1-X205/100)*(1-W205/100)*100))</x:f>
        <x:v>66.4978614200171</x:v>
      </x:c>
    </x:row>
    <x:row r="206">
      <x:c r="A206" s="12" t="n">
        <x:v>46095</x:v>
      </x:c>
      <x:c r="B206" t="str">
        <x:v>A</x:v>
      </x:c>
      <x:c r="C206" t="str">
        <x:v>Dried Mango</x:v>
      </x:c>
      <x:c r="D206" t="str">
        <x:v>Dryer 1</x:v>
      </x:c>
      <x:c r="E206" t="str">
        <x:v>Sup 3</x:v>
      </x:c>
      <x:c r="F206" t="n">
        <x:v>450</x:v>
      </x:c>
      <x:c r="G206" t="n">
        <x:v>20</x:v>
      </x:c>
      <x:c r="H206" t="n">
        <x:v>33</x:v>
      </x:c>
      <x:c r="I206" t="n">
        <x:v>1699</x:v>
      </x:c>
      <x:c r="J206" t="n">
        <x:v>1495</x:v>
      </x:c>
      <x:c r="K206" t="n">
        <x:v>58</x:v>
      </x:c>
      <x:c r="L206" t="n">
        <x:v>31</x:v>
      </x:c>
      <x:c r="M206" t="n">
        <x:v>98.8</x:v>
      </x:c>
      <x:c r="N206" t="n">
        <x:v>77.2</x:v>
      </x:c>
      <x:c r="O206" t="n">
        <x:v>63.4</x:v>
      </x:c>
      <x:c r="P206" t="n">
        <x:v>4</x:v>
      </x:c>
      <x:c r="Q206" t="str">
        <x:v>No incident</x:v>
      </x:c>
      <x:c r="R206" t="str">
        <x:v>N/A</x:v>
      </x:c>
      <x:c r="S206" t="str">
        <x:v>Corrective</x:v>
      </x:c>
      <x:c r="T206" t="n">
        <x:v>1.68</x:v>
      </x:c>
      <x:c r="U206" t="n">
        <x:v>12.2</x:v>
      </x:c>
      <x:c r="V206" t="n">
        <x:f>IFERROR(J206/I206*100,0)</x:f>
        <x:v>87.99293702177752</x:v>
      </x:c>
      <x:c r="W206" t="n">
        <x:f>IFERROR(K206/J206*100,0)</x:f>
        <x:v>3.879598662207358</x:v>
      </x:c>
      <x:c r="X206" t="n">
        <x:f>IFERROR(H206/F206*100,0)</x:f>
        <x:v>7.333333333333333</x:v>
      </x:c>
      <x:c r="Y206" t="n">
        <x:f>J206-K206</x:f>
        <x:v>1437</x:v>
      </x:c>
      <x:c r="Z206" t="n">
        <x:f>MAX(0,MIN(100,(V206/100)*(1-X206/100)*(1-W206/100)*100))</x:f>
        <x:v>78.3766921718658</x:v>
      </x:c>
    </x:row>
    <x:row r="207">
      <x:c r="A207" s="12" t="n">
        <x:v>46095</x:v>
      </x:c>
      <x:c r="B207" t="str">
        <x:v>B</x:v>
      </x:c>
      <x:c r="C207" t="str">
        <x:v>Dried Mango</x:v>
      </x:c>
      <x:c r="D207" t="str">
        <x:v>Dryer 4</x:v>
      </x:c>
      <x:c r="E207" t="str">
        <x:v>Sup 3</x:v>
      </x:c>
      <x:c r="F207" t="n">
        <x:v>420</x:v>
      </x:c>
      <x:c r="G207" t="n">
        <x:v>0</x:v>
      </x:c>
      <x:c r="H207" t="n">
        <x:v>69</x:v>
      </x:c>
      <x:c r="I207" t="n">
        <x:v>1570</x:v>
      </x:c>
      <x:c r="J207" t="n">
        <x:v>1159</x:v>
      </x:c>
      <x:c r="K207" t="n">
        <x:v>48</x:v>
      </x:c>
      <x:c r="L207" t="n">
        <x:v>10</x:v>
      </x:c>
      <x:c r="M207" t="n">
        <x:v>100</x:v>
      </x:c>
      <x:c r="N207" t="n">
        <x:v>87</x:v>
      </x:c>
      <x:c r="O207" t="n">
        <x:v>87.4</x:v>
      </x:c>
      <x:c r="P207" t="n">
        <x:v>3</x:v>
      </x:c>
      <x:c r="Q207" t="str">
        <x:v>No incident</x:v>
      </x:c>
      <x:c r="R207" t="str">
        <x:v>N/A</x:v>
      </x:c>
      <x:c r="S207" t="str">
        <x:v>Preventive</x:v>
      </x:c>
      <x:c r="T207" t="n">
        <x:v>0.98</x:v>
      </x:c>
      <x:c r="U207" t="n">
        <x:v>8.8</x:v>
      </x:c>
      <x:c r="V207" t="n">
        <x:f>IFERROR(J207/I207*100,0)</x:f>
        <x:v>73.82165605095541</x:v>
      </x:c>
      <x:c r="W207" t="n">
        <x:f>IFERROR(K207/J207*100,0)</x:f>
        <x:v>4.141501294219154</x:v>
      </x:c>
      <x:c r="X207" t="n">
        <x:f>IFERROR(H207/F207*100,0)</x:f>
        <x:v>16.428571428571427</x:v>
      </x:c>
      <x:c r="Y207" t="n">
        <x:f>J207-K207</x:f>
        <x:v>1111</x:v>
      </x:c>
      <x:c r="Z207" t="n">
        <x:f>MAX(0,MIN(100,(V207/100)*(1-X207/100)*(1-W207/100)*100))</x:f>
        <x:v>59.138762511373976</x:v>
      </x:c>
    </x:row>
    <x:row r="208">
      <x:c r="A208" s="12" t="n">
        <x:v>46095</x:v>
      </x:c>
      <x:c r="B208" t="str">
        <x:v>C</x:v>
      </x:c>
      <x:c r="C208" t="str">
        <x:v>Dried Pineapple</x:v>
      </x:c>
      <x:c r="D208" t="str">
        <x:v>Dryer 4</x:v>
      </x:c>
      <x:c r="E208" t="str">
        <x:v>Sup 3</x:v>
      </x:c>
      <x:c r="F208" t="n">
        <x:v>450</x:v>
      </x:c>
      <x:c r="G208" t="n">
        <x:v>0</x:v>
      </x:c>
      <x:c r="H208" t="n">
        <x:v>38</x:v>
      </x:c>
      <x:c r="I208" t="n">
        <x:v>1740</x:v>
      </x:c>
      <x:c r="J208" t="n">
        <x:v>1500</x:v>
      </x:c>
      <x:c r="K208" t="n">
        <x:v>53</x:v>
      </x:c>
      <x:c r="L208" t="n">
        <x:v>32</x:v>
      </x:c>
      <x:c r="M208" t="n">
        <x:v>90.4</x:v>
      </x:c>
      <x:c r="N208" t="n">
        <x:v>71.1</x:v>
      </x:c>
      <x:c r="O208" t="n">
        <x:v>79.8</x:v>
      </x:c>
      <x:c r="P208" t="n">
        <x:v>2</x:v>
      </x:c>
      <x:c r="Q208" t="str">
        <x:v>No incident</x:v>
      </x:c>
      <x:c r="R208" t="str">
        <x:v>N/A</x:v>
      </x:c>
      <x:c r="S208" t="str">
        <x:v>Inspection</x:v>
      </x:c>
      <x:c r="T208" t="n">
        <x:v>1.06</x:v>
      </x:c>
      <x:c r="U208" t="n">
        <x:v>12.2</x:v>
      </x:c>
      <x:c r="V208" t="n">
        <x:f>IFERROR(J208/I208*100,0)</x:f>
        <x:v>86.20689655172413</x:v>
      </x:c>
      <x:c r="W208" t="n">
        <x:f>IFERROR(K208/J208*100,0)</x:f>
        <x:v>3.5333333333333337</x:v>
      </x:c>
      <x:c r="X208" t="n">
        <x:f>IFERROR(H208/F208*100,0)</x:f>
        <x:v>8.444444444444445</x:v>
      </x:c>
      <x:c r="Y208" t="n">
        <x:f>J208-K208</x:f>
        <x:v>1447</x:v>
      </x:c>
      <x:c r="Z208" t="n">
        <x:f>MAX(0,MIN(100,(V208/100)*(1-X208/100)*(1-W208/100)*100))</x:f>
        <x:v>76.13844189016604</x:v>
      </x:c>
    </x:row>
    <x:row r="209">
      <x:c r="A209" s="12" t="n">
        <x:v>46096</x:v>
      </x:c>
      <x:c r="B209" t="str">
        <x:v>A</x:v>
      </x:c>
      <x:c r="C209" t="str">
        <x:v>Dried Pineapple</x:v>
      </x:c>
      <x:c r="D209" t="str">
        <x:v>Dryer 2</x:v>
      </x:c>
      <x:c r="E209" t="str">
        <x:v>Sup 2</x:v>
      </x:c>
      <x:c r="F209" t="n">
        <x:v>420</x:v>
      </x:c>
      <x:c r="G209" t="n">
        <x:v>40</x:v>
      </x:c>
      <x:c r="H209" t="n">
        <x:v>38</x:v>
      </x:c>
      <x:c r="I209" t="n">
        <x:v>1798</x:v>
      </x:c>
      <x:c r="J209" t="n">
        <x:v>1667</x:v>
      </x:c>
      <x:c r="K209" t="n">
        <x:v>53</x:v>
      </x:c>
      <x:c r="L209" t="n">
        <x:v>31</x:v>
      </x:c>
      <x:c r="M209" t="n">
        <x:v>95</x:v>
      </x:c>
      <x:c r="N209" t="n">
        <x:v>67</x:v>
      </x:c>
      <x:c r="O209" t="n">
        <x:v>75</x:v>
      </x:c>
      <x:c r="P209" t="n">
        <x:v>3</x:v>
      </x:c>
      <x:c r="Q209" t="str">
        <x:v>No incident</x:v>
      </x:c>
      <x:c r="R209" t="str">
        <x:v>N/A</x:v>
      </x:c>
      <x:c r="S209" t="str">
        <x:v>Preventive</x:v>
      </x:c>
      <x:c r="T209" t="n">
        <x:v>0.5</x:v>
      </x:c>
      <x:c r="U209" t="n">
        <x:v>13.8</x:v>
      </x:c>
      <x:c r="V209" t="n">
        <x:f>IFERROR(J209/I209*100,0)</x:f>
        <x:v>92.71412680756396</x:v>
      </x:c>
      <x:c r="W209" t="n">
        <x:f>IFERROR(K209/J209*100,0)</x:f>
        <x:v>3.179364127174565</x:v>
      </x:c>
      <x:c r="X209" t="n">
        <x:f>IFERROR(H209/F209*100,0)</x:f>
        <x:v>9.047619047619047</x:v>
      </x:c>
      <x:c r="Y209" t="n">
        <x:f>J209-K209</x:f>
        <x:v>1614</x:v>
      </x:c>
      <x:c r="Z209" t="n">
        <x:f>MAX(0,MIN(100,(V209/100)*(1-X209/100)*(1-W209/100)*100))</x:f>
        <x:v>81.64468457015731</x:v>
      </x:c>
    </x:row>
    <x:row r="210">
      <x:c r="A210" s="12" t="n">
        <x:v>46096</x:v>
      </x:c>
      <x:c r="B210" t="str">
        <x:v>B</x:v>
      </x:c>
      <x:c r="C210" t="str">
        <x:v>Dried Mango</x:v>
      </x:c>
      <x:c r="D210" t="str">
        <x:v>Dryer 1</x:v>
      </x:c>
      <x:c r="E210" t="str">
        <x:v>Sup 3</x:v>
      </x:c>
      <x:c r="F210" t="n">
        <x:v>420</x:v>
      </x:c>
      <x:c r="G210" t="n">
        <x:v>20</x:v>
      </x:c>
      <x:c r="H210" t="n">
        <x:v>62</x:v>
      </x:c>
      <x:c r="I210" t="n">
        <x:v>1679</x:v>
      </x:c>
      <x:c r="J210" t="n">
        <x:v>1364</x:v>
      </x:c>
      <x:c r="K210" t="n">
        <x:v>55</x:v>
      </x:c>
      <x:c r="L210" t="n">
        <x:v>34</x:v>
      </x:c>
      <x:c r="M210" t="n">
        <x:v>92</x:v>
      </x:c>
      <x:c r="N210" t="n">
        <x:v>74.7</x:v>
      </x:c>
      <x:c r="O210" t="n">
        <x:v>67.6</x:v>
      </x:c>
      <x:c r="P210" t="n">
        <x:v>2</x:v>
      </x:c>
      <x:c r="Q210" t="str">
        <x:v>No incident</x:v>
      </x:c>
      <x:c r="R210" t="str">
        <x:v>N/A</x:v>
      </x:c>
      <x:c r="S210" t="str">
        <x:v>Inspection</x:v>
      </x:c>
      <x:c r="T210" t="n">
        <x:v>0.5</x:v>
      </x:c>
      <x:c r="U210" t="n">
        <x:v>11.2</x:v>
      </x:c>
      <x:c r="V210" t="n">
        <x:f>IFERROR(J210/I210*100,0)</x:f>
        <x:v>81.23883263847527</x:v>
      </x:c>
      <x:c r="W210" t="n">
        <x:f>IFERROR(K210/J210*100,0)</x:f>
        <x:v>4.032258064516129</x:v>
      </x:c>
      <x:c r="X210" t="n">
        <x:f>IFERROR(H210/F210*100,0)</x:f>
        <x:v>14.761904761904763</x:v>
      </x:c>
      <x:c r="Y210" t="n">
        <x:f>J210-K210</x:f>
        <x:v>1309</x:v>
      </x:c>
      <x:c r="Z210" t="n">
        <x:f>MAX(0,MIN(100,(V210/100)*(1-X210/100)*(1-W210/100)*100))</x:f>
        <x:v>66.4542386341076</x:v>
      </x:c>
    </x:row>
    <x:row r="211">
      <x:c r="A211" s="12" t="n">
        <x:v>46096</x:v>
      </x:c>
      <x:c r="B211" t="str">
        <x:v>C</x:v>
      </x:c>
      <x:c r="C211" t="str">
        <x:v>Dried Pineapple</x:v>
      </x:c>
      <x:c r="D211" t="str">
        <x:v>Dryer 1</x:v>
      </x:c>
      <x:c r="E211" t="str">
        <x:v>Sup 3</x:v>
      </x:c>
      <x:c r="F211" t="n">
        <x:v>420</x:v>
      </x:c>
      <x:c r="G211" t="n">
        <x:v>0</x:v>
      </x:c>
      <x:c r="H211" t="n">
        <x:v>45</x:v>
      </x:c>
      <x:c r="I211" t="n">
        <x:v>1696</x:v>
      </x:c>
      <x:c r="J211" t="n">
        <x:v>1420</x:v>
      </x:c>
      <x:c r="K211" t="n">
        <x:v>34</x:v>
      </x:c>
      <x:c r="L211" t="n">
        <x:v>21</x:v>
      </x:c>
      <x:c r="M211" t="n">
        <x:v>82.8</x:v>
      </x:c>
      <x:c r="N211" t="n">
        <x:v>75.2</x:v>
      </x:c>
      <x:c r="O211" t="n">
        <x:v>66</x:v>
      </x:c>
      <x:c r="P211" t="n">
        <x:v>4</x:v>
      </x:c>
      <x:c r="Q211" t="str">
        <x:v>Near miss</x:v>
      </x:c>
      <x:c r="R211" t="str">
        <x:v>Closed</x:v>
      </x:c>
      <x:c r="S211" t="str">
        <x:v>Corrective</x:v>
      </x:c>
      <x:c r="T211" t="n">
        <x:v>1.11</x:v>
      </x:c>
      <x:c r="U211" t="n">
        <x:v>11.4</x:v>
      </x:c>
      <x:c r="V211" t="n">
        <x:f>IFERROR(J211/I211*100,0)</x:f>
        <x:v>83.72641509433963</x:v>
      </x:c>
      <x:c r="W211" t="n">
        <x:f>IFERROR(K211/J211*100,0)</x:f>
        <x:v>2.3943661971830985</x:v>
      </x:c>
      <x:c r="X211" t="n">
        <x:f>IFERROR(H211/F211*100,0)</x:f>
        <x:v>10.714285714285714</x:v>
      </x:c>
      <x:c r="Y211" t="n">
        <x:f>J211-K211</x:f>
        <x:v>1386</x:v>
      </x:c>
      <x:c r="Z211" t="n">
        <x:f>MAX(0,MIN(100,(V211/100)*(1-X211/100)*(1-W211/100)*100))</x:f>
        <x:v>72.96580188679246</x:v>
      </x:c>
    </x:row>
    <x:row r="212">
      <x:c r="A212" s="12" t="n">
        <x:v>46097</x:v>
      </x:c>
      <x:c r="B212" t="str">
        <x:v>A</x:v>
      </x:c>
      <x:c r="C212" t="str">
        <x:v>Dried Mango</x:v>
      </x:c>
      <x:c r="D212" t="str">
        <x:v>Dryer 4</x:v>
      </x:c>
      <x:c r="E212" t="str">
        <x:v>Sup 1</x:v>
      </x:c>
      <x:c r="F212" t="n">
        <x:v>420</x:v>
      </x:c>
      <x:c r="G212" t="n">
        <x:v>30</x:v>
      </x:c>
      <x:c r="H212" t="n">
        <x:v>46</x:v>
      </x:c>
      <x:c r="I212" t="n">
        <x:v>1703</x:v>
      </x:c>
      <x:c r="J212" t="n">
        <x:v>1434</x:v>
      </x:c>
      <x:c r="K212" t="n">
        <x:v>53</x:v>
      </x:c>
      <x:c r="L212" t="n">
        <x:v>10</x:v>
      </x:c>
      <x:c r="M212" t="n">
        <x:v>91.4</x:v>
      </x:c>
      <x:c r="N212" t="n">
        <x:v>83.9</x:v>
      </x:c>
      <x:c r="O212" t="n">
        <x:v>66.1</x:v>
      </x:c>
      <x:c r="P212" t="n">
        <x:v>2</x:v>
      </x:c>
      <x:c r="Q212" t="str">
        <x:v>First aid</x:v>
      </x:c>
      <x:c r="R212" t="str">
        <x:v>In progress</x:v>
      </x:c>
      <x:c r="S212" t="str">
        <x:v>Inspection</x:v>
      </x:c>
      <x:c r="T212" t="n">
        <x:v>0.5</x:v>
      </x:c>
      <x:c r="U212" t="n">
        <x:v>12.5</x:v>
      </x:c>
      <x:c r="V212" t="n">
        <x:f>IFERROR(J212/I212*100,0)</x:f>
        <x:v>84.20434527304757</x:v>
      </x:c>
      <x:c r="W212" t="n">
        <x:f>IFERROR(K212/J212*100,0)</x:f>
        <x:v>3.695955369595537</x:v>
      </x:c>
      <x:c r="X212" t="n">
        <x:f>IFERROR(H212/F212*100,0)</x:f>
        <x:v>10.952380952380953</x:v>
      </x:c>
      <x:c r="Y212" t="n">
        <x:f>J212-K212</x:f>
        <x:v>1381</x:v>
      </x:c>
      <x:c r="Z212" t="n">
        <x:f>MAX(0,MIN(100,(V212/100)*(1-X212/100)*(1-W212/100)*100))</x:f>
        <x:v>72.21066465341275</x:v>
      </x:c>
    </x:row>
    <x:row r="213">
      <x:c r="A213" s="12" t="n">
        <x:v>46097</x:v>
      </x:c>
      <x:c r="B213" t="str">
        <x:v>B</x:v>
      </x:c>
      <x:c r="C213" t="str">
        <x:v>Dried Pineapple</x:v>
      </x:c>
      <x:c r="D213" t="str">
        <x:v>Dryer 1</x:v>
      </x:c>
      <x:c r="E213" t="str">
        <x:v>Sup 2</x:v>
      </x:c>
      <x:c r="F213" t="n">
        <x:v>480</x:v>
      </x:c>
      <x:c r="G213" t="n">
        <x:v>20</x:v>
      </x:c>
      <x:c r="H213" t="n">
        <x:v>61</x:v>
      </x:c>
      <x:c r="I213" t="n">
        <x:v>1788</x:v>
      </x:c>
      <x:c r="J213" t="n">
        <x:v>1572</x:v>
      </x:c>
      <x:c r="K213" t="n">
        <x:v>42</x:v>
      </x:c>
      <x:c r="L213" t="n">
        <x:v>29</x:v>
      </x:c>
      <x:c r="M213" t="n">
        <x:v>100</x:v>
      </x:c>
      <x:c r="N213" t="n">
        <x:v>65.5</x:v>
      </x:c>
      <x:c r="O213" t="n">
        <x:v>82.1</x:v>
      </x:c>
      <x:c r="P213" t="n">
        <x:v>3</x:v>
      </x:c>
      <x:c r="Q213" t="str">
        <x:v>No incident</x:v>
      </x:c>
      <x:c r="R213" t="str">
        <x:v>N/A</x:v>
      </x:c>
      <x:c r="S213" t="str">
        <x:v>Preventive</x:v>
      </x:c>
      <x:c r="T213" t="n">
        <x:v>0.5</x:v>
      </x:c>
      <x:c r="U213" t="n">
        <x:v>11.8</x:v>
      </x:c>
      <x:c r="V213" t="n">
        <x:f>IFERROR(J213/I213*100,0)</x:f>
        <x:v>87.91946308724832</x:v>
      </x:c>
      <x:c r="W213" t="n">
        <x:f>IFERROR(K213/J213*100,0)</x:f>
        <x:v>2.6717557251908395</x:v>
      </x:c>
      <x:c r="X213" t="n">
        <x:f>IFERROR(H213/F213*100,0)</x:f>
        <x:v>12.708333333333332</x:v>
      </x:c>
      <x:c r="Y213" t="n">
        <x:f>J213-K213</x:f>
        <x:v>1530</x:v>
      </x:c>
      <x:c r="Z213" t="n">
        <x:f>MAX(0,MIN(100,(V213/100)*(1-X213/100)*(1-W213/100)*100))</x:f>
        <x:v>74.69588926174497</x:v>
      </x:c>
    </x:row>
    <x:row r="214">
      <x:c r="A214" s="12" t="n">
        <x:v>46097</x:v>
      </x:c>
      <x:c r="B214" t="str">
        <x:v>C</x:v>
      </x:c>
      <x:c r="C214" t="str">
        <x:v>Dried Mango</x:v>
      </x:c>
      <x:c r="D214" t="str">
        <x:v>Dryer 2</x:v>
      </x:c>
      <x:c r="E214" t="str">
        <x:v>Sup 3</x:v>
      </x:c>
      <x:c r="F214" t="n">
        <x:v>480</x:v>
      </x:c>
      <x:c r="G214" t="n">
        <x:v>20</x:v>
      </x:c>
      <x:c r="H214" t="n">
        <x:v>35</x:v>
      </x:c>
      <x:c r="I214" t="n">
        <x:v>1567</x:v>
      </x:c>
      <x:c r="J214" t="n">
        <x:v>1300</x:v>
      </x:c>
      <x:c r="K214" t="n">
        <x:v>36</x:v>
      </x:c>
      <x:c r="L214" t="n">
        <x:v>19</x:v>
      </x:c>
      <x:c r="M214" t="n">
        <x:v>88.6</x:v>
      </x:c>
      <x:c r="N214" t="n">
        <x:v>75.8</x:v>
      </x:c>
      <x:c r="O214" t="n">
        <x:v>81.3</x:v>
      </x:c>
      <x:c r="P214" t="n">
        <x:v>4</x:v>
      </x:c>
      <x:c r="Q214" t="str">
        <x:v>No incident</x:v>
      </x:c>
      <x:c r="R214" t="str">
        <x:v>N/A</x:v>
      </x:c>
      <x:c r="S214" t="str">
        <x:v>Preventive</x:v>
      </x:c>
      <x:c r="T214" t="n">
        <x:v>0.8</x:v>
      </x:c>
      <x:c r="U214" t="n">
        <x:v>10</x:v>
      </x:c>
      <x:c r="V214" t="n">
        <x:f>IFERROR(J214/I214*100,0)</x:f>
        <x:v>82.96107211231653</x:v>
      </x:c>
      <x:c r="W214" t="n">
        <x:f>IFERROR(K214/J214*100,0)</x:f>
        <x:v>2.769230769230769</x:v>
      </x:c>
      <x:c r="X214" t="n">
        <x:f>IFERROR(H214/F214*100,0)</x:f>
        <x:v>7.291666666666667</x:v>
      </x:c>
      <x:c r="Y214" t="n">
        <x:f>J214-K214</x:f>
        <x:v>1264</x:v>
      </x:c>
      <x:c r="Z214" t="n">
        <x:f>MAX(0,MIN(100,(V214/100)*(1-X214/100)*(1-W214/100)*100))</x:f>
        <x:v>74.78196128483302</x:v>
      </x:c>
    </x:row>
    <x:row r="215">
      <x:c r="A215" s="12" t="n">
        <x:v>46098</x:v>
      </x:c>
      <x:c r="B215" t="str">
        <x:v>A</x:v>
      </x:c>
      <x:c r="C215" t="str">
        <x:v>Desiccated Coconut</x:v>
      </x:c>
      <x:c r="D215" t="str">
        <x:v>Dryer 3</x:v>
      </x:c>
      <x:c r="E215" t="str">
        <x:v>Sup 1</x:v>
      </x:c>
      <x:c r="F215" t="n">
        <x:v>420</x:v>
      </x:c>
      <x:c r="G215" t="n">
        <x:v>40</x:v>
      </x:c>
      <x:c r="H215" t="n">
        <x:v>53</x:v>
      </x:c>
      <x:c r="I215" t="n">
        <x:v>1158</x:v>
      </x:c>
      <x:c r="J215" t="n">
        <x:v>898</x:v>
      </x:c>
      <x:c r="K215" t="n">
        <x:v>38</x:v>
      </x:c>
      <x:c r="L215" t="n">
        <x:v>25</x:v>
      </x:c>
      <x:c r="M215" t="n">
        <x:v>87.9</x:v>
      </x:c>
      <x:c r="N215" t="n">
        <x:v>85.4</x:v>
      </x:c>
      <x:c r="O215" t="n">
        <x:v>71.3</x:v>
      </x:c>
      <x:c r="P215" t="n">
        <x:v>1</x:v>
      </x:c>
      <x:c r="Q215" t="str">
        <x:v>No incident</x:v>
      </x:c>
      <x:c r="R215" t="str">
        <x:v>N/A</x:v>
      </x:c>
      <x:c r="S215" t="str">
        <x:v>Preventive</x:v>
      </x:c>
      <x:c r="T215" t="n">
        <x:v>0.61</x:v>
      </x:c>
      <x:c r="U215" t="n">
        <x:v>8.1</x:v>
      </x:c>
      <x:c r="V215" t="n">
        <x:f>IFERROR(J215/I215*100,0)</x:f>
        <x:v>77.54749568221071</x:v>
      </x:c>
      <x:c r="W215" t="n">
        <x:f>IFERROR(K215/J215*100,0)</x:f>
        <x:v>4.231625835189309</x:v>
      </x:c>
      <x:c r="X215" t="n">
        <x:f>IFERROR(H215/F215*100,0)</x:f>
        <x:v>12.619047619047619</x:v>
      </x:c>
      <x:c r="Y215" t="n">
        <x:f>J215-K215</x:f>
        <x:v>860</x:v>
      </x:c>
      <x:c r="Z215" t="n">
        <x:f>MAX(0,MIN(100,(V215/100)*(1-X215/100)*(1-W215/100)*100))</x:f>
        <x:v>64.89431696685584</x:v>
      </x:c>
    </x:row>
    <x:row r="216">
      <x:c r="A216" s="12" t="n">
        <x:v>46098</x:v>
      </x:c>
      <x:c r="B216" t="str">
        <x:v>B</x:v>
      </x:c>
      <x:c r="C216" t="str">
        <x:v>Desiccated Coconut</x:v>
      </x:c>
      <x:c r="D216" t="str">
        <x:v>Dryer 2</x:v>
      </x:c>
      <x:c r="E216" t="str">
        <x:v>Sup 2</x:v>
      </x:c>
      <x:c r="F216" t="n">
        <x:v>450</x:v>
      </x:c>
      <x:c r="G216" t="n">
        <x:v>20</x:v>
      </x:c>
      <x:c r="H216" t="n">
        <x:v>52</x:v>
      </x:c>
      <x:c r="I216" t="n">
        <x:v>1291</x:v>
      </x:c>
      <x:c r="J216" t="n">
        <x:v>1074</x:v>
      </x:c>
      <x:c r="K216" t="n">
        <x:v>27</x:v>
      </x:c>
      <x:c r="L216" t="n">
        <x:v>18</x:v>
      </x:c>
      <x:c r="M216" t="n">
        <x:v>92</x:v>
      </x:c>
      <x:c r="N216" t="n">
        <x:v>79.6</x:v>
      </x:c>
      <x:c r="O216" t="n">
        <x:v>58</x:v>
      </x:c>
      <x:c r="P216" t="n">
        <x:v>3</x:v>
      </x:c>
      <x:c r="Q216" t="str">
        <x:v>Near miss</x:v>
      </x:c>
      <x:c r="R216" t="str">
        <x:v>In progress</x:v>
      </x:c>
      <x:c r="S216" t="str">
        <x:v>Preventive</x:v>
      </x:c>
      <x:c r="T216" t="n">
        <x:v>0.5</x:v>
      </x:c>
      <x:c r="U216" t="n">
        <x:v>8.8</x:v>
      </x:c>
      <x:c r="V216" t="n">
        <x:f>IFERROR(J216/I216*100,0)</x:f>
        <x:v>83.19132455460883</x:v>
      </x:c>
      <x:c r="W216" t="n">
        <x:f>IFERROR(K216/J216*100,0)</x:f>
        <x:v>2.5139664804469275</x:v>
      </x:c>
      <x:c r="X216" t="n">
        <x:f>IFERROR(H216/F216*100,0)</x:f>
        <x:v>11.555555555555555</x:v>
      </x:c>
      <x:c r="Y216" t="n">
        <x:f>J216-K216</x:f>
        <x:v>1047</x:v>
      </x:c>
      <x:c r="Z216" t="n">
        <x:f>MAX(0,MIN(100,(V216/100)*(1-X216/100)*(1-W216/100)*100))</x:f>
        <x:v>71.72837593596695</x:v>
      </x:c>
    </x:row>
    <x:row r="217">
      <x:c r="A217" s="12" t="n">
        <x:v>46098</x:v>
      </x:c>
      <x:c r="B217" t="str">
        <x:v>C</x:v>
      </x:c>
      <x:c r="C217" t="str">
        <x:v>Dried Mango</x:v>
      </x:c>
      <x:c r="D217" t="str">
        <x:v>Dryer 4</x:v>
      </x:c>
      <x:c r="E217" t="str">
        <x:v>Sup 3</x:v>
      </x:c>
      <x:c r="F217" t="n">
        <x:v>480</x:v>
      </x:c>
      <x:c r="G217" t="n">
        <x:v>0</x:v>
      </x:c>
      <x:c r="H217" t="n">
        <x:v>8</x:v>
      </x:c>
      <x:c r="I217" t="n">
        <x:v>1763</x:v>
      </x:c>
      <x:c r="J217" t="n">
        <x:v>1550</x:v>
      </x:c>
      <x:c r="K217" t="n">
        <x:v>55</x:v>
      </x:c>
      <x:c r="L217" t="n">
        <x:v>21</x:v>
      </x:c>
      <x:c r="M217" t="n">
        <x:v>82.1</x:v>
      </x:c>
      <x:c r="N217" t="n">
        <x:v>77.1</x:v>
      </x:c>
      <x:c r="O217" t="n">
        <x:v>94.7</x:v>
      </x:c>
      <x:c r="P217" t="n">
        <x:v>4</x:v>
      </x:c>
      <x:c r="Q217" t="str">
        <x:v>Near miss</x:v>
      </x:c>
      <x:c r="R217" t="str">
        <x:v>Closed</x:v>
      </x:c>
      <x:c r="S217" t="str">
        <x:v>Preventive</x:v>
      </x:c>
      <x:c r="T217" t="n">
        <x:v>1.22</x:v>
      </x:c>
      <x:c r="U217" t="n">
        <x:v>12.8</x:v>
      </x:c>
      <x:c r="V217" t="n">
        <x:f>IFERROR(J217/I217*100,0)</x:f>
        <x:v>87.91832104367555</x:v>
      </x:c>
      <x:c r="W217" t="n">
        <x:f>IFERROR(K217/J217*100,0)</x:f>
        <x:v>3.5483870967741935</x:v>
      </x:c>
      <x:c r="X217" t="n">
        <x:f>IFERROR(H217/F217*100,0)</x:f>
        <x:v>1.6666666666666667</x:v>
      </x:c>
      <x:c r="Y217" t="n">
        <x:f>J217-K217</x:f>
        <x:v>1495</x:v>
      </x:c>
      <x:c r="Z217" t="n">
        <x:f>MAX(0,MIN(100,(V217/100)*(1-X217/100)*(1-W217/100)*100))</x:f>
        <x:v>83.38532803932691</x:v>
      </x:c>
    </x:row>
    <x:row r="218">
      <x:c r="A218" s="12" t="n">
        <x:v>46099</x:v>
      </x:c>
      <x:c r="B218" t="str">
        <x:v>A</x:v>
      </x:c>
      <x:c r="C218" t="str">
        <x:v>Dried Pineapple</x:v>
      </x:c>
      <x:c r="D218" t="str">
        <x:v>Dryer 2</x:v>
      </x:c>
      <x:c r="E218" t="str">
        <x:v>Sup 2</x:v>
      </x:c>
      <x:c r="F218" t="n">
        <x:v>450</x:v>
      </x:c>
      <x:c r="G218" t="n">
        <x:v>30</x:v>
      </x:c>
      <x:c r="H218" t="n">
        <x:v>47</x:v>
      </x:c>
      <x:c r="I218" t="n">
        <x:v>1796</x:v>
      </x:c>
      <x:c r="J218" t="n">
        <x:v>1425</x:v>
      </x:c>
      <x:c r="K218" t="n">
        <x:v>37</x:v>
      </x:c>
      <x:c r="L218" t="n">
        <x:v>18</x:v>
      </x:c>
      <x:c r="M218" t="n">
        <x:v>92.2</x:v>
      </x:c>
      <x:c r="N218" t="n">
        <x:v>75.6</x:v>
      </x:c>
      <x:c r="O218" t="n">
        <x:v>72.4</x:v>
      </x:c>
      <x:c r="P218" t="n">
        <x:v>6</x:v>
      </x:c>
      <x:c r="Q218" t="str">
        <x:v>No incident</x:v>
      </x:c>
      <x:c r="R218" t="str">
        <x:v>N/A</x:v>
      </x:c>
      <x:c r="S218" t="str">
        <x:v>Preventive</x:v>
      </x:c>
      <x:c r="T218" t="n">
        <x:v>0.85</x:v>
      </x:c>
      <x:c r="U218" t="n">
        <x:v>13</x:v>
      </x:c>
      <x:c r="V218" t="n">
        <x:f>IFERROR(J218/I218*100,0)</x:f>
        <x:v>79.34298440979956</x:v>
      </x:c>
      <x:c r="W218" t="n">
        <x:f>IFERROR(K218/J218*100,0)</x:f>
        <x:v>2.5964912280701755</x:v>
      </x:c>
      <x:c r="X218" t="n">
        <x:f>IFERROR(H218/F218*100,0)</x:f>
        <x:v>10.444444444444445</x:v>
      </x:c>
      <x:c r="Y218" t="n">
        <x:f>J218-K218</x:f>
        <x:v>1388</x:v>
      </x:c>
      <x:c r="Z218" t="n">
        <x:f>MAX(0,MIN(100,(V218/100)*(1-X218/100)*(1-W218/100)*100))</x:f>
        <x:v>69.2110863647612</x:v>
      </x:c>
    </x:row>
    <x:row r="219">
      <x:c r="A219" s="12" t="n">
        <x:v>46099</x:v>
      </x:c>
      <x:c r="B219" t="str">
        <x:v>B</x:v>
      </x:c>
      <x:c r="C219" t="str">
        <x:v>Dried Mango</x:v>
      </x:c>
      <x:c r="D219" t="str">
        <x:v>Dryer 4</x:v>
      </x:c>
      <x:c r="E219" t="str">
        <x:v>Sup 1</x:v>
      </x:c>
      <x:c r="F219" t="n">
        <x:v>450</x:v>
      </x:c>
      <x:c r="G219" t="n">
        <x:v>40</x:v>
      </x:c>
      <x:c r="H219" t="n">
        <x:v>42</x:v>
      </x:c>
      <x:c r="I219" t="n">
        <x:v>1666</x:v>
      </x:c>
      <x:c r="J219" t="n">
        <x:v>1490</x:v>
      </x:c>
      <x:c r="K219" t="n">
        <x:v>60</x:v>
      </x:c>
      <x:c r="L219" t="n">
        <x:v>30</x:v>
      </x:c>
      <x:c r="M219" t="n">
        <x:v>86.5</x:v>
      </x:c>
      <x:c r="N219" t="n">
        <x:v>83.1</x:v>
      </x:c>
      <x:c r="O219" t="n">
        <x:v>74.8</x:v>
      </x:c>
      <x:c r="P219" t="n">
        <x:v>2</x:v>
      </x:c>
      <x:c r="Q219" t="str">
        <x:v>No incident</x:v>
      </x:c>
      <x:c r="R219" t="str">
        <x:v>N/A</x:v>
      </x:c>
      <x:c r="S219" t="str">
        <x:v>Inspection</x:v>
      </x:c>
      <x:c r="T219" t="n">
        <x:v>0.5</x:v>
      </x:c>
      <x:c r="U219" t="n">
        <x:v>11.4</x:v>
      </x:c>
      <x:c r="V219" t="n">
        <x:f>IFERROR(J219/I219*100,0)</x:f>
        <x:v>89.4357743097239</x:v>
      </x:c>
      <x:c r="W219" t="n">
        <x:f>IFERROR(K219/J219*100,0)</x:f>
        <x:v>4.026845637583892</x:v>
      </x:c>
      <x:c r="X219" t="n">
        <x:f>IFERROR(H219/F219*100,0)</x:f>
        <x:v>9.333333333333334</x:v>
      </x:c>
      <x:c r="Y219" t="n">
        <x:f>J219-K219</x:f>
        <x:v>1430</x:v>
      </x:c>
      <x:c r="Z219" t="n">
        <x:f>MAX(0,MIN(100,(V219/100)*(1-X219/100)*(1-W219/100)*100))</x:f>
        <x:v>77.82312925170068</x:v>
      </x:c>
    </x:row>
    <x:row r="220">
      <x:c r="A220" s="12" t="n">
        <x:v>46099</x:v>
      </x:c>
      <x:c r="B220" t="str">
        <x:v>C</x:v>
      </x:c>
      <x:c r="C220" t="str">
        <x:v>Desiccated Coconut</x:v>
      </x:c>
      <x:c r="D220" t="str">
        <x:v>Dryer 4</x:v>
      </x:c>
      <x:c r="E220" t="str">
        <x:v>Sup 2</x:v>
      </x:c>
      <x:c r="F220" t="n">
        <x:v>450</x:v>
      </x:c>
      <x:c r="G220" t="n">
        <x:v>30</x:v>
      </x:c>
      <x:c r="H220" t="n">
        <x:v>48</x:v>
      </x:c>
      <x:c r="I220" t="n">
        <x:v>1187</x:v>
      </x:c>
      <x:c r="J220" t="n">
        <x:v>929</x:v>
      </x:c>
      <x:c r="K220" t="n">
        <x:v>18</x:v>
      </x:c>
      <x:c r="L220" t="n">
        <x:v>8</x:v>
      </x:c>
      <x:c r="M220" t="n">
        <x:v>76.3</x:v>
      </x:c>
      <x:c r="N220" t="n">
        <x:v>67.7</x:v>
      </x:c>
      <x:c r="O220" t="n">
        <x:v>76.3</x:v>
      </x:c>
      <x:c r="P220" t="n">
        <x:v>1</x:v>
      </x:c>
      <x:c r="Q220" t="str">
        <x:v>Near miss</x:v>
      </x:c>
      <x:c r="R220" t="str">
        <x:v>In progress</x:v>
      </x:c>
      <x:c r="S220" t="str">
        <x:v>Corrective</x:v>
      </x:c>
      <x:c r="T220" t="n">
        <x:v>0.88</x:v>
      </x:c>
      <x:c r="U220" t="n">
        <x:v>8.2</x:v>
      </x:c>
      <x:c r="V220" t="n">
        <x:f>IFERROR(J220/I220*100,0)</x:f>
        <x:v>78.26453243470935</x:v>
      </x:c>
      <x:c r="W220" t="n">
        <x:f>IFERROR(K220/J220*100,0)</x:f>
        <x:v>1.9375672766415502</x:v>
      </x:c>
      <x:c r="X220" t="n">
        <x:f>IFERROR(H220/F220*100,0)</x:f>
        <x:v>10.666666666666668</x:v>
      </x:c>
      <x:c r="Y220" t="n">
        <x:f>J220-K220</x:f>
        <x:v>911</x:v>
      </x:c>
      <x:c r="Z220" t="n">
        <x:f>MAX(0,MIN(100,(V220/100)*(1-X220/100)*(1-W220/100)*100))</x:f>
        <x:v>68.5616399887672</x:v>
      </x:c>
    </x:row>
    <x:row r="221">
      <x:c r="A221" s="12" t="n">
        <x:v>46100</x:v>
      </x:c>
      <x:c r="B221" t="str">
        <x:v>A</x:v>
      </x:c>
      <x:c r="C221" t="str">
        <x:v>Dried Mango</x:v>
      </x:c>
      <x:c r="D221" t="str">
        <x:v>Dryer 3</x:v>
      </x:c>
      <x:c r="E221" t="str">
        <x:v>Sup 1</x:v>
      </x:c>
      <x:c r="F221" t="n">
        <x:v>450</x:v>
      </x:c>
      <x:c r="G221" t="n">
        <x:v>30</x:v>
      </x:c>
      <x:c r="H221" t="n">
        <x:v>73</x:v>
      </x:c>
      <x:c r="I221" t="n">
        <x:v>1666</x:v>
      </x:c>
      <x:c r="J221" t="n">
        <x:v>1335</x:v>
      </x:c>
      <x:c r="K221" t="n">
        <x:v>67</x:v>
      </x:c>
      <x:c r="L221" t="n">
        <x:v>25</x:v>
      </x:c>
      <x:c r="M221" t="n">
        <x:v>94.8</x:v>
      </x:c>
      <x:c r="N221" t="n">
        <x:v>81.3</x:v>
      </x:c>
      <x:c r="O221" t="n">
        <x:v>55</x:v>
      </x:c>
      <x:c r="P221" t="n">
        <x:v>2</x:v>
      </x:c>
      <x:c r="Q221" t="str">
        <x:v>No incident</x:v>
      </x:c>
      <x:c r="R221" t="str">
        <x:v>N/A</x:v>
      </x:c>
      <x:c r="S221" t="str">
        <x:v>Corrective</x:v>
      </x:c>
      <x:c r="T221" t="n">
        <x:v>1.37</x:v>
      </x:c>
      <x:c r="U221" t="n">
        <x:v>11</x:v>
      </x:c>
      <x:c r="V221" t="n">
        <x:f>IFERROR(J221/I221*100,0)</x:f>
        <x:v>80.13205282112845</x:v>
      </x:c>
      <x:c r="W221" t="n">
        <x:f>IFERROR(K221/J221*100,0)</x:f>
        <x:v>5.0187265917602994</x:v>
      </x:c>
      <x:c r="X221" t="n">
        <x:f>IFERROR(H221/F221*100,0)</x:f>
        <x:v>16.22222222222222</x:v>
      </x:c>
      <x:c r="Y221" t="n">
        <x:f>J221-K221</x:f>
        <x:v>1268</x:v>
      </x:c>
      <x:c r="Z221" t="n">
        <x:f>MAX(0,MIN(100,(V221/100)*(1-X221/100)*(1-W221/100)*100))</x:f>
        <x:v>63.763638788848866</x:v>
      </x:c>
    </x:row>
    <x:row r="222">
      <x:c r="A222" s="12" t="n">
        <x:v>46100</x:v>
      </x:c>
      <x:c r="B222" t="str">
        <x:v>B</x:v>
      </x:c>
      <x:c r="C222" t="str">
        <x:v>Desiccated Coconut</x:v>
      </x:c>
      <x:c r="D222" t="str">
        <x:v>Dryer 2</x:v>
      </x:c>
      <x:c r="E222" t="str">
        <x:v>Sup 1</x:v>
      </x:c>
      <x:c r="F222" t="n">
        <x:v>450</x:v>
      </x:c>
      <x:c r="G222" t="n">
        <x:v>30</x:v>
      </x:c>
      <x:c r="H222" t="n">
        <x:v>42</x:v>
      </x:c>
      <x:c r="I222" t="n">
        <x:v>1113</x:v>
      </x:c>
      <x:c r="J222" t="n">
        <x:v>989</x:v>
      </x:c>
      <x:c r="K222" t="n">
        <x:v>16</x:v>
      </x:c>
      <x:c r="L222" t="n">
        <x:v>7</x:v>
      </x:c>
      <x:c r="M222" t="n">
        <x:v>83.6</x:v>
      </x:c>
      <x:c r="N222" t="n">
        <x:v>84.4</x:v>
      </x:c>
      <x:c r="O222" t="n">
        <x:v>75.8</x:v>
      </x:c>
      <x:c r="P222" t="n">
        <x:v>5</x:v>
      </x:c>
      <x:c r="Q222" t="str">
        <x:v>No incident</x:v>
      </x:c>
      <x:c r="R222" t="str">
        <x:v>N/A</x:v>
      </x:c>
      <x:c r="S222" t="str">
        <x:v>Preventive</x:v>
      </x:c>
      <x:c r="T222" t="n">
        <x:v>0.5</x:v>
      </x:c>
      <x:c r="U222" t="n">
        <x:v>8.3</x:v>
      </x:c>
      <x:c r="V222" t="n">
        <x:f>IFERROR(J222/I222*100,0)</x:f>
        <x:v>88.85893980233602</x:v>
      </x:c>
      <x:c r="W222" t="n">
        <x:f>IFERROR(K222/J222*100,0)</x:f>
        <x:v>1.6177957532861478</x:v>
      </x:c>
      <x:c r="X222" t="n">
        <x:f>IFERROR(H222/F222*100,0)</x:f>
        <x:v>9.333333333333334</x:v>
      </x:c>
      <x:c r="Y222" t="n">
        <x:f>J222-K222</x:f>
        <x:v>973</x:v>
      </x:c>
      <x:c r="Z222" t="n">
        <x:f>MAX(0,MIN(100,(V222/100)*(1-X222/100)*(1-W222/100)*100))</x:f>
        <x:v>79.26205450733752</x:v>
      </x:c>
    </x:row>
    <x:row r="223">
      <x:c r="A223" s="12" t="n">
        <x:v>46100</x:v>
      </x:c>
      <x:c r="B223" t="str">
        <x:v>C</x:v>
      </x:c>
      <x:c r="C223" t="str">
        <x:v>Dried Pineapple</x:v>
      </x:c>
      <x:c r="D223" t="str">
        <x:v>Dryer 1</x:v>
      </x:c>
      <x:c r="E223" t="str">
        <x:v>Sup 2</x:v>
      </x:c>
      <x:c r="F223" t="n">
        <x:v>420</x:v>
      </x:c>
      <x:c r="G223" t="n">
        <x:v>0</x:v>
      </x:c>
      <x:c r="H223" t="n">
        <x:v>41</x:v>
      </x:c>
      <x:c r="I223" t="n">
        <x:v>1695</x:v>
      </x:c>
      <x:c r="J223" t="n">
        <x:v>1442</x:v>
      </x:c>
      <x:c r="K223" t="n">
        <x:v>41</x:v>
      </x:c>
      <x:c r="L223" t="n">
        <x:v>13</x:v>
      </x:c>
      <x:c r="M223" t="n">
        <x:v>82.2</x:v>
      </x:c>
      <x:c r="N223" t="n">
        <x:v>80</x:v>
      </x:c>
      <x:c r="O223" t="n">
        <x:v>83.7</x:v>
      </x:c>
      <x:c r="P223" t="n">
        <x:v>3</x:v>
      </x:c>
      <x:c r="Q223" t="str">
        <x:v>No incident</x:v>
      </x:c>
      <x:c r="R223" t="str">
        <x:v>N/A</x:v>
      </x:c>
      <x:c r="S223" t="str">
        <x:v>Preventive</x:v>
      </x:c>
      <x:c r="T223" t="n">
        <x:v>0.93</x:v>
      </x:c>
      <x:c r="U223" t="n">
        <x:v>10.9</x:v>
      </x:c>
      <x:c r="V223" t="n">
        <x:f>IFERROR(J223/I223*100,0)</x:f>
        <x:v>85.07374631268436</x:v>
      </x:c>
      <x:c r="W223" t="n">
        <x:f>IFERROR(K223/J223*100,0)</x:f>
        <x:v>2.8432732316227463</x:v>
      </x:c>
      <x:c r="X223" t="n">
        <x:f>IFERROR(H223/F223*100,0)</x:f>
        <x:v>9.761904761904763</x:v>
      </x:c>
      <x:c r="Y223" t="n">
        <x:f>J223-K223</x:f>
        <x:v>1401</x:v>
      </x:c>
      <x:c r="Z223" t="n">
        <x:f>MAX(0,MIN(100,(V223/100)*(1-X223/100)*(1-W223/100)*100))</x:f>
        <x:v>74.58617783396544</x:v>
      </x:c>
    </x:row>
    <x:row r="224">
      <x:c r="A224" s="12" t="n">
        <x:v>46101</x:v>
      </x:c>
      <x:c r="B224" t="str">
        <x:v>A</x:v>
      </x:c>
      <x:c r="C224" t="str">
        <x:v>Dried Pineapple</x:v>
      </x:c>
      <x:c r="D224" t="str">
        <x:v>Dryer 1</x:v>
      </x:c>
      <x:c r="E224" t="str">
        <x:v>Sup 2</x:v>
      </x:c>
      <x:c r="F224" t="n">
        <x:v>420</x:v>
      </x:c>
      <x:c r="G224" t="n">
        <x:v>20</x:v>
      </x:c>
      <x:c r="H224" t="n">
        <x:v>57</x:v>
      </x:c>
      <x:c r="I224" t="n">
        <x:v>1853</x:v>
      </x:c>
      <x:c r="J224" t="n">
        <x:v>1590</x:v>
      </x:c>
      <x:c r="K224" t="n">
        <x:v>65</x:v>
      </x:c>
      <x:c r="L224" t="n">
        <x:v>28</x:v>
      </x:c>
      <x:c r="M224" t="n">
        <x:v>90.7</x:v>
      </x:c>
      <x:c r="N224" t="n">
        <x:v>68</x:v>
      </x:c>
      <x:c r="O224" t="n">
        <x:v>81.7</x:v>
      </x:c>
      <x:c r="P224" t="n">
        <x:v>1</x:v>
      </x:c>
      <x:c r="Q224" t="str">
        <x:v>Near miss</x:v>
      </x:c>
      <x:c r="R224" t="str">
        <x:v>Closed</x:v>
      </x:c>
      <x:c r="S224" t="str">
        <x:v>Corrective</x:v>
      </x:c>
      <x:c r="T224" t="n">
        <x:v>1.72</x:v>
      </x:c>
      <x:c r="U224" t="n">
        <x:v>13.6</x:v>
      </x:c>
      <x:c r="V224" t="n">
        <x:f>IFERROR(J224/I224*100,0)</x:f>
        <x:v>85.80679978413383</x:v>
      </x:c>
      <x:c r="W224" t="n">
        <x:f>IFERROR(K224/J224*100,0)</x:f>
        <x:v>4.088050314465408</x:v>
      </x:c>
      <x:c r="X224" t="n">
        <x:f>IFERROR(H224/F224*100,0)</x:f>
        <x:v>13.571428571428571</x:v>
      </x:c>
      <x:c r="Y224" t="n">
        <x:f>J224-K224</x:f>
        <x:v>1525</x:v>
      </x:c>
      <x:c r="Z224" t="n">
        <x:f>MAX(0,MIN(100,(V224/100)*(1-X224/100)*(1-W224/100)*100))</x:f>
        <x:v>71.1298280780202</x:v>
      </x:c>
    </x:row>
    <x:row r="225">
      <x:c r="A225" s="12" t="n">
        <x:v>46101</x:v>
      </x:c>
      <x:c r="B225" t="str">
        <x:v>B</x:v>
      </x:c>
      <x:c r="C225" t="str">
        <x:v>Dried Pineapple</x:v>
      </x:c>
      <x:c r="D225" t="str">
        <x:v>Dryer 3</x:v>
      </x:c>
      <x:c r="E225" t="str">
        <x:v>Sup 2</x:v>
      </x:c>
      <x:c r="F225" t="n">
        <x:v>480</x:v>
      </x:c>
      <x:c r="G225" t="n">
        <x:v>20</x:v>
      </x:c>
      <x:c r="H225" t="n">
        <x:v>57</x:v>
      </x:c>
      <x:c r="I225" t="n">
        <x:v>1673</x:v>
      </x:c>
      <x:c r="J225" t="n">
        <x:v>1507</x:v>
      </x:c>
      <x:c r="K225" t="n">
        <x:v>54</x:v>
      </x:c>
      <x:c r="L225" t="n">
        <x:v>37</x:v>
      </x:c>
      <x:c r="M225" t="n">
        <x:v>94.4</x:v>
      </x:c>
      <x:c r="N225" t="n">
        <x:v>68.2</x:v>
      </x:c>
      <x:c r="O225" t="n">
        <x:v>80.7</x:v>
      </x:c>
      <x:c r="P225" t="n">
        <x:v>1</x:v>
      </x:c>
      <x:c r="Q225" t="str">
        <x:v>No incident</x:v>
      </x:c>
      <x:c r="R225" t="str">
        <x:v>N/A</x:v>
      </x:c>
      <x:c r="S225" t="str">
        <x:v>Preventive</x:v>
      </x:c>
      <x:c r="T225" t="n">
        <x:v>0.85</x:v>
      </x:c>
      <x:c r="U225" t="n">
        <x:v>13.1</x:v>
      </x:c>
      <x:c r="V225" t="n">
        <x:f>IFERROR(J225/I225*100,0)</x:f>
        <x:v>90.07770472205618</x:v>
      </x:c>
      <x:c r="W225" t="n">
        <x:f>IFERROR(K225/J225*100,0)</x:f>
        <x:v>3.5832780358327807</x:v>
      </x:c>
      <x:c r="X225" t="n">
        <x:f>IFERROR(H225/F225*100,0)</x:f>
        <x:v>11.875</x:v>
      </x:c>
      <x:c r="Y225" t="n">
        <x:f>J225-K225</x:f>
        <x:v>1453</x:v>
      </x:c>
      <x:c r="Z225" t="n">
        <x:f>MAX(0,MIN(100,(V225/100)*(1-X225/100)*(1-W225/100)*100))</x:f>
        <x:v>76.5365361625822</x:v>
      </x:c>
    </x:row>
    <x:row r="226">
      <x:c r="A226" s="12" t="n">
        <x:v>46101</x:v>
      </x:c>
      <x:c r="B226" t="str">
        <x:v>C</x:v>
      </x:c>
      <x:c r="C226" t="str">
        <x:v>Desiccated Coconut</x:v>
      </x:c>
      <x:c r="D226" t="str">
        <x:v>Dryer 4</x:v>
      </x:c>
      <x:c r="E226" t="str">
        <x:v>Sup 1</x:v>
      </x:c>
      <x:c r="F226" t="n">
        <x:v>480</x:v>
      </x:c>
      <x:c r="G226" t="n">
        <x:v>30</x:v>
      </x:c>
      <x:c r="H226" t="n">
        <x:v>26</x:v>
      </x:c>
      <x:c r="I226" t="n">
        <x:v>1278</x:v>
      </x:c>
      <x:c r="J226" t="n">
        <x:v>1143</x:v>
      </x:c>
      <x:c r="K226" t="n">
        <x:v>38</x:v>
      </x:c>
      <x:c r="L226" t="n">
        <x:v>19</x:v>
      </x:c>
      <x:c r="M226" t="n">
        <x:v>84.8</x:v>
      </x:c>
      <x:c r="N226" t="n">
        <x:v>81.4</x:v>
      </x:c>
      <x:c r="O226" t="n">
        <x:v>77.8</x:v>
      </x:c>
      <x:c r="P226" t="n">
        <x:v>7</x:v>
      </x:c>
      <x:c r="Q226" t="str">
        <x:v>Near miss</x:v>
      </x:c>
      <x:c r="R226" t="str">
        <x:v>Open</x:v>
      </x:c>
      <x:c r="S226" t="str">
        <x:v>Corrective</x:v>
      </x:c>
      <x:c r="T226" t="n">
        <x:v>1.15</x:v>
      </x:c>
      <x:c r="U226" t="n">
        <x:v>8.9</x:v>
      </x:c>
      <x:c r="V226" t="n">
        <x:f>IFERROR(J226/I226*100,0)</x:f>
        <x:v>89.43661971830986</x:v>
      </x:c>
      <x:c r="W226" t="n">
        <x:f>IFERROR(K226/J226*100,0)</x:f>
        <x:v>3.3245844269466316</x:v>
      </x:c>
      <x:c r="X226" t="n">
        <x:f>IFERROR(H226/F226*100,0)</x:f>
        <x:v>5.416666666666667</x:v>
      </x:c>
      <x:c r="Y226" t="n">
        <x:f>J226-K226</x:f>
        <x:v>1105</x:v>
      </x:c>
      <x:c r="Z226" t="n">
        <x:f>MAX(0,MIN(100,(V226/100)*(1-X226/100)*(1-W226/100)*100))</x:f>
        <x:v>81.77979916536253</x:v>
      </x:c>
    </x:row>
    <x:row r="227">
      <x:c r="A227" s="12" t="n">
        <x:v>46102</x:v>
      </x:c>
      <x:c r="B227" t="str">
        <x:v>A</x:v>
      </x:c>
      <x:c r="C227" t="str">
        <x:v>Dried Pineapple</x:v>
      </x:c>
      <x:c r="D227" t="str">
        <x:v>Dryer 3</x:v>
      </x:c>
      <x:c r="E227" t="str">
        <x:v>Sup 1</x:v>
      </x:c>
      <x:c r="F227" t="n">
        <x:v>420</x:v>
      </x:c>
      <x:c r="G227" t="n">
        <x:v>0</x:v>
      </x:c>
      <x:c r="H227" t="n">
        <x:v>64</x:v>
      </x:c>
      <x:c r="I227" t="n">
        <x:v>1639</x:v>
      </x:c>
      <x:c r="J227" t="n">
        <x:v>1414</x:v>
      </x:c>
      <x:c r="K227" t="n">
        <x:v>72</x:v>
      </x:c>
      <x:c r="L227" t="n">
        <x:v>28</x:v>
      </x:c>
      <x:c r="M227" t="n">
        <x:v>92.1</x:v>
      </x:c>
      <x:c r="N227" t="n">
        <x:v>89.5</x:v>
      </x:c>
      <x:c r="O227" t="n">
        <x:v>76.7</x:v>
      </x:c>
      <x:c r="P227" t="n">
        <x:v>0</x:v>
      </x:c>
      <x:c r="Q227" t="str">
        <x:v>No incident</x:v>
      </x:c>
      <x:c r="R227" t="str">
        <x:v>N/A</x:v>
      </x:c>
      <x:c r="S227" t="str">
        <x:v>Corrective</x:v>
      </x:c>
      <x:c r="T227" t="n">
        <x:v>1.18</x:v>
      </x:c>
      <x:c r="U227" t="n">
        <x:v>10.6</x:v>
      </x:c>
      <x:c r="V227" t="n">
        <x:f>IFERROR(J227/I227*100,0)</x:f>
        <x:v>86.27211714460037</x:v>
      </x:c>
      <x:c r="W227" t="n">
        <x:f>IFERROR(K227/J227*100,0)</x:f>
        <x:v>5.091937765205092</x:v>
      </x:c>
      <x:c r="X227" t="n">
        <x:f>IFERROR(H227/F227*100,0)</x:f>
        <x:v>15.238095238095239</x:v>
      </x:c>
      <x:c r="Y227" t="n">
        <x:f>J227-K227</x:f>
        <x:v>1342</x:v>
      </x:c>
      <x:c r="Z227" t="n">
        <x:f>MAX(0,MIN(100,(V227/100)*(1-X227/100)*(1-W227/100)*100))</x:f>
        <x:v>69.40236497283477</x:v>
      </x:c>
    </x:row>
    <x:row r="228">
      <x:c r="A228" s="12" t="n">
        <x:v>46102</x:v>
      </x:c>
      <x:c r="B228" t="str">
        <x:v>B</x:v>
      </x:c>
      <x:c r="C228" t="str">
        <x:v>Desiccated Coconut</x:v>
      </x:c>
      <x:c r="D228" t="str">
        <x:v>Dryer 3</x:v>
      </x:c>
      <x:c r="E228" t="str">
        <x:v>Sup 2</x:v>
      </x:c>
      <x:c r="F228" t="n">
        <x:v>480</x:v>
      </x:c>
      <x:c r="G228" t="n">
        <x:v>40</x:v>
      </x:c>
      <x:c r="H228" t="n">
        <x:v>42</x:v>
      </x:c>
      <x:c r="I228" t="n">
        <x:v>1230</x:v>
      </x:c>
      <x:c r="J228" t="n">
        <x:v>1147</x:v>
      </x:c>
      <x:c r="K228" t="n">
        <x:v>46</x:v>
      </x:c>
      <x:c r="L228" t="n">
        <x:v>27</x:v>
      </x:c>
      <x:c r="M228" t="n">
        <x:v>91.5</x:v>
      </x:c>
      <x:c r="N228" t="n">
        <x:v>76</x:v>
      </x:c>
      <x:c r="O228" t="n">
        <x:v>76.3</x:v>
      </x:c>
      <x:c r="P228" t="n">
        <x:v>5</x:v>
      </x:c>
      <x:c r="Q228" t="str">
        <x:v>No incident</x:v>
      </x:c>
      <x:c r="R228" t="str">
        <x:v>N/A</x:v>
      </x:c>
      <x:c r="S228" t="str">
        <x:v>Corrective</x:v>
      </x:c>
      <x:c r="T228" t="n">
        <x:v>1.47</x:v>
      </x:c>
      <x:c r="U228" t="n">
        <x:v>10.2</x:v>
      </x:c>
      <x:c r="V228" t="n">
        <x:f>IFERROR(J228/I228*100,0)</x:f>
        <x:v>93.2520325203252</x:v>
      </x:c>
      <x:c r="W228" t="n">
        <x:f>IFERROR(K228/J228*100,0)</x:f>
        <x:v>4.0104620749782045</x:v>
      </x:c>
      <x:c r="X228" t="n">
        <x:f>IFERROR(H228/F228*100,0)</x:f>
        <x:v>8.75</x:v>
      </x:c>
      <x:c r="Y228" t="n">
        <x:f>J228-K228</x:f>
        <x:v>1101</x:v>
      </x:c>
      <x:c r="Z228" t="n">
        <x:f>MAX(0,MIN(100,(V228/100)*(1-X228/100)*(1-W228/100)*100))</x:f>
        <x:v>81.67987804878048</x:v>
      </x:c>
    </x:row>
    <x:row r="229">
      <x:c r="A229" s="12" t="n">
        <x:v>46102</x:v>
      </x:c>
      <x:c r="B229" t="str">
        <x:v>C</x:v>
      </x:c>
      <x:c r="C229" t="str">
        <x:v>Dried Pineapple</x:v>
      </x:c>
      <x:c r="D229" t="str">
        <x:v>Dryer 4</x:v>
      </x:c>
      <x:c r="E229" t="str">
        <x:v>Sup 3</x:v>
      </x:c>
      <x:c r="F229" t="n">
        <x:v>450</x:v>
      </x:c>
      <x:c r="G229" t="n">
        <x:v>40</x:v>
      </x:c>
      <x:c r="H229" t="n">
        <x:v>67</x:v>
      </x:c>
      <x:c r="I229" t="n">
        <x:v>1853</x:v>
      </x:c>
      <x:c r="J229" t="n">
        <x:v>1410</x:v>
      </x:c>
      <x:c r="K229" t="n">
        <x:v>39</x:v>
      </x:c>
      <x:c r="L229" t="n">
        <x:v>11</x:v>
      </x:c>
      <x:c r="M229" t="n">
        <x:v>89.1</x:v>
      </x:c>
      <x:c r="N229" t="n">
        <x:v>68.6</x:v>
      </x:c>
      <x:c r="O229" t="n">
        <x:v>78</x:v>
      </x:c>
      <x:c r="P229" t="n">
        <x:v>2</x:v>
      </x:c>
      <x:c r="Q229" t="str">
        <x:v>No incident</x:v>
      </x:c>
      <x:c r="R229" t="str">
        <x:v>N/A</x:v>
      </x:c>
      <x:c r="S229" t="str">
        <x:v>Corrective</x:v>
      </x:c>
      <x:c r="T229" t="n">
        <x:v>1.86</x:v>
      </x:c>
      <x:c r="U229" t="n">
        <x:v>10.6</x:v>
      </x:c>
      <x:c r="V229" t="n">
        <x:f>IFERROR(J229/I229*100,0)</x:f>
        <x:v>76.09282245008096</x:v>
      </x:c>
      <x:c r="W229" t="n">
        <x:f>IFERROR(K229/J229*100,0)</x:f>
        <x:v>2.7659574468085104</x:v>
      </x:c>
      <x:c r="X229" t="n">
        <x:f>IFERROR(H229/F229*100,0)</x:f>
        <x:v>14.888888888888888</x:v>
      </x:c>
      <x:c r="Y229" t="n">
        <x:f>J229-K229</x:f>
        <x:v>1371</x:v>
      </x:c>
      <x:c r="Z229" t="n">
        <x:f>MAX(0,MIN(100,(V229/100)*(1-X229/100)*(1-W229/100)*100))</x:f>
        <x:v>62.97211728728189</x:v>
      </x:c>
    </x:row>
    <x:row r="230">
      <x:c r="A230" s="12" t="n">
        <x:v>46103</x:v>
      </x:c>
      <x:c r="B230" t="str">
        <x:v>A</x:v>
      </x:c>
      <x:c r="C230" t="str">
        <x:v>Desiccated Coconut</x:v>
      </x:c>
      <x:c r="D230" t="str">
        <x:v>Dryer 3</x:v>
      </x:c>
      <x:c r="E230" t="str">
        <x:v>Sup 2</x:v>
      </x:c>
      <x:c r="F230" t="n">
        <x:v>420</x:v>
      </x:c>
      <x:c r="G230" t="n">
        <x:v>20</x:v>
      </x:c>
      <x:c r="H230" t="n">
        <x:v>56</x:v>
      </x:c>
      <x:c r="I230" t="n">
        <x:v>1294</x:v>
      </x:c>
      <x:c r="J230" t="n">
        <x:v>1147</x:v>
      </x:c>
      <x:c r="K230" t="n">
        <x:v>43</x:v>
      </x:c>
      <x:c r="L230" t="n">
        <x:v>16</x:v>
      </x:c>
      <x:c r="M230" t="n">
        <x:v>90.2</x:v>
      </x:c>
      <x:c r="N230" t="n">
        <x:v>55.9</x:v>
      </x:c>
      <x:c r="O230" t="n">
        <x:v>75.5</x:v>
      </x:c>
      <x:c r="P230" t="n">
        <x:v>2</x:v>
      </x:c>
      <x:c r="Q230" t="str">
        <x:v>No incident</x:v>
      </x:c>
      <x:c r="R230" t="str">
        <x:v>N/A</x:v>
      </x:c>
      <x:c r="S230" t="str">
        <x:v>Corrective</x:v>
      </x:c>
      <x:c r="T230" t="n">
        <x:v>1.3</x:v>
      </x:c>
      <x:c r="U230" t="n">
        <x:v>9.1</x:v>
      </x:c>
      <x:c r="V230" t="n">
        <x:f>IFERROR(J230/I230*100,0)</x:f>
        <x:v>88.63987635239567</x:v>
      </x:c>
      <x:c r="W230" t="n">
        <x:f>IFERROR(K230/J230*100,0)</x:f>
        <x:v>3.7489102005231034</x:v>
      </x:c>
      <x:c r="X230" t="n">
        <x:f>IFERROR(H230/F230*100,0)</x:f>
        <x:v>13.333333333333334</x:v>
      </x:c>
      <x:c r="Y230" t="n">
        <x:f>J230-K230</x:f>
        <x:v>1104</x:v>
      </x:c>
      <x:c r="Z230" t="n">
        <x:f>MAX(0,MIN(100,(V230/100)*(1-X230/100)*(1-W230/100)*100))</x:f>
        <x:v>73.94126738794436</x:v>
      </x:c>
    </x:row>
    <x:row r="231">
      <x:c r="A231" s="12" t="n">
        <x:v>46103</x:v>
      </x:c>
      <x:c r="B231" t="str">
        <x:v>B</x:v>
      </x:c>
      <x:c r="C231" t="str">
        <x:v>Dried Mango</x:v>
      </x:c>
      <x:c r="D231" t="str">
        <x:v>Dryer 4</x:v>
      </x:c>
      <x:c r="E231" t="str">
        <x:v>Sup 3</x:v>
      </x:c>
      <x:c r="F231" t="n">
        <x:v>420</x:v>
      </x:c>
      <x:c r="G231" t="n">
        <x:v>0</x:v>
      </x:c>
      <x:c r="H231" t="n">
        <x:v>44</x:v>
      </x:c>
      <x:c r="I231" t="n">
        <x:v>1772</x:v>
      </x:c>
      <x:c r="J231" t="n">
        <x:v>1450</x:v>
      </x:c>
      <x:c r="K231" t="n">
        <x:v>49</x:v>
      </x:c>
      <x:c r="L231" t="n">
        <x:v>13</x:v>
      </x:c>
      <x:c r="M231" t="n">
        <x:v>93.8</x:v>
      </x:c>
      <x:c r="N231" t="n">
        <x:v>92.8</x:v>
      </x:c>
      <x:c r="O231" t="n">
        <x:v>74.9</x:v>
      </x:c>
      <x:c r="P231" t="n">
        <x:v>3</x:v>
      </x:c>
      <x:c r="Q231" t="str">
        <x:v>No incident</x:v>
      </x:c>
      <x:c r="R231" t="str">
        <x:v>N/A</x:v>
      </x:c>
      <x:c r="S231" t="str">
        <x:v>Preventive</x:v>
      </x:c>
      <x:c r="T231" t="n">
        <x:v>0.5</x:v>
      </x:c>
      <x:c r="U231" t="n">
        <x:v>11.5</x:v>
      </x:c>
      <x:c r="V231" t="n">
        <x:f>IFERROR(J231/I231*100,0)</x:f>
        <x:v>81.82844243792326</x:v>
      </x:c>
      <x:c r="W231" t="n">
        <x:f>IFERROR(K231/J231*100,0)</x:f>
        <x:v>3.379310344827586</x:v>
      </x:c>
      <x:c r="X231" t="n">
        <x:f>IFERROR(H231/F231*100,0)</x:f>
        <x:v>10.476190476190476</x:v>
      </x:c>
      <x:c r="Y231" t="n">
        <x:f>J231-K231</x:f>
        <x:v>1401</x:v>
      </x:c>
      <x:c r="Z231" t="n">
        <x:f>MAX(0,MIN(100,(V231/100)*(1-X231/100)*(1-W231/100)*100))</x:f>
        <x:v>70.78039342147694</x:v>
      </x:c>
    </x:row>
    <x:row r="232">
      <x:c r="A232" s="12" t="n">
        <x:v>46103</x:v>
      </x:c>
      <x:c r="B232" t="str">
        <x:v>C</x:v>
      </x:c>
      <x:c r="C232" t="str">
        <x:v>Dried Mango</x:v>
      </x:c>
      <x:c r="D232" t="str">
        <x:v>Dryer 2</x:v>
      </x:c>
      <x:c r="E232" t="str">
        <x:v>Sup 1</x:v>
      </x:c>
      <x:c r="F232" t="n">
        <x:v>420</x:v>
      </x:c>
      <x:c r="G232" t="n">
        <x:v>40</x:v>
      </x:c>
      <x:c r="H232" t="n">
        <x:v>44</x:v>
      </x:c>
      <x:c r="I232" t="n">
        <x:v>1557</x:v>
      </x:c>
      <x:c r="J232" t="n">
        <x:v>1298</x:v>
      </x:c>
      <x:c r="K232" t="n">
        <x:v>48</x:v>
      </x:c>
      <x:c r="L232" t="n">
        <x:v>28</x:v>
      </x:c>
      <x:c r="M232" t="n">
        <x:v>86.5</x:v>
      </x:c>
      <x:c r="N232" t="n">
        <x:v>76.1</x:v>
      </x:c>
      <x:c r="O232" t="n">
        <x:v>78.2</x:v>
      </x:c>
      <x:c r="P232" t="n">
        <x:v>0</x:v>
      </x:c>
      <x:c r="Q232" t="str">
        <x:v>No incident</x:v>
      </x:c>
      <x:c r="R232" t="str">
        <x:v>N/A</x:v>
      </x:c>
      <x:c r="S232" t="str">
        <x:v>Inspection</x:v>
      </x:c>
      <x:c r="T232" t="n">
        <x:v>1.15</x:v>
      </x:c>
      <x:c r="U232" t="n">
        <x:v>11.3</x:v>
      </x:c>
      <x:c r="V232" t="n">
        <x:f>IFERROR(J232/I232*100,0)</x:f>
        <x:v>83.36544637122671</x:v>
      </x:c>
      <x:c r="W232" t="n">
        <x:f>IFERROR(K232/J232*100,0)</x:f>
        <x:v>3.697996918335902</x:v>
      </x:c>
      <x:c r="X232" t="n">
        <x:f>IFERROR(H232/F232*100,0)</x:f>
        <x:v>10.476190476190476</x:v>
      </x:c>
      <x:c r="Y232" t="n">
        <x:f>J232-K232</x:f>
        <x:v>1250</x:v>
      </x:c>
      <x:c r="Z232" t="n">
        <x:f>MAX(0,MIN(100,(V232/100)*(1-X232/100)*(1-W232/100)*100))</x:f>
        <x:v>71.87203718995626</x:v>
      </x:c>
    </x:row>
    <x:row r="233">
      <x:c r="A233" s="12" t="n">
        <x:v>46104</x:v>
      </x:c>
      <x:c r="B233" t="str">
        <x:v>A</x:v>
      </x:c>
      <x:c r="C233" t="str">
        <x:v>Desiccated Coconut</x:v>
      </x:c>
      <x:c r="D233" t="str">
        <x:v>Dryer 3</x:v>
      </x:c>
      <x:c r="E233" t="str">
        <x:v>Sup 2</x:v>
      </x:c>
      <x:c r="F233" t="n">
        <x:v>450</x:v>
      </x:c>
      <x:c r="G233" t="n">
        <x:v>40</x:v>
      </x:c>
      <x:c r="H233" t="n">
        <x:v>52</x:v>
      </x:c>
      <x:c r="I233" t="n">
        <x:v>1282</x:v>
      </x:c>
      <x:c r="J233" t="n">
        <x:v>1158</x:v>
      </x:c>
      <x:c r="K233" t="n">
        <x:v>51</x:v>
      </x:c>
      <x:c r="L233" t="n">
        <x:v>21</x:v>
      </x:c>
      <x:c r="M233" t="n">
        <x:v>93.4</x:v>
      </x:c>
      <x:c r="N233" t="n">
        <x:v>67.5</x:v>
      </x:c>
      <x:c r="O233" t="n">
        <x:v>57.7</x:v>
      </x:c>
      <x:c r="P233" t="n">
        <x:v>4</x:v>
      </x:c>
      <x:c r="Q233" t="str">
        <x:v>Near miss</x:v>
      </x:c>
      <x:c r="R233" t="str">
        <x:v>In progress</x:v>
      </x:c>
      <x:c r="S233" t="str">
        <x:v>Preventive</x:v>
      </x:c>
      <x:c r="T233" t="n">
        <x:v>1.23</x:v>
      </x:c>
      <x:c r="U233" t="n">
        <x:v>8.7</x:v>
      </x:c>
      <x:c r="V233" t="n">
        <x:f>IFERROR(J233/I233*100,0)</x:f>
        <x:v>90.32761310452419</x:v>
      </x:c>
      <x:c r="W233" t="n">
        <x:f>IFERROR(K233/J233*100,0)</x:f>
        <x:v>4.404145077720207</x:v>
      </x:c>
      <x:c r="X233" t="n">
        <x:f>IFERROR(H233/F233*100,0)</x:f>
        <x:v>11.555555555555555</x:v>
      </x:c>
      <x:c r="Y233" t="n">
        <x:f>J233-K233</x:f>
        <x:v>1107</x:v>
      </x:c>
      <x:c r="Z233" t="n">
        <x:f>MAX(0,MIN(100,(V233/100)*(1-X233/100)*(1-W233/100)*100))</x:f>
        <x:v>76.37129485179408</x:v>
      </x:c>
    </x:row>
    <x:row r="234">
      <x:c r="A234" s="12" t="n">
        <x:v>46104</x:v>
      </x:c>
      <x:c r="B234" t="str">
        <x:v>B</x:v>
      </x:c>
      <x:c r="C234" t="str">
        <x:v>Dried Pineapple</x:v>
      </x:c>
      <x:c r="D234" t="str">
        <x:v>Dryer 2</x:v>
      </x:c>
      <x:c r="E234" t="str">
        <x:v>Sup 2</x:v>
      </x:c>
      <x:c r="F234" t="n">
        <x:v>480</x:v>
      </x:c>
      <x:c r="G234" t="n">
        <x:v>0</x:v>
      </x:c>
      <x:c r="H234" t="n">
        <x:v>65</x:v>
      </x:c>
      <x:c r="I234" t="n">
        <x:v>1755</x:v>
      </x:c>
      <x:c r="J234" t="n">
        <x:v>1367</x:v>
      </x:c>
      <x:c r="K234" t="n">
        <x:v>57</x:v>
      </x:c>
      <x:c r="L234" t="n">
        <x:v>28</x:v>
      </x:c>
      <x:c r="M234" t="n">
        <x:v>96.2</x:v>
      </x:c>
      <x:c r="N234" t="n">
        <x:v>77.1</x:v>
      </x:c>
      <x:c r="O234" t="n">
        <x:v>76.9</x:v>
      </x:c>
      <x:c r="P234" t="n">
        <x:v>2</x:v>
      </x:c>
      <x:c r="Q234" t="str">
        <x:v>Near miss</x:v>
      </x:c>
      <x:c r="R234" t="str">
        <x:v>In progress</x:v>
      </x:c>
      <x:c r="S234" t="str">
        <x:v>Corrective</x:v>
      </x:c>
      <x:c r="T234" t="n">
        <x:v>1.24</x:v>
      </x:c>
      <x:c r="U234" t="n">
        <x:v>11.4</x:v>
      </x:c>
      <x:c r="V234" t="n">
        <x:f>IFERROR(J234/I234*100,0)</x:f>
        <x:v>77.89173789173789</x:v>
      </x:c>
      <x:c r="W234" t="n">
        <x:f>IFERROR(K234/J234*100,0)</x:f>
        <x:v>4.169714703730797</x:v>
      </x:c>
      <x:c r="X234" t="n">
        <x:f>IFERROR(H234/F234*100,0)</x:f>
        <x:v>13.541666666666666</x:v>
      </x:c>
      <x:c r="Y234" t="n">
        <x:f>J234-K234</x:f>
        <x:v>1310</x:v>
      </x:c>
      <x:c r="Z234" t="n">
        <x:f>MAX(0,MIN(100,(V234/100)*(1-X234/100)*(1-W234/100)*100))</x:f>
        <x:v>64.53584995251661</x:v>
      </x:c>
    </x:row>
    <x:row r="235">
      <x:c r="A235" s="12" t="n">
        <x:v>46104</x:v>
      </x:c>
      <x:c r="B235" t="str">
        <x:v>C</x:v>
      </x:c>
      <x:c r="C235" t="str">
        <x:v>Dried Pineapple</x:v>
      </x:c>
      <x:c r="D235" t="str">
        <x:v>Dryer 3</x:v>
      </x:c>
      <x:c r="E235" t="str">
        <x:v>Sup 2</x:v>
      </x:c>
      <x:c r="F235" t="n">
        <x:v>450</x:v>
      </x:c>
      <x:c r="G235" t="n">
        <x:v>40</x:v>
      </x:c>
      <x:c r="H235" t="n">
        <x:v>75</x:v>
      </x:c>
      <x:c r="I235" t="n">
        <x:v>1782</x:v>
      </x:c>
      <x:c r="J235" t="n">
        <x:v>1307</x:v>
      </x:c>
      <x:c r="K235" t="n">
        <x:v>65</x:v>
      </x:c>
      <x:c r="L235" t="n">
        <x:v>34</x:v>
      </x:c>
      <x:c r="M235" t="n">
        <x:v>79.4</x:v>
      </x:c>
      <x:c r="N235" t="n">
        <x:v>75.7</x:v>
      </x:c>
      <x:c r="O235" t="n">
        <x:v>78.9</x:v>
      </x:c>
      <x:c r="P235" t="n">
        <x:v>3</x:v>
      </x:c>
      <x:c r="Q235" t="str">
        <x:v>Near miss</x:v>
      </x:c>
      <x:c r="R235" t="str">
        <x:v>In progress</x:v>
      </x:c>
      <x:c r="S235" t="str">
        <x:v>Inspection</x:v>
      </x:c>
      <x:c r="T235" t="n">
        <x:v>0.5</x:v>
      </x:c>
      <x:c r="U235" t="n">
        <x:v>10.3</x:v>
      </x:c>
      <x:c r="V235" t="n">
        <x:f>IFERROR(J235/I235*100,0)</x:f>
        <x:v>73.34455667789001</x:v>
      </x:c>
      <x:c r="W235" t="n">
        <x:f>IFERROR(K235/J235*100,0)</x:f>
        <x:v>4.973221117061974</x:v>
      </x:c>
      <x:c r="X235" t="n">
        <x:f>IFERROR(H235/F235*100,0)</x:f>
        <x:v>16.666666666666664</x:v>
      </x:c>
      <x:c r="Y235" t="n">
        <x:f>J235-K235</x:f>
        <x:v>1242</x:v>
      </x:c>
      <x:c r="Z235" t="n">
        <x:f>MAX(0,MIN(100,(V235/100)*(1-X235/100)*(1-W235/100)*100))</x:f>
        <x:v>58.08080808080809</x:v>
      </x:c>
    </x:row>
    <x:row r="236">
      <x:c r="A236" s="12" t="n">
        <x:v>46105</x:v>
      </x:c>
      <x:c r="B236" t="str">
        <x:v>A</x:v>
      </x:c>
      <x:c r="C236" t="str">
        <x:v>Desiccated Coconut</x:v>
      </x:c>
      <x:c r="D236" t="str">
        <x:v>Dryer 1</x:v>
      </x:c>
      <x:c r="E236" t="str">
        <x:v>Sup 1</x:v>
      </x:c>
      <x:c r="F236" t="n">
        <x:v>480</x:v>
      </x:c>
      <x:c r="G236" t="n">
        <x:v>0</x:v>
      </x:c>
      <x:c r="H236" t="n">
        <x:v>6</x:v>
      </x:c>
      <x:c r="I236" t="n">
        <x:v>1249</x:v>
      </x:c>
      <x:c r="J236" t="n">
        <x:v>1154</x:v>
      </x:c>
      <x:c r="K236" t="n">
        <x:v>36</x:v>
      </x:c>
      <x:c r="L236" t="n">
        <x:v>11</x:v>
      </x:c>
      <x:c r="M236" t="n">
        <x:v>99.8</x:v>
      </x:c>
      <x:c r="N236" t="n">
        <x:v>80.9</x:v>
      </x:c>
      <x:c r="O236" t="n">
        <x:v>76.4</x:v>
      </x:c>
      <x:c r="P236" t="n">
        <x:v>5</x:v>
      </x:c>
      <x:c r="Q236" t="str">
        <x:v>No incident</x:v>
      </x:c>
      <x:c r="R236" t="str">
        <x:v>N/A</x:v>
      </x:c>
      <x:c r="S236" t="str">
        <x:v>Inspection</x:v>
      </x:c>
      <x:c r="T236" t="n">
        <x:v>0.96</x:v>
      </x:c>
      <x:c r="U236" t="n">
        <x:v>10</x:v>
      </x:c>
      <x:c r="V236" t="n">
        <x:f>IFERROR(J236/I236*100,0)</x:f>
        <x:v>92.39391513210569</x:v>
      </x:c>
      <x:c r="W236" t="n">
        <x:f>IFERROR(K236/J236*100,0)</x:f>
        <x:v>3.119584055459272</x:v>
      </x:c>
      <x:c r="X236" t="n">
        <x:f>IFERROR(H236/F236*100,0)</x:f>
        <x:v>1.25</x:v>
      </x:c>
      <x:c r="Y236" t="n">
        <x:f>J236-K236</x:f>
        <x:v>1118</x:v>
      </x:c>
      <x:c r="Z236" t="n">
        <x:f>MAX(0,MIN(100,(V236/100)*(1-X236/100)*(1-W236/100)*100))</x:f>
        <x:v>88.39271417133708</x:v>
      </x:c>
    </x:row>
    <x:row r="237">
      <x:c r="A237" s="12" t="n">
        <x:v>46105</x:v>
      </x:c>
      <x:c r="B237" t="str">
        <x:v>B</x:v>
      </x:c>
      <x:c r="C237" t="str">
        <x:v>Desiccated Coconut</x:v>
      </x:c>
      <x:c r="D237" t="str">
        <x:v>Dryer 4</x:v>
      </x:c>
      <x:c r="E237" t="str">
        <x:v>Sup 3</x:v>
      </x:c>
      <x:c r="F237" t="n">
        <x:v>420</x:v>
      </x:c>
      <x:c r="G237" t="n">
        <x:v>0</x:v>
      </x:c>
      <x:c r="H237" t="n">
        <x:v>66</x:v>
      </x:c>
      <x:c r="I237" t="n">
        <x:v>1267</x:v>
      </x:c>
      <x:c r="J237" t="n">
        <x:v>1094</x:v>
      </x:c>
      <x:c r="K237" t="n">
        <x:v>38</x:v>
      </x:c>
      <x:c r="L237" t="n">
        <x:v>17</x:v>
      </x:c>
      <x:c r="M237" t="n">
        <x:v>85.6</x:v>
      </x:c>
      <x:c r="N237" t="n">
        <x:v>86.5</x:v>
      </x:c>
      <x:c r="O237" t="n">
        <x:v>91.4</x:v>
      </x:c>
      <x:c r="P237" t="n">
        <x:v>4</x:v>
      </x:c>
      <x:c r="Q237" t="str">
        <x:v>No incident</x:v>
      </x:c>
      <x:c r="R237" t="str">
        <x:v>N/A</x:v>
      </x:c>
      <x:c r="S237" t="str">
        <x:v>Corrective</x:v>
      </x:c>
      <x:c r="T237" t="n">
        <x:v>0.71</x:v>
      </x:c>
      <x:c r="U237" t="n">
        <x:v>8.4</x:v>
      </x:c>
      <x:c r="V237" t="n">
        <x:f>IFERROR(J237/I237*100,0)</x:f>
        <x:v>86.34569850039463</x:v>
      </x:c>
      <x:c r="W237" t="n">
        <x:f>IFERROR(K237/J237*100,0)</x:f>
        <x:v>3.473491773308958</x:v>
      </x:c>
      <x:c r="X237" t="n">
        <x:f>IFERROR(H237/F237*100,0)</x:f>
        <x:v>15.714285714285714</x:v>
      </x:c>
      <x:c r="Y237" t="n">
        <x:f>J237-K237</x:f>
        <x:v>1056</x:v>
      </x:c>
      <x:c r="Z237" t="n">
        <x:f>MAX(0,MIN(100,(V237/100)*(1-X237/100)*(1-W237/100)*100))</x:f>
        <x:v>70.24918254594655</x:v>
      </x:c>
    </x:row>
    <x:row r="238">
      <x:c r="A238" s="12" t="n">
        <x:v>46105</x:v>
      </x:c>
      <x:c r="B238" t="str">
        <x:v>C</x:v>
      </x:c>
      <x:c r="C238" t="str">
        <x:v>Desiccated Coconut</x:v>
      </x:c>
      <x:c r="D238" t="str">
        <x:v>Dryer 3</x:v>
      </x:c>
      <x:c r="E238" t="str">
        <x:v>Sup 3</x:v>
      </x:c>
      <x:c r="F238" t="n">
        <x:v>450</x:v>
      </x:c>
      <x:c r="G238" t="n">
        <x:v>0</x:v>
      </x:c>
      <x:c r="H238" t="n">
        <x:v>47</x:v>
      </x:c>
      <x:c r="I238" t="n">
        <x:v>1142</x:v>
      </x:c>
      <x:c r="J238" t="n">
        <x:v>1001</x:v>
      </x:c>
      <x:c r="K238" t="n">
        <x:v>35</x:v>
      </x:c>
      <x:c r="L238" t="n">
        <x:v>22</x:v>
      </x:c>
      <x:c r="M238" t="n">
        <x:v>81.1</x:v>
      </x:c>
      <x:c r="N238" t="n">
        <x:v>69.7</x:v>
      </x:c>
      <x:c r="O238" t="n">
        <x:v>61.1</x:v>
      </x:c>
      <x:c r="P238" t="n">
        <x:v>4</x:v>
      </x:c>
      <x:c r="Q238" t="str">
        <x:v>Near miss</x:v>
      </x:c>
      <x:c r="R238" t="str">
        <x:v>Closed</x:v>
      </x:c>
      <x:c r="S238" t="str">
        <x:v>Corrective</x:v>
      </x:c>
      <x:c r="T238" t="n">
        <x:v>1.37</x:v>
      </x:c>
      <x:c r="U238" t="n">
        <x:v>8.1</x:v>
      </x:c>
      <x:c r="V238" t="n">
        <x:f>IFERROR(J238/I238*100,0)</x:f>
        <x:v>87.65323992994746</x:v>
      </x:c>
      <x:c r="W238" t="n">
        <x:f>IFERROR(K238/J238*100,0)</x:f>
        <x:v>3.4965034965034967</x:v>
      </x:c>
      <x:c r="X238" t="n">
        <x:f>IFERROR(H238/F238*100,0)</x:f>
        <x:v>10.444444444444445</x:v>
      </x:c>
      <x:c r="Y238" t="n">
        <x:f>J238-K238</x:f>
        <x:v>966</x:v>
      </x:c>
      <x:c r="Z238" t="n">
        <x:f>MAX(0,MIN(100,(V238/100)*(1-X238/100)*(1-W238/100)*100))</x:f>
        <x:v>75.75364856976064</x:v>
      </x:c>
    </x:row>
    <x:row r="239">
      <x:c r="A239" s="12" t="n">
        <x:v>46106</x:v>
      </x:c>
      <x:c r="B239" t="str">
        <x:v>A</x:v>
      </x:c>
      <x:c r="C239" t="str">
        <x:v>Dried Pineapple</x:v>
      </x:c>
      <x:c r="D239" t="str">
        <x:v>Dryer 2</x:v>
      </x:c>
      <x:c r="E239" t="str">
        <x:v>Sup 2</x:v>
      </x:c>
      <x:c r="F239" t="n">
        <x:v>480</x:v>
      </x:c>
      <x:c r="G239" t="n">
        <x:v>30</x:v>
      </x:c>
      <x:c r="H239" t="n">
        <x:v>10</x:v>
      </x:c>
      <x:c r="I239" t="n">
        <x:v>1765</x:v>
      </x:c>
      <x:c r="J239" t="n">
        <x:v>1580</x:v>
      </x:c>
      <x:c r="K239" t="n">
        <x:v>45</x:v>
      </x:c>
      <x:c r="L239" t="n">
        <x:v>16</x:v>
      </x:c>
      <x:c r="M239" t="n">
        <x:v>88.5</x:v>
      </x:c>
      <x:c r="N239" t="n">
        <x:v>74.8</x:v>
      </x:c>
      <x:c r="O239" t="n">
        <x:v>68.7</x:v>
      </x:c>
      <x:c r="P239" t="n">
        <x:v>4</x:v>
      </x:c>
      <x:c r="Q239" t="str">
        <x:v>No incident</x:v>
      </x:c>
      <x:c r="R239" t="str">
        <x:v>N/A</x:v>
      </x:c>
      <x:c r="S239" t="str">
        <x:v>Inspection</x:v>
      </x:c>
      <x:c r="T239" t="n">
        <x:v>0.61</x:v>
      </x:c>
      <x:c r="U239" t="n">
        <x:v>13.2</x:v>
      </x:c>
      <x:c r="V239" t="n">
        <x:f>IFERROR(J239/I239*100,0)</x:f>
        <x:v>89.51841359773371</x:v>
      </x:c>
      <x:c r="W239" t="n">
        <x:f>IFERROR(K239/J239*100,0)</x:f>
        <x:v>2.848101265822785</x:v>
      </x:c>
      <x:c r="X239" t="n">
        <x:f>IFERROR(H239/F239*100,0)</x:f>
        <x:v>2.083333333333333</x:v>
      </x:c>
      <x:c r="Y239" t="n">
        <x:f>J239-K239</x:f>
        <x:v>1535</x:v>
      </x:c>
      <x:c r="Z239" t="n">
        <x:f>MAX(0,MIN(100,(V239/100)*(1-X239/100)*(1-W239/100)*100))</x:f>
        <x:v>85.15698772426818</x:v>
      </x:c>
    </x:row>
    <x:row r="240">
      <x:c r="A240" s="12" t="n">
        <x:v>46106</x:v>
      </x:c>
      <x:c r="B240" t="str">
        <x:v>B</x:v>
      </x:c>
      <x:c r="C240" t="str">
        <x:v>Dried Pineapple</x:v>
      </x:c>
      <x:c r="D240" t="str">
        <x:v>Dryer 4</x:v>
      </x:c>
      <x:c r="E240" t="str">
        <x:v>Sup 2</x:v>
      </x:c>
      <x:c r="F240" t="n">
        <x:v>420</x:v>
      </x:c>
      <x:c r="G240" t="n">
        <x:v>20</x:v>
      </x:c>
      <x:c r="H240" t="n">
        <x:v>32</x:v>
      </x:c>
      <x:c r="I240" t="n">
        <x:v>1730</x:v>
      </x:c>
      <x:c r="J240" t="n">
        <x:v>1568</x:v>
      </x:c>
      <x:c r="K240" t="n">
        <x:v>37</x:v>
      </x:c>
      <x:c r="L240" t="n">
        <x:v>24</x:v>
      </x:c>
      <x:c r="M240" t="n">
        <x:v>91.2</x:v>
      </x:c>
      <x:c r="N240" t="n">
        <x:v>63.9</x:v>
      </x:c>
      <x:c r="O240" t="n">
        <x:v>87.6</x:v>
      </x:c>
      <x:c r="P240" t="n">
        <x:v>4</x:v>
      </x:c>
      <x:c r="Q240" t="str">
        <x:v>No incident</x:v>
      </x:c>
      <x:c r="R240" t="str">
        <x:v>N/A</x:v>
      </x:c>
      <x:c r="S240" t="str">
        <x:v>Preventive</x:v>
      </x:c>
      <x:c r="T240" t="n">
        <x:v>0.99</x:v>
      </x:c>
      <x:c r="U240" t="n">
        <x:v>12.9</x:v>
      </x:c>
      <x:c r="V240" t="n">
        <x:f>IFERROR(J240/I240*100,0)</x:f>
        <x:v>90.63583815028902</x:v>
      </x:c>
      <x:c r="W240" t="n">
        <x:f>IFERROR(K240/J240*100,0)</x:f>
        <x:v>2.3596938775510203</x:v>
      </x:c>
      <x:c r="X240" t="n">
        <x:f>IFERROR(H240/F240*100,0)</x:f>
        <x:v>7.6190476190476195</x:v>
      </x:c>
      <x:c r="Y240" t="n">
        <x:f>J240-K240</x:f>
        <x:v>1531</x:v>
      </x:c>
      <x:c r="Z240" t="n">
        <x:f>MAX(0,MIN(100,(V240/100)*(1-X240/100)*(1-W240/100)*100))</x:f>
        <x:v>81.75447288742087</x:v>
      </x:c>
    </x:row>
    <x:row r="241">
      <x:c r="A241" s="12" t="n">
        <x:v>46106</x:v>
      </x:c>
      <x:c r="B241" t="str">
        <x:v>C</x:v>
      </x:c>
      <x:c r="C241" t="str">
        <x:v>Dried Pineapple</x:v>
      </x:c>
      <x:c r="D241" t="str">
        <x:v>Dryer 2</x:v>
      </x:c>
      <x:c r="E241" t="str">
        <x:v>Sup 2</x:v>
      </x:c>
      <x:c r="F241" t="n">
        <x:v>480</x:v>
      </x:c>
      <x:c r="G241" t="n">
        <x:v>0</x:v>
      </x:c>
      <x:c r="H241" t="n">
        <x:v>33</x:v>
      </x:c>
      <x:c r="I241" t="n">
        <x:v>1651</x:v>
      </x:c>
      <x:c r="J241" t="n">
        <x:v>1472</x:v>
      </x:c>
      <x:c r="K241" t="n">
        <x:v>51</x:v>
      </x:c>
      <x:c r="L241" t="n">
        <x:v>13</x:v>
      </x:c>
      <x:c r="M241" t="n">
        <x:v>95.4</x:v>
      </x:c>
      <x:c r="N241" t="n">
        <x:v>81.7</x:v>
      </x:c>
      <x:c r="O241" t="n">
        <x:v>86.3</x:v>
      </x:c>
      <x:c r="P241" t="n">
        <x:v>3</x:v>
      </x:c>
      <x:c r="Q241" t="str">
        <x:v>No incident</x:v>
      </x:c>
      <x:c r="R241" t="str">
        <x:v>N/A</x:v>
      </x:c>
      <x:c r="S241" t="str">
        <x:v>Corrective</x:v>
      </x:c>
      <x:c r="T241" t="n">
        <x:v>0.98</x:v>
      </x:c>
      <x:c r="U241" t="n">
        <x:v>11.8</x:v>
      </x:c>
      <x:c r="V241" t="n">
        <x:f>IFERROR(J241/I241*100,0)</x:f>
        <x:v>89.15808600847971</x:v>
      </x:c>
      <x:c r="W241" t="n">
        <x:f>IFERROR(K241/J241*100,0)</x:f>
        <x:v>3.4646739130434785</x:v>
      </x:c>
      <x:c r="X241" t="n">
        <x:f>IFERROR(H241/F241*100,0)</x:f>
        <x:v>6.875000000000001</x:v>
      </x:c>
      <x:c r="Y241" t="n">
        <x:f>J241-K241</x:f>
        <x:v>1421</x:v>
      </x:c>
      <x:c r="Z241" t="n">
        <x:f>MAX(0,MIN(100,(V241/100)*(1-X241/100)*(1-W241/100)*100))</x:f>
        <x:v>80.15180193821926</x:v>
      </x:c>
    </x:row>
    <x:row r="242">
      <x:c r="A242" s="12" t="n">
        <x:v>46107</x:v>
      </x:c>
      <x:c r="B242" t="str">
        <x:v>A</x:v>
      </x:c>
      <x:c r="C242" t="str">
        <x:v>Dried Pineapple</x:v>
      </x:c>
      <x:c r="D242" t="str">
        <x:v>Dryer 4</x:v>
      </x:c>
      <x:c r="E242" t="str">
        <x:v>Sup 2</x:v>
      </x:c>
      <x:c r="F242" t="n">
        <x:v>450</x:v>
      </x:c>
      <x:c r="G242" t="n">
        <x:v>20</x:v>
      </x:c>
      <x:c r="H242" t="n">
        <x:v>32</x:v>
      </x:c>
      <x:c r="I242" t="n">
        <x:v>1748</x:v>
      </x:c>
      <x:c r="J242" t="n">
        <x:v>1600</x:v>
      </x:c>
      <x:c r="K242" t="n">
        <x:v>53</x:v>
      </x:c>
      <x:c r="L242" t="n">
        <x:v>21</x:v>
      </x:c>
      <x:c r="M242" t="n">
        <x:v>88.7</x:v>
      </x:c>
      <x:c r="N242" t="n">
        <x:v>80.6</x:v>
      </x:c>
      <x:c r="O242" t="n">
        <x:v>76.4</x:v>
      </x:c>
      <x:c r="P242" t="n">
        <x:v>4</x:v>
      </x:c>
      <x:c r="Q242" t="str">
        <x:v>No incident</x:v>
      </x:c>
      <x:c r="R242" t="str">
        <x:v>N/A</x:v>
      </x:c>
      <x:c r="S242" t="str">
        <x:v>Inspection</x:v>
      </x:c>
      <x:c r="T242" t="n">
        <x:v>0.55</x:v>
      </x:c>
      <x:c r="U242" t="n">
        <x:v>13.4</x:v>
      </x:c>
      <x:c r="V242" t="n">
        <x:f>IFERROR(J242/I242*100,0)</x:f>
        <x:v>91.53318077803205</x:v>
      </x:c>
      <x:c r="W242" t="n">
        <x:f>IFERROR(K242/J242*100,0)</x:f>
        <x:v>3.3125</x:v>
      </x:c>
      <x:c r="X242" t="n">
        <x:f>IFERROR(H242/F242*100,0)</x:f>
        <x:v>7.111111111111111</x:v>
      </x:c>
      <x:c r="Y242" t="n">
        <x:f>J242-K242</x:f>
        <x:v>1547</x:v>
      </x:c>
      <x:c r="Z242" t="n">
        <x:f>MAX(0,MIN(100,(V242/100)*(1-X242/100)*(1-W242/100)*100))</x:f>
        <x:v>82.20772946859904</x:v>
      </x:c>
    </x:row>
    <x:row r="243">
      <x:c r="A243" s="12" t="n">
        <x:v>46107</x:v>
      </x:c>
      <x:c r="B243" t="str">
        <x:v>B</x:v>
      </x:c>
      <x:c r="C243" t="str">
        <x:v>Desiccated Coconut</x:v>
      </x:c>
      <x:c r="D243" t="str">
        <x:v>Dryer 3</x:v>
      </x:c>
      <x:c r="E243" t="str">
        <x:v>Sup 3</x:v>
      </x:c>
      <x:c r="F243" t="n">
        <x:v>420</x:v>
      </x:c>
      <x:c r="G243" t="n">
        <x:v>40</x:v>
      </x:c>
      <x:c r="H243" t="n">
        <x:v>57</x:v>
      </x:c>
      <x:c r="I243" t="n">
        <x:v>1246</x:v>
      </x:c>
      <x:c r="J243" t="n">
        <x:v>943</x:v>
      </x:c>
      <x:c r="K243" t="n">
        <x:v>28</x:v>
      </x:c>
      <x:c r="L243" t="n">
        <x:v>6</x:v>
      </x:c>
      <x:c r="M243" t="n">
        <x:v>93.9</x:v>
      </x:c>
      <x:c r="N243" t="n">
        <x:v>78.6</x:v>
      </x:c>
      <x:c r="O243" t="n">
        <x:v>65.8</x:v>
      </x:c>
      <x:c r="P243" t="n">
        <x:v>3</x:v>
      </x:c>
      <x:c r="Q243" t="str">
        <x:v>Near miss</x:v>
      </x:c>
      <x:c r="R243" t="str">
        <x:v>In progress</x:v>
      </x:c>
      <x:c r="S243" t="str">
        <x:v>Preventive</x:v>
      </x:c>
      <x:c r="T243" t="n">
        <x:v>1.43</x:v>
      </x:c>
      <x:c r="U243" t="n">
        <x:v>8.4</x:v>
      </x:c>
      <x:c r="V243" t="n">
        <x:f>IFERROR(J243/I243*100,0)</x:f>
        <x:v>75.68218298555377</x:v>
      </x:c>
      <x:c r="W243" t="n">
        <x:f>IFERROR(K243/J243*100,0)</x:f>
        <x:v>2.9692470837751856</x:v>
      </x:c>
      <x:c r="X243" t="n">
        <x:f>IFERROR(H243/F243*100,0)</x:f>
        <x:v>13.571428571428571</x:v>
      </x:c>
      <x:c r="Y243" t="n">
        <x:f>J243-K243</x:f>
        <x:v>915</x:v>
      </x:c>
      <x:c r="Z243" t="n">
        <x:f>MAX(0,MIN(100,(V243/100)*(1-X243/100)*(1-W243/100)*100))</x:f>
        <x:v>63.46881449208897</x:v>
      </x:c>
    </x:row>
    <x:row r="244">
      <x:c r="A244" s="12" t="n">
        <x:v>46107</x:v>
      </x:c>
      <x:c r="B244" t="str">
        <x:v>C</x:v>
      </x:c>
      <x:c r="C244" t="str">
        <x:v>Dried Mango</x:v>
      </x:c>
      <x:c r="D244" t="str">
        <x:v>Dryer 4</x:v>
      </x:c>
      <x:c r="E244" t="str">
        <x:v>Sup 3</x:v>
      </x:c>
      <x:c r="F244" t="n">
        <x:v>450</x:v>
      </x:c>
      <x:c r="G244" t="n">
        <x:v>40</x:v>
      </x:c>
      <x:c r="H244" t="n">
        <x:v>58</x:v>
      </x:c>
      <x:c r="I244" t="n">
        <x:v>1720</x:v>
      </x:c>
      <x:c r="J244" t="n">
        <x:v>1406</x:v>
      </x:c>
      <x:c r="K244" t="n">
        <x:v>54</x:v>
      </x:c>
      <x:c r="L244" t="n">
        <x:v>28</x:v>
      </x:c>
      <x:c r="M244" t="n">
        <x:v>81.2</x:v>
      </x:c>
      <x:c r="N244" t="n">
        <x:v>70.9</x:v>
      </x:c>
      <x:c r="O244" t="n">
        <x:v>77.1</x:v>
      </x:c>
      <x:c r="P244" t="n">
        <x:v>0</x:v>
      </x:c>
      <x:c r="Q244" t="str">
        <x:v>No incident</x:v>
      </x:c>
      <x:c r="R244" t="str">
        <x:v>N/A</x:v>
      </x:c>
      <x:c r="S244" t="str">
        <x:v>Preventive</x:v>
      </x:c>
      <x:c r="T244" t="n">
        <x:v>0.5</x:v>
      </x:c>
      <x:c r="U244" t="n">
        <x:v>11.9</x:v>
      </x:c>
      <x:c r="V244" t="n">
        <x:f>IFERROR(J244/I244*100,0)</x:f>
        <x:v>81.74418604651163</x:v>
      </x:c>
      <x:c r="W244" t="n">
        <x:f>IFERROR(K244/J244*100,0)</x:f>
        <x:v>3.8406827880512093</x:v>
      </x:c>
      <x:c r="X244" t="n">
        <x:f>IFERROR(H244/F244*100,0)</x:f>
        <x:v>12.88888888888889</x:v>
      </x:c>
      <x:c r="Y244" t="n">
        <x:f>J244-K244</x:f>
        <x:v>1352</x:v>
      </x:c>
      <x:c r="Z244" t="n">
        <x:f>MAX(0,MIN(100,(V244/100)*(1-X244/100)*(1-W244/100)*100))</x:f>
        <x:v>68.47338501291989</x:v>
      </x:c>
    </x:row>
    <x:row r="245">
      <x:c r="A245" s="12" t="n">
        <x:v>46108</x:v>
      </x:c>
      <x:c r="B245" t="str">
        <x:v>A</x:v>
      </x:c>
      <x:c r="C245" t="str">
        <x:v>Desiccated Coconut</x:v>
      </x:c>
      <x:c r="D245" t="str">
        <x:v>Dryer 1</x:v>
      </x:c>
      <x:c r="E245" t="str">
        <x:v>Sup 2</x:v>
      </x:c>
      <x:c r="F245" t="n">
        <x:v>450</x:v>
      </x:c>
      <x:c r="G245" t="n">
        <x:v>0</x:v>
      </x:c>
      <x:c r="H245" t="n">
        <x:v>53</x:v>
      </x:c>
      <x:c r="I245" t="n">
        <x:v>1157</x:v>
      </x:c>
      <x:c r="J245" t="n">
        <x:v>975</x:v>
      </x:c>
      <x:c r="K245" t="n">
        <x:v>25</x:v>
      </x:c>
      <x:c r="L245" t="n">
        <x:v>10</x:v>
      </x:c>
      <x:c r="M245" t="n">
        <x:v>87.7</x:v>
      </x:c>
      <x:c r="N245" t="n">
        <x:v>72</x:v>
      </x:c>
      <x:c r="O245" t="n">
        <x:v>73.6</x:v>
      </x:c>
      <x:c r="P245" t="n">
        <x:v>0</x:v>
      </x:c>
      <x:c r="Q245" t="str">
        <x:v>No incident</x:v>
      </x:c>
      <x:c r="R245" t="str">
        <x:v>N/A</x:v>
      </x:c>
      <x:c r="S245" t="str">
        <x:v>Inspection</x:v>
      </x:c>
      <x:c r="T245" t="n">
        <x:v>0.67</x:v>
      </x:c>
      <x:c r="U245" t="n">
        <x:v>7.9</x:v>
      </x:c>
      <x:c r="V245" t="n">
        <x:f>IFERROR(J245/I245*100,0)</x:f>
        <x:v>84.26966292134831</x:v>
      </x:c>
      <x:c r="W245" t="n">
        <x:f>IFERROR(K245/J245*100,0)</x:f>
        <x:v>2.564102564102564</x:v>
      </x:c>
      <x:c r="X245" t="n">
        <x:f>IFERROR(H245/F245*100,0)</x:f>
        <x:v>11.777777777777777</x:v>
      </x:c>
      <x:c r="Y245" t="n">
        <x:f>J245-K245</x:f>
        <x:v>950</x:v>
      </x:c>
      <x:c r="Z245" t="n">
        <x:f>MAX(0,MIN(100,(V245/100)*(1-X245/100)*(1-W245/100)*100))</x:f>
        <x:v>72.4382982809949</x:v>
      </x:c>
    </x:row>
    <x:row r="246">
      <x:c r="A246" s="12" t="n">
        <x:v>46108</x:v>
      </x:c>
      <x:c r="B246" t="str">
        <x:v>B</x:v>
      </x:c>
      <x:c r="C246" t="str">
        <x:v>Desiccated Coconut</x:v>
      </x:c>
      <x:c r="D246" t="str">
        <x:v>Dryer 1</x:v>
      </x:c>
      <x:c r="E246" t="str">
        <x:v>Sup 3</x:v>
      </x:c>
      <x:c r="F246" t="n">
        <x:v>450</x:v>
      </x:c>
      <x:c r="G246" t="n">
        <x:v>40</x:v>
      </x:c>
      <x:c r="H246" t="n">
        <x:v>38</x:v>
      </x:c>
      <x:c r="I246" t="n">
        <x:v>1272</x:v>
      </x:c>
      <x:c r="J246" t="n">
        <x:v>1060</x:v>
      </x:c>
      <x:c r="K246" t="n">
        <x:v>20</x:v>
      </x:c>
      <x:c r="L246" t="n">
        <x:v>12</x:v>
      </x:c>
      <x:c r="M246" t="n">
        <x:v>80.3</x:v>
      </x:c>
      <x:c r="N246" t="n">
        <x:v>77.4</x:v>
      </x:c>
      <x:c r="O246" t="n">
        <x:v>69.8</x:v>
      </x:c>
      <x:c r="P246" t="n">
        <x:v>0</x:v>
      </x:c>
      <x:c r="Q246" t="str">
        <x:v>No incident</x:v>
      </x:c>
      <x:c r="R246" t="str">
        <x:v>N/A</x:v>
      </x:c>
      <x:c r="S246" t="str">
        <x:v>Preventive</x:v>
      </x:c>
      <x:c r="T246" t="n">
        <x:v>0.83</x:v>
      </x:c>
      <x:c r="U246" t="n">
        <x:v>8</x:v>
      </x:c>
      <x:c r="V246" t="n">
        <x:f>IFERROR(J246/I246*100,0)</x:f>
        <x:v>83.33333333333334</x:v>
      </x:c>
      <x:c r="W246" t="n">
        <x:f>IFERROR(K246/J246*100,0)</x:f>
        <x:v>1.8867924528301887</x:v>
      </x:c>
      <x:c r="X246" t="n">
        <x:f>IFERROR(H246/F246*100,0)</x:f>
        <x:v>8.444444444444445</x:v>
      </x:c>
      <x:c r="Y246" t="n">
        <x:f>J246-K246</x:f>
        <x:v>1040</x:v>
      </x:c>
      <x:c r="Z246" t="n">
        <x:f>MAX(0,MIN(100,(V246/100)*(1-X246/100)*(1-W246/100)*100))</x:f>
        <x:v>74.85674353598884</x:v>
      </x:c>
    </x:row>
    <x:row r="247">
      <x:c r="A247" s="12" t="n">
        <x:v>46108</x:v>
      </x:c>
      <x:c r="B247" t="str">
        <x:v>C</x:v>
      </x:c>
      <x:c r="C247" t="str">
        <x:v>Desiccated Coconut</x:v>
      </x:c>
      <x:c r="D247" t="str">
        <x:v>Dryer 4</x:v>
      </x:c>
      <x:c r="E247" t="str">
        <x:v>Sup 1</x:v>
      </x:c>
      <x:c r="F247" t="n">
        <x:v>480</x:v>
      </x:c>
      <x:c r="G247" t="n">
        <x:v>20</x:v>
      </x:c>
      <x:c r="H247" t="n">
        <x:v>36</x:v>
      </x:c>
      <x:c r="I247" t="n">
        <x:v>1107</x:v>
      </x:c>
      <x:c r="J247" t="n">
        <x:v>904</x:v>
      </x:c>
      <x:c r="K247" t="n">
        <x:v>21</x:v>
      </x:c>
      <x:c r="L247" t="n">
        <x:v>12</x:v>
      </x:c>
      <x:c r="M247" t="n">
        <x:v>88.2</x:v>
      </x:c>
      <x:c r="N247" t="n">
        <x:v>66</x:v>
      </x:c>
      <x:c r="O247" t="n">
        <x:v>76.3</x:v>
      </x:c>
      <x:c r="P247" t="n">
        <x:v>4</x:v>
      </x:c>
      <x:c r="Q247" t="str">
        <x:v>No incident</x:v>
      </x:c>
      <x:c r="R247" t="str">
        <x:v>N/A</x:v>
      </x:c>
      <x:c r="S247" t="str">
        <x:v>Corrective</x:v>
      </x:c>
      <x:c r="T247" t="n">
        <x:v>1.7</x:v>
      </x:c>
      <x:c r="U247" t="n">
        <x:v>8</x:v>
      </x:c>
      <x:c r="V247" t="n">
        <x:f>IFERROR(J247/I247*100,0)</x:f>
        <x:v>81.66214995483288</x:v>
      </x:c>
      <x:c r="W247" t="n">
        <x:f>IFERROR(K247/J247*100,0)</x:f>
        <x:v>2.3230088495575223</x:v>
      </x:c>
      <x:c r="X247" t="n">
        <x:f>IFERROR(H247/F247*100,0)</x:f>
        <x:v>7.5</x:v>
      </x:c>
      <x:c r="Y247" t="n">
        <x:f>J247-K247</x:f>
        <x:v>883</x:v>
      </x:c>
      <x:c r="Z247" t="n">
        <x:f>MAX(0,MIN(100,(V247/100)*(1-X247/100)*(1-W247/100)*100))</x:f>
        <x:v>73.78274616079496</x:v>
      </x:c>
    </x:row>
    <x:row r="248">
      <x:c r="A248" s="12" t="n">
        <x:v>46109</x:v>
      </x:c>
      <x:c r="B248" t="str">
        <x:v>A</x:v>
      </x:c>
      <x:c r="C248" t="str">
        <x:v>Dried Pineapple</x:v>
      </x:c>
      <x:c r="D248" t="str">
        <x:v>Dryer 4</x:v>
      </x:c>
      <x:c r="E248" t="str">
        <x:v>Sup 1</x:v>
      </x:c>
      <x:c r="F248" t="n">
        <x:v>450</x:v>
      </x:c>
      <x:c r="G248" t="n">
        <x:v>0</x:v>
      </x:c>
      <x:c r="H248" t="n">
        <x:v>28</x:v>
      </x:c>
      <x:c r="I248" t="n">
        <x:v>1799</x:v>
      </x:c>
      <x:c r="J248" t="n">
        <x:v>1552</x:v>
      </x:c>
      <x:c r="K248" t="n">
        <x:v>48</x:v>
      </x:c>
      <x:c r="L248" t="n">
        <x:v>11</x:v>
      </x:c>
      <x:c r="M248" t="n">
        <x:v>92.1</x:v>
      </x:c>
      <x:c r="N248" t="n">
        <x:v>86.3</x:v>
      </x:c>
      <x:c r="O248" t="n">
        <x:v>88</x:v>
      </x:c>
      <x:c r="P248" t="n">
        <x:v>4</x:v>
      </x:c>
      <x:c r="Q248" t="str">
        <x:v>No incident</x:v>
      </x:c>
      <x:c r="R248" t="str">
        <x:v>N/A</x:v>
      </x:c>
      <x:c r="S248" t="str">
        <x:v>Preventive</x:v>
      </x:c>
      <x:c r="T248" t="n">
        <x:v>1.13</x:v>
      </x:c>
      <x:c r="U248" t="n">
        <x:v>12.2</x:v>
      </x:c>
      <x:c r="V248" t="n">
        <x:f>IFERROR(J248/I248*100,0)</x:f>
        <x:v>86.27015008337966</x:v>
      </x:c>
      <x:c r="W248" t="n">
        <x:f>IFERROR(K248/J248*100,0)</x:f>
        <x:v>3.0927835051546393</x:v>
      </x:c>
      <x:c r="X248" t="n">
        <x:f>IFERROR(H248/F248*100,0)</x:f>
        <x:v>6.222222222222222</x:v>
      </x:c>
      <x:c r="Y248" t="n">
        <x:f>J248-K248</x:f>
        <x:v>1504</x:v>
      </x:c>
      <x:c r="Z248" t="n">
        <x:f>MAX(0,MIN(100,(V248/100)*(1-X248/100)*(1-W248/100)*100))</x:f>
        <x:v>78.40009882033229</x:v>
      </x:c>
    </x:row>
    <x:row r="249">
      <x:c r="A249" s="12" t="n">
        <x:v>46109</x:v>
      </x:c>
      <x:c r="B249" t="str">
        <x:v>B</x:v>
      </x:c>
      <x:c r="C249" t="str">
        <x:v>Dried Pineapple</x:v>
      </x:c>
      <x:c r="D249" t="str">
        <x:v>Dryer 4</x:v>
      </x:c>
      <x:c r="E249" t="str">
        <x:v>Sup 2</x:v>
      </x:c>
      <x:c r="F249" t="n">
        <x:v>480</x:v>
      </x:c>
      <x:c r="G249" t="n">
        <x:v>30</x:v>
      </x:c>
      <x:c r="H249" t="n">
        <x:v>48</x:v>
      </x:c>
      <x:c r="I249" t="n">
        <x:v>1622</x:v>
      </x:c>
      <x:c r="J249" t="n">
        <x:v>1446</x:v>
      </x:c>
      <x:c r="K249" t="n">
        <x:v>33</x:v>
      </x:c>
      <x:c r="L249" t="n">
        <x:v>18</x:v>
      </x:c>
      <x:c r="M249" t="n">
        <x:v>91.7</x:v>
      </x:c>
      <x:c r="N249" t="n">
        <x:v>74.6</x:v>
      </x:c>
      <x:c r="O249" t="n">
        <x:v>89.1</x:v>
      </x:c>
      <x:c r="P249" t="n">
        <x:v>3</x:v>
      </x:c>
      <x:c r="Q249" t="str">
        <x:v>No incident</x:v>
      </x:c>
      <x:c r="R249" t="str">
        <x:v>N/A</x:v>
      </x:c>
      <x:c r="S249" t="str">
        <x:v>Corrective</x:v>
      </x:c>
      <x:c r="T249" t="n">
        <x:v>1.55</x:v>
      </x:c>
      <x:c r="U249" t="n">
        <x:v>12.2</x:v>
      </x:c>
      <x:c r="V249" t="n">
        <x:f>IFERROR(J249/I249*100,0)</x:f>
        <x:v>89.14919852034525</x:v>
      </x:c>
      <x:c r="W249" t="n">
        <x:f>IFERROR(K249/J249*100,0)</x:f>
        <x:v>2.2821576763485476</x:v>
      </x:c>
      <x:c r="X249" t="n">
        <x:f>IFERROR(H249/F249*100,0)</x:f>
        <x:v>10</x:v>
      </x:c>
      <x:c r="Y249" t="n">
        <x:f>J249-K249</x:f>
        <x:v>1413</x:v>
      </x:c>
      <x:c r="Z249" t="n">
        <x:f>MAX(0,MIN(100,(V249/100)*(1-X249/100)*(1-W249/100)*100))</x:f>
        <x:v>78.403205918619</x:v>
      </x:c>
    </x:row>
    <x:row r="250">
      <x:c r="A250" s="12" t="n">
        <x:v>46109</x:v>
      </x:c>
      <x:c r="B250" t="str">
        <x:v>C</x:v>
      </x:c>
      <x:c r="C250" t="str">
        <x:v>Dried Pineapple</x:v>
      </x:c>
      <x:c r="D250" t="str">
        <x:v>Dryer 1</x:v>
      </x:c>
      <x:c r="E250" t="str">
        <x:v>Sup 3</x:v>
      </x:c>
      <x:c r="F250" t="n">
        <x:v>480</x:v>
      </x:c>
      <x:c r="G250" t="n">
        <x:v>30</x:v>
      </x:c>
      <x:c r="H250" t="n">
        <x:v>8</x:v>
      </x:c>
      <x:c r="I250" t="n">
        <x:v>1748</x:v>
      </x:c>
      <x:c r="J250" t="n">
        <x:v>1773</x:v>
      </x:c>
      <x:c r="K250" t="n">
        <x:v>71</x:v>
      </x:c>
      <x:c r="L250" t="n">
        <x:v>39</x:v>
      </x:c>
      <x:c r="M250" t="n">
        <x:v>85.5</x:v>
      </x:c>
      <x:c r="N250" t="n">
        <x:v>75.2</x:v>
      </x:c>
      <x:c r="O250" t="n">
        <x:v>73.7</x:v>
      </x:c>
      <x:c r="P250" t="n">
        <x:v>4</x:v>
      </x:c>
      <x:c r="Q250" t="str">
        <x:v>No incident</x:v>
      </x:c>
      <x:c r="R250" t="str">
        <x:v>N/A</x:v>
      </x:c>
      <x:c r="S250" t="str">
        <x:v>Corrective</x:v>
      </x:c>
      <x:c r="T250" t="n">
        <x:v>1.01</x:v>
      </x:c>
      <x:c r="U250" t="n">
        <x:v>15.7</x:v>
      </x:c>
      <x:c r="V250" t="n">
        <x:f>IFERROR(J250/I250*100,0)</x:f>
        <x:v>101.43020594965675</x:v>
      </x:c>
      <x:c r="W250" t="n">
        <x:f>IFERROR(K250/J250*100,0)</x:f>
        <x:v>4.004512126339538</x:v>
      </x:c>
      <x:c r="X250" t="n">
        <x:f>IFERROR(H250/F250*100,0)</x:f>
        <x:v>1.6666666666666667</x:v>
      </x:c>
      <x:c r="Y250" t="n">
        <x:f>J250-K250</x:f>
        <x:v>1702</x:v>
      </x:c>
      <x:c r="Z250" t="n">
        <x:f>MAX(0,MIN(100,(V250/100)*(1-X250/100)*(1-W250/100)*100))</x:f>
        <x:v>95.74561403508771</x:v>
      </x:c>
    </x:row>
    <x:row r="251">
      <x:c r="A251" s="12" t="n">
        <x:v>46110</x:v>
      </x:c>
      <x:c r="B251" t="str">
        <x:v>A</x:v>
      </x:c>
      <x:c r="C251" t="str">
        <x:v>Dried Pineapple</x:v>
      </x:c>
      <x:c r="D251" t="str">
        <x:v>Dryer 4</x:v>
      </x:c>
      <x:c r="E251" t="str">
        <x:v>Sup 1</x:v>
      </x:c>
      <x:c r="F251" t="n">
        <x:v>480</x:v>
      </x:c>
      <x:c r="G251" t="n">
        <x:v>0</x:v>
      </x:c>
      <x:c r="H251" t="n">
        <x:v>53</x:v>
      </x:c>
      <x:c r="I251" t="n">
        <x:v>1654</x:v>
      </x:c>
      <x:c r="J251" t="n">
        <x:v>1343</x:v>
      </x:c>
      <x:c r="K251" t="n">
        <x:v>35</x:v>
      </x:c>
      <x:c r="L251" t="n">
        <x:v>23</x:v>
      </x:c>
      <x:c r="M251" t="n">
        <x:v>93.8</x:v>
      </x:c>
      <x:c r="N251" t="n">
        <x:v>76.2</x:v>
      </x:c>
      <x:c r="O251" t="n">
        <x:v>83.3</x:v>
      </x:c>
      <x:c r="P251" t="n">
        <x:v>2</x:v>
      </x:c>
      <x:c r="Q251" t="str">
        <x:v>No incident</x:v>
      </x:c>
      <x:c r="R251" t="str">
        <x:v>N/A</x:v>
      </x:c>
      <x:c r="S251" t="str">
        <x:v>Corrective</x:v>
      </x:c>
      <x:c r="T251" t="n">
        <x:v>1.7</x:v>
      </x:c>
      <x:c r="U251" t="n">
        <x:v>11.4</x:v>
      </x:c>
      <x:c r="V251" t="n">
        <x:f>IFERROR(J251/I251*100,0)</x:f>
        <x:v>81.19709794437728</x:v>
      </x:c>
      <x:c r="W251" t="n">
        <x:f>IFERROR(K251/J251*100,0)</x:f>
        <x:v>2.6061057334326136</x:v>
      </x:c>
      <x:c r="X251" t="n">
        <x:f>IFERROR(H251/F251*100,0)</x:f>
        <x:v>11.041666666666666</x:v>
      </x:c>
      <x:c r="Y251" t="n">
        <x:f>J251-K251</x:f>
        <x:v>1308</x:v>
      </x:c>
      <x:c r="Z251" t="n">
        <x:f>MAX(0,MIN(100,(V251/100)*(1-X251/100)*(1-W251/100)*100))</x:f>
        <x:v>70.34915356711005</x:v>
      </x:c>
    </x:row>
    <x:row r="252">
      <x:c r="A252" s="12" t="n">
        <x:v>46110</x:v>
      </x:c>
      <x:c r="B252" t="str">
        <x:v>B</x:v>
      </x:c>
      <x:c r="C252" t="str">
        <x:v>Dried Mango</x:v>
      </x:c>
      <x:c r="D252" t="str">
        <x:v>Dryer 2</x:v>
      </x:c>
      <x:c r="E252" t="str">
        <x:v>Sup 2</x:v>
      </x:c>
      <x:c r="F252" t="n">
        <x:v>450</x:v>
      </x:c>
      <x:c r="G252" t="n">
        <x:v>20</x:v>
      </x:c>
      <x:c r="H252" t="n">
        <x:v>40</x:v>
      </x:c>
      <x:c r="I252" t="n">
        <x:v>1768</x:v>
      </x:c>
      <x:c r="J252" t="n">
        <x:v>1451</x:v>
      </x:c>
      <x:c r="K252" t="n">
        <x:v>55</x:v>
      </x:c>
      <x:c r="L252" t="n">
        <x:v>17</x:v>
      </x:c>
      <x:c r="M252" t="n">
        <x:v>98.5</x:v>
      </x:c>
      <x:c r="N252" t="n">
        <x:v>85.7</x:v>
      </x:c>
      <x:c r="O252" t="n">
        <x:v>84.8</x:v>
      </x:c>
      <x:c r="P252" t="n">
        <x:v>7</x:v>
      </x:c>
      <x:c r="Q252" t="str">
        <x:v>No incident</x:v>
      </x:c>
      <x:c r="R252" t="str">
        <x:v>N/A</x:v>
      </x:c>
      <x:c r="S252" t="str">
        <x:v>Inspection</x:v>
      </x:c>
      <x:c r="T252" t="n">
        <x:v>0.5</x:v>
      </x:c>
      <x:c r="U252" t="n">
        <x:v>11.3</x:v>
      </x:c>
      <x:c r="V252" t="n">
        <x:f>IFERROR(J252/I252*100,0)</x:f>
        <x:v>82.07013574660633</x:v>
      </x:c>
      <x:c r="W252" t="n">
        <x:f>IFERROR(K252/J252*100,0)</x:f>
        <x:v>3.790489317711923</x:v>
      </x:c>
      <x:c r="X252" t="n">
        <x:f>IFERROR(H252/F252*100,0)</x:f>
        <x:v>8.88888888888889</x:v>
      </x:c>
      <x:c r="Y252" t="n">
        <x:f>J252-K252</x:f>
        <x:v>1396</x:v>
      </x:c>
      <x:c r="Z252" t="n">
        <x:f>MAX(0,MIN(100,(V252/100)*(1-X252/100)*(1-W252/100)*100))</x:f>
        <x:v>71.94067370537958</x:v>
      </x:c>
    </x:row>
    <x:row r="253">
      <x:c r="A253" s="12" t="n">
        <x:v>46110</x:v>
      </x:c>
      <x:c r="B253" t="str">
        <x:v>C</x:v>
      </x:c>
      <x:c r="C253" t="str">
        <x:v>Dried Pineapple</x:v>
      </x:c>
      <x:c r="D253" t="str">
        <x:v>Dryer 1</x:v>
      </x:c>
      <x:c r="E253" t="str">
        <x:v>Sup 2</x:v>
      </x:c>
      <x:c r="F253" t="n">
        <x:v>420</x:v>
      </x:c>
      <x:c r="G253" t="n">
        <x:v>20</x:v>
      </x:c>
      <x:c r="H253" t="n">
        <x:v>56</x:v>
      </x:c>
      <x:c r="I253" t="n">
        <x:v>1619</x:v>
      </x:c>
      <x:c r="J253" t="n">
        <x:v>1250</x:v>
      </x:c>
      <x:c r="K253" t="n">
        <x:v>27</x:v>
      </x:c>
      <x:c r="L253" t="n">
        <x:v>6</x:v>
      </x:c>
      <x:c r="M253" t="n">
        <x:v>89.6</x:v>
      </x:c>
      <x:c r="N253" t="n">
        <x:v>72.5</x:v>
      </x:c>
      <x:c r="O253" t="n">
        <x:v>75.7</x:v>
      </x:c>
      <x:c r="P253" t="n">
        <x:v>5</x:v>
      </x:c>
      <x:c r="Q253" t="str">
        <x:v>No incident</x:v>
      </x:c>
      <x:c r="R253" t="str">
        <x:v>N/A</x:v>
      </x:c>
      <x:c r="S253" t="str">
        <x:v>Preventive</x:v>
      </x:c>
      <x:c r="T253" t="n">
        <x:v>1.35</x:v>
      </x:c>
      <x:c r="U253" t="n">
        <x:v>10.2</x:v>
      </x:c>
      <x:c r="V253" t="n">
        <x:f>IFERROR(J253/I253*100,0)</x:f>
        <x:v>77.20815318097591</x:v>
      </x:c>
      <x:c r="W253" t="n">
        <x:f>IFERROR(K253/J253*100,0)</x:f>
        <x:v>2.16</x:v>
      </x:c>
      <x:c r="X253" t="n">
        <x:f>IFERROR(H253/F253*100,0)</x:f>
        <x:v>13.333333333333334</x:v>
      </x:c>
      <x:c r="Y253" t="n">
        <x:f>J253-K253</x:f>
        <x:v>1223</x:v>
      </x:c>
      <x:c r="Z253" t="n">
        <x:f>MAX(0,MIN(100,(V253/100)*(1-X253/100)*(1-W253/100)*100))</x:f>
        <x:v>65.46839612929793</x:v>
      </x:c>
    </x:row>
    <x:row r="254">
      <x:c r="A254" s="12" t="n">
        <x:v>46111</x:v>
      </x:c>
      <x:c r="B254" t="str">
        <x:v>A</x:v>
      </x:c>
      <x:c r="C254" t="str">
        <x:v>Dried Mango</x:v>
      </x:c>
      <x:c r="D254" t="str">
        <x:v>Dryer 3</x:v>
      </x:c>
      <x:c r="E254" t="str">
        <x:v>Sup 3</x:v>
      </x:c>
      <x:c r="F254" t="n">
        <x:v>450</x:v>
      </x:c>
      <x:c r="G254" t="n">
        <x:v>20</x:v>
      </x:c>
      <x:c r="H254" t="n">
        <x:v>37</x:v>
      </x:c>
      <x:c r="I254" t="n">
        <x:v>1630</x:v>
      </x:c>
      <x:c r="J254" t="n">
        <x:v>1491</x:v>
      </x:c>
      <x:c r="K254" t="n">
        <x:v>61</x:v>
      </x:c>
      <x:c r="L254" t="n">
        <x:v>33</x:v>
      </x:c>
      <x:c r="M254" t="n">
        <x:v>93.6</x:v>
      </x:c>
      <x:c r="N254" t="n">
        <x:v>92.8</x:v>
      </x:c>
      <x:c r="O254" t="n">
        <x:v>70.4</x:v>
      </x:c>
      <x:c r="P254" t="n">
        <x:v>4</x:v>
      </x:c>
      <x:c r="Q254" t="str">
        <x:v>No incident</x:v>
      </x:c>
      <x:c r="R254" t="str">
        <x:v>N/A</x:v>
      </x:c>
      <x:c r="S254" t="str">
        <x:v>Inspection</x:v>
      </x:c>
      <x:c r="T254" t="n">
        <x:v>0.89</x:v>
      </x:c>
      <x:c r="U254" t="n">
        <x:v>12</x:v>
      </x:c>
      <x:c r="V254" t="n">
        <x:f>IFERROR(J254/I254*100,0)</x:f>
        <x:v>91.47239263803681</x:v>
      </x:c>
      <x:c r="W254" t="n">
        <x:f>IFERROR(K254/J254*100,0)</x:f>
        <x:v>4.09121395036888</x:v>
      </x:c>
      <x:c r="X254" t="n">
        <x:f>IFERROR(H254/F254*100,0)</x:f>
        <x:v>8.222222222222223</x:v>
      </x:c>
      <x:c r="Y254" t="n">
        <x:f>J254-K254</x:f>
        <x:v>1430</x:v>
      </x:c>
      <x:c r="Z254" t="n">
        <x:f>MAX(0,MIN(100,(V254/100)*(1-X254/100)*(1-W254/100)*100))</x:f>
        <x:v>80.51670074982958</x:v>
      </x:c>
    </x:row>
    <x:row r="255">
      <x:c r="A255" s="12" t="n">
        <x:v>46111</x:v>
      </x:c>
      <x:c r="B255" t="str">
        <x:v>B</x:v>
      </x:c>
      <x:c r="C255" t="str">
        <x:v>Desiccated Coconut</x:v>
      </x:c>
      <x:c r="D255" t="str">
        <x:v>Dryer 2</x:v>
      </x:c>
      <x:c r="E255" t="str">
        <x:v>Sup 2</x:v>
      </x:c>
      <x:c r="F255" t="n">
        <x:v>420</x:v>
      </x:c>
      <x:c r="G255" t="n">
        <x:v>0</x:v>
      </x:c>
      <x:c r="H255" t="n">
        <x:v>43</x:v>
      </x:c>
      <x:c r="I255" t="n">
        <x:v>1240</x:v>
      </x:c>
      <x:c r="J255" t="n">
        <x:v>1143</x:v>
      </x:c>
      <x:c r="K255" t="n">
        <x:v>24</x:v>
      </x:c>
      <x:c r="L255" t="n">
        <x:v>5</x:v>
      </x:c>
      <x:c r="M255" t="n">
        <x:v>85</x:v>
      </x:c>
      <x:c r="N255" t="n">
        <x:v>85.4</x:v>
      </x:c>
      <x:c r="O255" t="n">
        <x:v>88.9</x:v>
      </x:c>
      <x:c r="P255" t="n">
        <x:v>2</x:v>
      </x:c>
      <x:c r="Q255" t="str">
        <x:v>No incident</x:v>
      </x:c>
      <x:c r="R255" t="str">
        <x:v>N/A</x:v>
      </x:c>
      <x:c r="S255" t="str">
        <x:v>Inspection</x:v>
      </x:c>
      <x:c r="T255" t="n">
        <x:v>0.61</x:v>
      </x:c>
      <x:c r="U255" t="n">
        <x:v>9.2</x:v>
      </x:c>
      <x:c r="V255" t="n">
        <x:f>IFERROR(J255/I255*100,0)</x:f>
        <x:v>92.1774193548387</x:v>
      </x:c>
      <x:c r="W255" t="n">
        <x:f>IFERROR(K255/J255*100,0)</x:f>
        <x:v>2.099737532808399</x:v>
      </x:c>
      <x:c r="X255" t="n">
        <x:f>IFERROR(H255/F255*100,0)</x:f>
        <x:v>10.238095238095237</x:v>
      </x:c>
      <x:c r="Y255" t="n">
        <x:f>J255-K255</x:f>
        <x:v>1119</x:v>
      </x:c>
      <x:c r="Z255" t="n">
        <x:f>MAX(0,MIN(100,(V255/100)*(1-X255/100)*(1-W255/100)*100))</x:f>
        <x:v>81.00288018433179</x:v>
      </x:c>
    </x:row>
    <x:row r="256">
      <x:c r="A256" s="12" t="n">
        <x:v>46111</x:v>
      </x:c>
      <x:c r="B256" t="str">
        <x:v>C</x:v>
      </x:c>
      <x:c r="C256" t="str">
        <x:v>Dried Mango</x:v>
      </x:c>
      <x:c r="D256" t="str">
        <x:v>Dryer 3</x:v>
      </x:c>
      <x:c r="E256" t="str">
        <x:v>Sup 1</x:v>
      </x:c>
      <x:c r="F256" t="n">
        <x:v>420</x:v>
      </x:c>
      <x:c r="G256" t="n">
        <x:v>30</x:v>
      </x:c>
      <x:c r="H256" t="n">
        <x:v>79</x:v>
      </x:c>
      <x:c r="I256" t="n">
        <x:v>1634</x:v>
      </x:c>
      <x:c r="J256" t="n">
        <x:v>1154</x:v>
      </x:c>
      <x:c r="K256" t="n">
        <x:v>56</x:v>
      </x:c>
      <x:c r="L256" t="n">
        <x:v>30</x:v>
      </x:c>
      <x:c r="M256" t="n">
        <x:v>89.9</x:v>
      </x:c>
      <x:c r="N256" t="n">
        <x:v>69.6</x:v>
      </x:c>
      <x:c r="O256" t="n">
        <x:v>64</x:v>
      </x:c>
      <x:c r="P256" t="n">
        <x:v>3</x:v>
      </x:c>
      <x:c r="Q256" t="str">
        <x:v>No incident</x:v>
      </x:c>
      <x:c r="R256" t="str">
        <x:v>N/A</x:v>
      </x:c>
      <x:c r="S256" t="str">
        <x:v>Corrective</x:v>
      </x:c>
      <x:c r="T256" t="n">
        <x:v>1.4</x:v>
      </x:c>
      <x:c r="U256" t="n">
        <x:v>10.2</x:v>
      </x:c>
      <x:c r="V256" t="n">
        <x:f>IFERROR(J256/I256*100,0)</x:f>
        <x:v>70.62423500611995</x:v>
      </x:c>
      <x:c r="W256" t="n">
        <x:f>IFERROR(K256/J256*100,0)</x:f>
        <x:v>4.852686308492201</x:v>
      </x:c>
      <x:c r="X256" t="n">
        <x:f>IFERROR(H256/F256*100,0)</x:f>
        <x:v>18.80952380952381</x:v>
      </x:c>
      <x:c r="Y256" t="n">
        <x:f>J256-K256</x:f>
        <x:v>1098</x:v>
      </x:c>
      <x:c r="Z256" t="n">
        <x:f>MAX(0,MIN(100,(V256/100)*(1-X256/100)*(1-W256/100)*100))</x:f>
        <x:v>54.55761496765168</x:v>
      </x:c>
    </x:row>
    <x:row r="257">
      <x:c r="A257" s="12" t="n">
        <x:v>46112</x:v>
      </x:c>
      <x:c r="B257" t="str">
        <x:v>A</x:v>
      </x:c>
      <x:c r="C257" t="str">
        <x:v>Dried Mango</x:v>
      </x:c>
      <x:c r="D257" t="str">
        <x:v>Dryer 1</x:v>
      </x:c>
      <x:c r="E257" t="str">
        <x:v>Sup 2</x:v>
      </x:c>
      <x:c r="F257" t="n">
        <x:v>450</x:v>
      </x:c>
      <x:c r="G257" t="n">
        <x:v>30</x:v>
      </x:c>
      <x:c r="H257" t="n">
        <x:v>29</x:v>
      </x:c>
      <x:c r="I257" t="n">
        <x:v>1584</x:v>
      </x:c>
      <x:c r="J257" t="n">
        <x:v>1510</x:v>
      </x:c>
      <x:c r="K257" t="n">
        <x:v>54</x:v>
      </x:c>
      <x:c r="L257" t="n">
        <x:v>12</x:v>
      </x:c>
      <x:c r="M257" t="n">
        <x:v>87</x:v>
      </x:c>
      <x:c r="N257" t="n">
        <x:v>71.1</x:v>
      </x:c>
      <x:c r="O257" t="n">
        <x:v>71.4</x:v>
      </x:c>
      <x:c r="P257" t="n">
        <x:v>2</x:v>
      </x:c>
      <x:c r="Q257" t="str">
        <x:v>No incident</x:v>
      </x:c>
      <x:c r="R257" t="str">
        <x:v>N/A</x:v>
      </x:c>
      <x:c r="S257" t="str">
        <x:v>Corrective</x:v>
      </x:c>
      <x:c r="T257" t="n">
        <x:v>1.59</x:v>
      </x:c>
      <x:c r="U257" t="n">
        <x:v>12.5</x:v>
      </x:c>
      <x:c r="V257" t="n">
        <x:f>IFERROR(J257/I257*100,0)</x:f>
        <x:v>95.32828282828282</x:v>
      </x:c>
      <x:c r="W257" t="n">
        <x:f>IFERROR(K257/J257*100,0)</x:f>
        <x:v>3.576158940397351</x:v>
      </x:c>
      <x:c r="X257" t="n">
        <x:f>IFERROR(H257/F257*100,0)</x:f>
        <x:v>6.444444444444445</x:v>
      </x:c>
      <x:c r="Y257" t="n">
        <x:f>J257-K257</x:f>
        <x:v>1456</x:v>
      </x:c>
      <x:c r="Z257" t="n">
        <x:f>MAX(0,MIN(100,(V257/100)*(1-X257/100)*(1-W257/100)*100))</x:f>
        <x:v>85.99551066217732</x:v>
      </x:c>
    </x:row>
    <x:row r="258">
      <x:c r="A258" s="12" t="n">
        <x:v>46112</x:v>
      </x:c>
      <x:c r="B258" t="str">
        <x:v>B</x:v>
      </x:c>
      <x:c r="C258" t="str">
        <x:v>Dried Mango</x:v>
      </x:c>
      <x:c r="D258" t="str">
        <x:v>Dryer 4</x:v>
      </x:c>
      <x:c r="E258" t="str">
        <x:v>Sup 2</x:v>
      </x:c>
      <x:c r="F258" t="n">
        <x:v>420</x:v>
      </x:c>
      <x:c r="G258" t="n">
        <x:v>30</x:v>
      </x:c>
      <x:c r="H258" t="n">
        <x:v>24</x:v>
      </x:c>
      <x:c r="I258" t="n">
        <x:v>1541</x:v>
      </x:c>
      <x:c r="J258" t="n">
        <x:v>1316</x:v>
      </x:c>
      <x:c r="K258" t="n">
        <x:v>40</x:v>
      </x:c>
      <x:c r="L258" t="n">
        <x:v>13</x:v>
      </x:c>
      <x:c r="M258" t="n">
        <x:v>93.7</x:v>
      </x:c>
      <x:c r="N258" t="n">
        <x:v>70.6</x:v>
      </x:c>
      <x:c r="O258" t="n">
        <x:v>89.6</x:v>
      </x:c>
      <x:c r="P258" t="n">
        <x:v>2</x:v>
      </x:c>
      <x:c r="Q258" t="str">
        <x:v>No incident</x:v>
      </x:c>
      <x:c r="R258" t="str">
        <x:v>N/A</x:v>
      </x:c>
      <x:c r="S258" t="str">
        <x:v>Preventive</x:v>
      </x:c>
      <x:c r="T258" t="n">
        <x:v>0.5</x:v>
      </x:c>
      <x:c r="U258" t="n">
        <x:v>11.4</x:v>
      </x:c>
      <x:c r="V258" t="n">
        <x:f>IFERROR(J258/I258*100,0)</x:f>
        <x:v>85.3990914990266</x:v>
      </x:c>
      <x:c r="W258" t="n">
        <x:f>IFERROR(K258/J258*100,0)</x:f>
        <x:v>3.0395136778115504</x:v>
      </x:c>
      <x:c r="X258" t="n">
        <x:f>IFERROR(H258/F258*100,0)</x:f>
        <x:v>5.714285714285714</x:v>
      </x:c>
      <x:c r="Y258" t="n">
        <x:f>J258-K258</x:f>
        <x:v>1276</x:v>
      </x:c>
      <x:c r="Z258" t="n">
        <x:f>MAX(0,MIN(100,(V258/100)*(1-X258/100)*(1-W258/100)*100))</x:f>
        <x:v>78.07175303606192</x:v>
      </x:c>
    </x:row>
    <x:row r="259">
      <x:c r="A259" s="12" t="n">
        <x:v>46112</x:v>
      </x:c>
      <x:c r="B259" t="str">
        <x:v>C</x:v>
      </x:c>
      <x:c r="C259" t="str">
        <x:v>Dried Pineapple</x:v>
      </x:c>
      <x:c r="D259" t="str">
        <x:v>Dryer 1</x:v>
      </x:c>
      <x:c r="E259" t="str">
        <x:v>Sup 1</x:v>
      </x:c>
      <x:c r="F259" t="n">
        <x:v>450</x:v>
      </x:c>
      <x:c r="G259" t="n">
        <x:v>40</x:v>
      </x:c>
      <x:c r="H259" t="n">
        <x:v>59</x:v>
      </x:c>
      <x:c r="I259" t="n">
        <x:v>1709</x:v>
      </x:c>
      <x:c r="J259" t="n">
        <x:v>1466</x:v>
      </x:c>
      <x:c r="K259" t="n">
        <x:v>49</x:v>
      </x:c>
      <x:c r="L259" t="n">
        <x:v>22</x:v>
      </x:c>
      <x:c r="M259" t="n">
        <x:v>82.6</x:v>
      </x:c>
      <x:c r="N259" t="n">
        <x:v>70.2</x:v>
      </x:c>
      <x:c r="O259" t="n">
        <x:v>78.1</x:v>
      </x:c>
      <x:c r="P259" t="n">
        <x:v>5</x:v>
      </x:c>
      <x:c r="Q259" t="str">
        <x:v>Near miss</x:v>
      </x:c>
      <x:c r="R259" t="str">
        <x:v>In progress</x:v>
      </x:c>
      <x:c r="S259" t="str">
        <x:v>Preventive</x:v>
      </x:c>
      <x:c r="T259" t="n">
        <x:v>1.18</x:v>
      </x:c>
      <x:c r="U259" t="n">
        <x:v>12</x:v>
      </x:c>
      <x:c r="V259" t="n">
        <x:f>IFERROR(J259/I259*100,0)</x:f>
        <x:v>85.78115857226449</x:v>
      </x:c>
      <x:c r="W259" t="n">
        <x:f>IFERROR(K259/J259*100,0)</x:f>
        <x:v>3.3424283765347886</x:v>
      </x:c>
      <x:c r="X259" t="n">
        <x:f>IFERROR(H259/F259*100,0)</x:f>
        <x:v>13.111111111111112</x:v>
      </x:c>
      <x:c r="Y259" t="n">
        <x:f>J259-K259</x:f>
        <x:v>1417</x:v>
      </x:c>
      <x:c r="Z259" t="n">
        <x:f>MAX(0,MIN(100,(V259/100)*(1-X259/100)*(1-W259/100)*100))</x:f>
        <x:v>72.04304011442689</x:v>
      </x:c>
    </x:row>
    <x:row r="260">
      <x:c r="A260" s="12" t="n">
        <x:v>46113</x:v>
      </x:c>
      <x:c r="B260" t="str">
        <x:v>A</x:v>
      </x:c>
      <x:c r="C260" t="str">
        <x:v>Dried Mango</x:v>
      </x:c>
      <x:c r="D260" t="str">
        <x:v>Dryer 2</x:v>
      </x:c>
      <x:c r="E260" t="str">
        <x:v>Sup 3</x:v>
      </x:c>
      <x:c r="F260" t="n">
        <x:v>420</x:v>
      </x:c>
      <x:c r="G260" t="n">
        <x:v>30</x:v>
      </x:c>
      <x:c r="H260" t="n">
        <x:v>22</x:v>
      </x:c>
      <x:c r="I260" t="n">
        <x:v>1728</x:v>
      </x:c>
      <x:c r="J260" t="n">
        <x:v>1515</x:v>
      </x:c>
      <x:c r="K260" t="n">
        <x:v>68</x:v>
      </x:c>
      <x:c r="L260" t="n">
        <x:v>46</x:v>
      </x:c>
      <x:c r="M260" t="n">
        <x:v>88.9</x:v>
      </x:c>
      <x:c r="N260" t="n">
        <x:v>69.4</x:v>
      </x:c>
      <x:c r="O260" t="n">
        <x:v>75</x:v>
      </x:c>
      <x:c r="P260" t="n">
        <x:v>4</x:v>
      </x:c>
      <x:c r="Q260" t="str">
        <x:v>No incident</x:v>
      </x:c>
      <x:c r="R260" t="str">
        <x:v>N/A</x:v>
      </x:c>
      <x:c r="S260" t="str">
        <x:v>Preventive</x:v>
      </x:c>
      <x:c r="T260" t="n">
        <x:v>0.85</x:v>
      </x:c>
      <x:c r="U260" t="n">
        <x:v>13.6</x:v>
      </x:c>
      <x:c r="V260" t="n">
        <x:f>IFERROR(J260/I260*100,0)</x:f>
        <x:v>87.67361111111111</x:v>
      </x:c>
      <x:c r="W260" t="n">
        <x:f>IFERROR(K260/J260*100,0)</x:f>
        <x:v>4.488448844884489</x:v>
      </x:c>
      <x:c r="X260" t="n">
        <x:f>IFERROR(H260/F260*100,0)</x:f>
        <x:v>5.238095238095238</x:v>
      </x:c>
      <x:c r="Y260" t="n">
        <x:f>J260-K260</x:f>
        <x:v>1447</x:v>
      </x:c>
      <x:c r="Z260" t="n">
        <x:f>MAX(0,MIN(100,(V260/100)*(1-X260/100)*(1-W260/100)*100))</x:f>
        <x:v>79.35212742504409</x:v>
      </x:c>
    </x:row>
    <x:row r="261">
      <x:c r="A261" s="12" t="n">
        <x:v>46113</x:v>
      </x:c>
      <x:c r="B261" t="str">
        <x:v>B</x:v>
      </x:c>
      <x:c r="C261" t="str">
        <x:v>Dried Mango</x:v>
      </x:c>
      <x:c r="D261" t="str">
        <x:v>Dryer 3</x:v>
      </x:c>
      <x:c r="E261" t="str">
        <x:v>Sup 1</x:v>
      </x:c>
      <x:c r="F261" t="n">
        <x:v>420</x:v>
      </x:c>
      <x:c r="G261" t="n">
        <x:v>40</x:v>
      </x:c>
      <x:c r="H261" t="n">
        <x:v>50</x:v>
      </x:c>
      <x:c r="I261" t="n">
        <x:v>1727</x:v>
      </x:c>
      <x:c r="J261" t="n">
        <x:v>1526</x:v>
      </x:c>
      <x:c r="K261" t="n">
        <x:v>64</x:v>
      </x:c>
      <x:c r="L261" t="n">
        <x:v>25</x:v>
      </x:c>
      <x:c r="M261" t="n">
        <x:v>90</x:v>
      </x:c>
      <x:c r="N261" t="n">
        <x:v>71.9</x:v>
      </x:c>
      <x:c r="O261" t="n">
        <x:v>80.5</x:v>
      </x:c>
      <x:c r="P261" t="n">
        <x:v>4</x:v>
      </x:c>
      <x:c r="Q261" t="str">
        <x:v>No incident</x:v>
      </x:c>
      <x:c r="R261" t="str">
        <x:v>N/A</x:v>
      </x:c>
      <x:c r="S261" t="str">
        <x:v>Corrective</x:v>
      </x:c>
      <x:c r="T261" t="n">
        <x:v>1.95</x:v>
      </x:c>
      <x:c r="U261" t="n">
        <x:v>11.5</x:v>
      </x:c>
      <x:c r="V261" t="n">
        <x:f>IFERROR(J261/I261*100,0)</x:f>
        <x:v>88.36132020845396</x:v>
      </x:c>
      <x:c r="W261" t="n">
        <x:f>IFERROR(K261/J261*100,0)</x:f>
        <x:v>4.193971166448231</x:v>
      </x:c>
      <x:c r="X261" t="n">
        <x:f>IFERROR(H261/F261*100,0)</x:f>
        <x:v>11.904761904761903</x:v>
      </x:c>
      <x:c r="Y261" t="n">
        <x:f>J261-K261</x:f>
        <x:v>1462</x:v>
      </x:c>
      <x:c r="Z261" t="n">
        <x:f>MAX(0,MIN(100,(V261/100)*(1-X261/100)*(1-W261/100)*100))</x:f>
        <x:v>74.57743954559241</x:v>
      </x:c>
    </x:row>
    <x:row r="262">
      <x:c r="A262" s="12" t="n">
        <x:v>46113</x:v>
      </x:c>
      <x:c r="B262" t="str">
        <x:v>C</x:v>
      </x:c>
      <x:c r="C262" t="str">
        <x:v>Dried Pineapple</x:v>
      </x:c>
      <x:c r="D262" t="str">
        <x:v>Dryer 3</x:v>
      </x:c>
      <x:c r="E262" t="str">
        <x:v>Sup 3</x:v>
      </x:c>
      <x:c r="F262" t="n">
        <x:v>450</x:v>
      </x:c>
      <x:c r="G262" t="n">
        <x:v>30</x:v>
      </x:c>
      <x:c r="H262" t="n">
        <x:v>81</x:v>
      </x:c>
      <x:c r="I262" t="n">
        <x:v>1714</x:v>
      </x:c>
      <x:c r="J262" t="n">
        <x:v>1413</x:v>
      </x:c>
      <x:c r="K262" t="n">
        <x:v>62</x:v>
      </x:c>
      <x:c r="L262" t="n">
        <x:v>27</x:v>
      </x:c>
      <x:c r="M262" t="n">
        <x:v>90.6</x:v>
      </x:c>
      <x:c r="N262" t="n">
        <x:v>63.6</x:v>
      </x:c>
      <x:c r="O262" t="n">
        <x:v>71.6</x:v>
      </x:c>
      <x:c r="P262" t="n">
        <x:v>1</x:v>
      </x:c>
      <x:c r="Q262" t="str">
        <x:v>No incident</x:v>
      </x:c>
      <x:c r="R262" t="str">
        <x:v>N/A</x:v>
      </x:c>
      <x:c r="S262" t="str">
        <x:v>Inspection</x:v>
      </x:c>
      <x:c r="T262" t="n">
        <x:v>1.13</x:v>
      </x:c>
      <x:c r="U262" t="n">
        <x:v>11</x:v>
      </x:c>
      <x:c r="V262" t="n">
        <x:f>IFERROR(J262/I262*100,0)</x:f>
        <x:v>82.438739789965</x:v>
      </x:c>
      <x:c r="W262" t="n">
        <x:f>IFERROR(K262/J262*100,0)</x:f>
        <x:v>4.387827317763623</x:v>
      </x:c>
      <x:c r="X262" t="n">
        <x:f>IFERROR(H262/F262*100,0)</x:f>
        <x:v>18</x:v>
      </x:c>
      <x:c r="Y262" t="n">
        <x:f>J262-K262</x:f>
        <x:v>1351</x:v>
      </x:c>
      <x:c r="Z262" t="n">
        <x:f>MAX(0,MIN(100,(V262/100)*(1-X262/100)*(1-W262/100)*100))</x:f>
        <x:v>64.63360560093349</x:v>
      </x:c>
    </x:row>
    <x:row r="263">
      <x:c r="A263" s="12" t="n">
        <x:v>46114</x:v>
      </x:c>
      <x:c r="B263" t="str">
        <x:v>A</x:v>
      </x:c>
      <x:c r="C263" t="str">
        <x:v>Dried Pineapple</x:v>
      </x:c>
      <x:c r="D263" t="str">
        <x:v>Dryer 4</x:v>
      </x:c>
      <x:c r="E263" t="str">
        <x:v>Sup 1</x:v>
      </x:c>
      <x:c r="F263" t="n">
        <x:v>450</x:v>
      </x:c>
      <x:c r="G263" t="n">
        <x:v>20</x:v>
      </x:c>
      <x:c r="H263" t="n">
        <x:v>34</x:v>
      </x:c>
      <x:c r="I263" t="n">
        <x:v>1887</x:v>
      </x:c>
      <x:c r="J263" t="n">
        <x:v>1672</x:v>
      </x:c>
      <x:c r="K263" t="n">
        <x:v>56</x:v>
      </x:c>
      <x:c r="L263" t="n">
        <x:v>11</x:v>
      </x:c>
      <x:c r="M263" t="n">
        <x:v>89.6</x:v>
      </x:c>
      <x:c r="N263" t="n">
        <x:v>80.3</x:v>
      </x:c>
      <x:c r="O263" t="n">
        <x:v>84.7</x:v>
      </x:c>
      <x:c r="P263" t="n">
        <x:v>6</x:v>
      </x:c>
      <x:c r="Q263" t="str">
        <x:v>No incident</x:v>
      </x:c>
      <x:c r="R263" t="str">
        <x:v>N/A</x:v>
      </x:c>
      <x:c r="S263" t="str">
        <x:v>Preventive</x:v>
      </x:c>
      <x:c r="T263" t="n">
        <x:v>0.75</x:v>
      </x:c>
      <x:c r="U263" t="n">
        <x:v>13.5</x:v>
      </x:c>
      <x:c r="V263" t="n">
        <x:f>IFERROR(J263/I263*100,0)</x:f>
        <x:v>88.60625331213566</x:v>
      </x:c>
      <x:c r="W263" t="n">
        <x:f>IFERROR(K263/J263*100,0)</x:f>
        <x:v>3.349282296650718</x:v>
      </x:c>
      <x:c r="X263" t="n">
        <x:f>IFERROR(H263/F263*100,0)</x:f>
        <x:v>7.555555555555555</x:v>
      </x:c>
      <x:c r="Y263" t="n">
        <x:f>J263-K263</x:f>
        <x:v>1616</x:v>
      </x:c>
      <x:c r="Z263" t="n">
        <x:f>MAX(0,MIN(100,(V263/100)*(1-X263/100)*(1-W263/100)*100))</x:f>
        <x:v>79.16810928575634</x:v>
      </x:c>
    </x:row>
    <x:row r="264">
      <x:c r="A264" s="12" t="n">
        <x:v>46114</x:v>
      </x:c>
      <x:c r="B264" t="str">
        <x:v>B</x:v>
      </x:c>
      <x:c r="C264" t="str">
        <x:v>Dried Pineapple</x:v>
      </x:c>
      <x:c r="D264" t="str">
        <x:v>Dryer 1</x:v>
      </x:c>
      <x:c r="E264" t="str">
        <x:v>Sup 3</x:v>
      </x:c>
      <x:c r="F264" t="n">
        <x:v>420</x:v>
      </x:c>
      <x:c r="G264" t="n">
        <x:v>40</x:v>
      </x:c>
      <x:c r="H264" t="n">
        <x:v>17</x:v>
      </x:c>
      <x:c r="I264" t="n">
        <x:v>1816</x:v>
      </x:c>
      <x:c r="J264" t="n">
        <x:v>1674</x:v>
      </x:c>
      <x:c r="K264" t="n">
        <x:v>39</x:v>
      </x:c>
      <x:c r="L264" t="n">
        <x:v>11</x:v>
      </x:c>
      <x:c r="M264" t="n">
        <x:v>95.3</x:v>
      </x:c>
      <x:c r="N264" t="n">
        <x:v>73.9</x:v>
      </x:c>
      <x:c r="O264" t="n">
        <x:v>79.4</x:v>
      </x:c>
      <x:c r="P264" t="n">
        <x:v>4</x:v>
      </x:c>
      <x:c r="Q264" t="str">
        <x:v>No incident</x:v>
      </x:c>
      <x:c r="R264" t="str">
        <x:v>N/A</x:v>
      </x:c>
      <x:c r="S264" t="str">
        <x:v>Corrective</x:v>
      </x:c>
      <x:c r="T264" t="n">
        <x:v>0.93</x:v>
      </x:c>
      <x:c r="U264" t="n">
        <x:v>14.4</x:v>
      </x:c>
      <x:c r="V264" t="n">
        <x:f>IFERROR(J264/I264*100,0)</x:f>
        <x:v>92.18061674008811</x:v>
      </x:c>
      <x:c r="W264" t="n">
        <x:f>IFERROR(K264/J264*100,0)</x:f>
        <x:v>2.3297491039426523</x:v>
      </x:c>
      <x:c r="X264" t="n">
        <x:f>IFERROR(H264/F264*100,0)</x:f>
        <x:v>4.0476190476190474</x:v>
      </x:c>
      <x:c r="Y264" t="n">
        <x:f>J264-K264</x:f>
        <x:v>1635</x:v>
      </x:c>
      <x:c r="Z264" t="n">
        <x:f>MAX(0,MIN(100,(V264/100)*(1-X264/100)*(1-W264/100)*100))</x:f>
        <x:v>86.38884518565136</x:v>
      </x:c>
    </x:row>
    <x:row r="265">
      <x:c r="A265" s="12" t="n">
        <x:v>46114</x:v>
      </x:c>
      <x:c r="B265" t="str">
        <x:v>C</x:v>
      </x:c>
      <x:c r="C265" t="str">
        <x:v>Desiccated Coconut</x:v>
      </x:c>
      <x:c r="D265" t="str">
        <x:v>Dryer 4</x:v>
      </x:c>
      <x:c r="E265" t="str">
        <x:v>Sup 2</x:v>
      </x:c>
      <x:c r="F265" t="n">
        <x:v>450</x:v>
      </x:c>
      <x:c r="G265" t="n">
        <x:v>30</x:v>
      </x:c>
      <x:c r="H265" t="n">
        <x:v>42</x:v>
      </x:c>
      <x:c r="I265" t="n">
        <x:v>1199</x:v>
      </x:c>
      <x:c r="J265" t="n">
        <x:v>1097</x:v>
      </x:c>
      <x:c r="K265" t="n">
        <x:v>33</x:v>
      </x:c>
      <x:c r="L265" t="n">
        <x:v>13</x:v>
      </x:c>
      <x:c r="M265" t="n">
        <x:v>88.1</x:v>
      </x:c>
      <x:c r="N265" t="n">
        <x:v>84.9</x:v>
      </x:c>
      <x:c r="O265" t="n">
        <x:v>73.7</x:v>
      </x:c>
      <x:c r="P265" t="n">
        <x:v>2</x:v>
      </x:c>
      <x:c r="Q265" t="str">
        <x:v>First aid</x:v>
      </x:c>
      <x:c r="R265" t="str">
        <x:v>Closed</x:v>
      </x:c>
      <x:c r="S265" t="str">
        <x:v>Inspection</x:v>
      </x:c>
      <x:c r="T265" t="n">
        <x:v>1.21</x:v>
      </x:c>
      <x:c r="U265" t="n">
        <x:v>8.4</x:v>
      </x:c>
      <x:c r="V265" t="n">
        <x:f>IFERROR(J265/I265*100,0)</x:f>
        <x:v>91.4929107589658</x:v>
      </x:c>
      <x:c r="W265" t="n">
        <x:f>IFERROR(K265/J265*100,0)</x:f>
        <x:v>3.00820419325433</x:v>
      </x:c>
      <x:c r="X265" t="n">
        <x:f>IFERROR(H265/F265*100,0)</x:f>
        <x:v>9.333333333333334</x:v>
      </x:c>
      <x:c r="Y265" t="n">
        <x:f>J265-K265</x:f>
        <x:v>1064</x:v>
      </x:c>
      <x:c r="Z265" t="n">
        <x:f>MAX(0,MIN(100,(V265/100)*(1-X265/100)*(1-W265/100)*100))</x:f>
        <x:v>80.45815957742563</x:v>
      </x:c>
    </x:row>
    <x:row r="266">
      <x:c r="A266" s="12" t="n">
        <x:v>46115</x:v>
      </x:c>
      <x:c r="B266" t="str">
        <x:v>A</x:v>
      </x:c>
      <x:c r="C266" t="str">
        <x:v>Desiccated Coconut</x:v>
      </x:c>
      <x:c r="D266" t="str">
        <x:v>Dryer 1</x:v>
      </x:c>
      <x:c r="E266" t="str">
        <x:v>Sup 1</x:v>
      </x:c>
      <x:c r="F266" t="n">
        <x:v>480</x:v>
      </x:c>
      <x:c r="G266" t="n">
        <x:v>40</x:v>
      </x:c>
      <x:c r="H266" t="n">
        <x:v>18</x:v>
      </x:c>
      <x:c r="I266" t="n">
        <x:v>1107</x:v>
      </x:c>
      <x:c r="J266" t="n">
        <x:v>1032</x:v>
      </x:c>
      <x:c r="K266" t="n">
        <x:v>19</x:v>
      </x:c>
      <x:c r="L266" t="n">
        <x:v>5</x:v>
      </x:c>
      <x:c r="M266" t="n">
        <x:v>91.2</x:v>
      </x:c>
      <x:c r="N266" t="n">
        <x:v>74.1</x:v>
      </x:c>
      <x:c r="O266" t="n">
        <x:v>84.9</x:v>
      </x:c>
      <x:c r="P266" t="n">
        <x:v>2</x:v>
      </x:c>
      <x:c r="Q266" t="str">
        <x:v>No incident</x:v>
      </x:c>
      <x:c r="R266" t="str">
        <x:v>N/A</x:v>
      </x:c>
      <x:c r="S266" t="str">
        <x:v>Inspection</x:v>
      </x:c>
      <x:c r="T266" t="n">
        <x:v>0.98</x:v>
      </x:c>
      <x:c r="U266" t="n">
        <x:v>8.6</x:v>
      </x:c>
      <x:c r="V266" t="n">
        <x:f>IFERROR(J266/I266*100,0)</x:f>
        <x:v>93.22493224932249</x:v>
      </x:c>
      <x:c r="W266" t="n">
        <x:f>IFERROR(K266/J266*100,0)</x:f>
        <x:v>1.8410852713178296</x:v>
      </x:c>
      <x:c r="X266" t="n">
        <x:f>IFERROR(H266/F266*100,0)</x:f>
        <x:v>3.75</x:v>
      </x:c>
      <x:c r="Y266" t="n">
        <x:f>J266-K266</x:f>
        <x:v>1013</x:v>
      </x:c>
      <x:c r="Z266" t="n">
        <x:f>MAX(0,MIN(100,(V266/100)*(1-X266/100)*(1-W266/100)*100))</x:f>
        <x:v>88.07700993676603</x:v>
      </x:c>
    </x:row>
    <x:row r="267">
      <x:c r="A267" s="12" t="n">
        <x:v>46115</x:v>
      </x:c>
      <x:c r="B267" t="str">
        <x:v>B</x:v>
      </x:c>
      <x:c r="C267" t="str">
        <x:v>Desiccated Coconut</x:v>
      </x:c>
      <x:c r="D267" t="str">
        <x:v>Dryer 1</x:v>
      </x:c>
      <x:c r="E267" t="str">
        <x:v>Sup 3</x:v>
      </x:c>
      <x:c r="F267" t="n">
        <x:v>420</x:v>
      </x:c>
      <x:c r="G267" t="n">
        <x:v>20</x:v>
      </x:c>
      <x:c r="H267" t="n">
        <x:v>35</x:v>
      </x:c>
      <x:c r="I267" t="n">
        <x:v>1184</x:v>
      </x:c>
      <x:c r="J267" t="n">
        <x:v>955</x:v>
      </x:c>
      <x:c r="K267" t="n">
        <x:v>32</x:v>
      </x:c>
      <x:c r="L267" t="n">
        <x:v>16</x:v>
      </x:c>
      <x:c r="M267" t="n">
        <x:v>90.5</x:v>
      </x:c>
      <x:c r="N267" t="n">
        <x:v>68</x:v>
      </x:c>
      <x:c r="O267" t="n">
        <x:v>68</x:v>
      </x:c>
      <x:c r="P267" t="n">
        <x:v>3</x:v>
      </x:c>
      <x:c r="Q267" t="str">
        <x:v>No incident</x:v>
      </x:c>
      <x:c r="R267" t="str">
        <x:v>N/A</x:v>
      </x:c>
      <x:c r="S267" t="str">
        <x:v>Preventive</x:v>
      </x:c>
      <x:c r="T267" t="n">
        <x:v>0.52</x:v>
      </x:c>
      <x:c r="U267" t="n">
        <x:v>7.6</x:v>
      </x:c>
      <x:c r="V267" t="n">
        <x:f>IFERROR(J267/I267*100,0)</x:f>
        <x:v>80.65878378378379</x:v>
      </x:c>
      <x:c r="W267" t="n">
        <x:f>IFERROR(K267/J267*100,0)</x:f>
        <x:v>3.3507853403141366</x:v>
      </x:c>
      <x:c r="X267" t="n">
        <x:f>IFERROR(H267/F267*100,0)</x:f>
        <x:v>8.333333333333332</x:v>
      </x:c>
      <x:c r="Y267" t="n">
        <x:f>J267-K267</x:f>
        <x:v>923</x:v>
      </x:c>
      <x:c r="Z267" t="n">
        <x:f>MAX(0,MIN(100,(V267/100)*(1-X267/100)*(1-W267/100)*100))</x:f>
        <x:v>71.45974099099101</x:v>
      </x:c>
    </x:row>
    <x:row r="268">
      <x:c r="A268" s="12" t="n">
        <x:v>46115</x:v>
      </x:c>
      <x:c r="B268" t="str">
        <x:v>C</x:v>
      </x:c>
      <x:c r="C268" t="str">
        <x:v>Dried Pineapple</x:v>
      </x:c>
      <x:c r="D268" t="str">
        <x:v>Dryer 4</x:v>
      </x:c>
      <x:c r="E268" t="str">
        <x:v>Sup 3</x:v>
      </x:c>
      <x:c r="F268" t="n">
        <x:v>480</x:v>
      </x:c>
      <x:c r="G268" t="n">
        <x:v>30</x:v>
      </x:c>
      <x:c r="H268" t="n">
        <x:v>73</x:v>
      </x:c>
      <x:c r="I268" t="n">
        <x:v>1701</x:v>
      </x:c>
      <x:c r="J268" t="n">
        <x:v>1425</x:v>
      </x:c>
      <x:c r="K268" t="n">
        <x:v>56</x:v>
      </x:c>
      <x:c r="L268" t="n">
        <x:v>25</x:v>
      </x:c>
      <x:c r="M268" t="n">
        <x:v>89.4</x:v>
      </x:c>
      <x:c r="N268" t="n">
        <x:v>83.8</x:v>
      </x:c>
      <x:c r="O268" t="n">
        <x:v>82.8</x:v>
      </x:c>
      <x:c r="P268" t="n">
        <x:v>1</x:v>
      </x:c>
      <x:c r="Q268" t="str">
        <x:v>No incident</x:v>
      </x:c>
      <x:c r="R268" t="str">
        <x:v>N/A</x:v>
      </x:c>
      <x:c r="S268" t="str">
        <x:v>Inspection</x:v>
      </x:c>
      <x:c r="T268" t="n">
        <x:v>0.72</x:v>
      </x:c>
      <x:c r="U268" t="n">
        <x:v>12.3</x:v>
      </x:c>
      <x:c r="V268" t="n">
        <x:f>IFERROR(J268/I268*100,0)</x:f>
        <x:v>83.77425044091711</x:v>
      </x:c>
      <x:c r="W268" t="n">
        <x:f>IFERROR(K268/J268*100,0)</x:f>
        <x:v>3.929824561403509</x:v>
      </x:c>
      <x:c r="X268" t="n">
        <x:f>IFERROR(H268/F268*100,0)</x:f>
        <x:v>15.208333333333332</x:v>
      </x:c>
      <x:c r="Y268" t="n">
        <x:f>J268-K268</x:f>
        <x:v>1369</x:v>
      </x:c>
      <x:c r="Z268" t="n">
        <x:f>MAX(0,MIN(100,(V268/100)*(1-X268/100)*(1-W268/100)*100))</x:f>
        <x:v>68.24208798745836</x:v>
      </x:c>
    </x:row>
    <x:row r="269">
      <x:c r="A269" s="12" t="n">
        <x:v>46116</x:v>
      </x:c>
      <x:c r="B269" t="str">
        <x:v>A</x:v>
      </x:c>
      <x:c r="C269" t="str">
        <x:v>Dried Pineapple</x:v>
      </x:c>
      <x:c r="D269" t="str">
        <x:v>Dryer 3</x:v>
      </x:c>
      <x:c r="E269" t="str">
        <x:v>Sup 1</x:v>
      </x:c>
      <x:c r="F269" t="n">
        <x:v>450</x:v>
      </x:c>
      <x:c r="G269" t="n">
        <x:v>40</x:v>
      </x:c>
      <x:c r="H269" t="n">
        <x:v>35</x:v>
      </x:c>
      <x:c r="I269" t="n">
        <x:v>1718</x:v>
      </x:c>
      <x:c r="J269" t="n">
        <x:v>1626</x:v>
      </x:c>
      <x:c r="K269" t="n">
        <x:v>64</x:v>
      </x:c>
      <x:c r="L269" t="n">
        <x:v>32</x:v>
      </x:c>
      <x:c r="M269" t="n">
        <x:v>86.6</x:v>
      </x:c>
      <x:c r="N269" t="n">
        <x:v>77.8</x:v>
      </x:c>
      <x:c r="O269" t="n">
        <x:v>80.7</x:v>
      </x:c>
      <x:c r="P269" t="n">
        <x:v>2</x:v>
      </x:c>
      <x:c r="Q269" t="str">
        <x:v>No incident</x:v>
      </x:c>
      <x:c r="R269" t="str">
        <x:v>N/A</x:v>
      </x:c>
      <x:c r="S269" t="str">
        <x:v>Inspection</x:v>
      </x:c>
      <x:c r="T269" t="n">
        <x:v>0.84</x:v>
      </x:c>
      <x:c r="U269" t="n">
        <x:v>14.7</x:v>
      </x:c>
      <x:c r="V269" t="n">
        <x:f>IFERROR(J269/I269*100,0)</x:f>
        <x:v>94.64493597206054</x:v>
      </x:c>
      <x:c r="W269" t="n">
        <x:f>IFERROR(K269/J269*100,0)</x:f>
        <x:v>3.936039360393604</x:v>
      </x:c>
      <x:c r="X269" t="n">
        <x:f>IFERROR(H269/F269*100,0)</x:f>
        <x:v>7.777777777777778</x:v>
      </x:c>
      <x:c r="Y269" t="n">
        <x:f>J269-K269</x:f>
        <x:v>1562</x:v>
      </x:c>
      <x:c r="Z269" t="n">
        <x:f>MAX(0,MIN(100,(V269/100)*(1-X269/100)*(1-W269/100)*100))</x:f>
        <x:v>83.8481438365024</x:v>
      </x:c>
    </x:row>
    <x:row r="270">
      <x:c r="A270" s="12" t="n">
        <x:v>46116</x:v>
      </x:c>
      <x:c r="B270" t="str">
        <x:v>B</x:v>
      </x:c>
      <x:c r="C270" t="str">
        <x:v>Dried Pineapple</x:v>
      </x:c>
      <x:c r="D270" t="str">
        <x:v>Dryer 4</x:v>
      </x:c>
      <x:c r="E270" t="str">
        <x:v>Sup 1</x:v>
      </x:c>
      <x:c r="F270" t="n">
        <x:v>420</x:v>
      </x:c>
      <x:c r="G270" t="n">
        <x:v>40</x:v>
      </x:c>
      <x:c r="H270" t="n">
        <x:v>27</x:v>
      </x:c>
      <x:c r="I270" t="n">
        <x:v>1699</x:v>
      </x:c>
      <x:c r="J270" t="n">
        <x:v>1418</x:v>
      </x:c>
      <x:c r="K270" t="n">
        <x:v>52</x:v>
      </x:c>
      <x:c r="L270" t="n">
        <x:v>25</x:v>
      </x:c>
      <x:c r="M270" t="n">
        <x:v>91.1</x:v>
      </x:c>
      <x:c r="N270" t="n">
        <x:v>83.2</x:v>
      </x:c>
      <x:c r="O270" t="n">
        <x:v>80</x:v>
      </x:c>
      <x:c r="P270" t="n">
        <x:v>3</x:v>
      </x:c>
      <x:c r="Q270" t="str">
        <x:v>No incident</x:v>
      </x:c>
      <x:c r="R270" t="str">
        <x:v>N/A</x:v>
      </x:c>
      <x:c r="S270" t="str">
        <x:v>Corrective</x:v>
      </x:c>
      <x:c r="T270" t="n">
        <x:v>1.36</x:v>
      </x:c>
      <x:c r="U270" t="n">
        <x:v>11.5</x:v>
      </x:c>
      <x:c r="V270" t="n">
        <x:f>IFERROR(J270/I270*100,0)</x:f>
        <x:v>83.46085932901707</x:v>
      </x:c>
      <x:c r="W270" t="n">
        <x:f>IFERROR(K270/J270*100,0)</x:f>
        <x:v>3.6671368124118473</x:v>
      </x:c>
      <x:c r="X270" t="n">
        <x:f>IFERROR(H270/F270*100,0)</x:f>
        <x:v>6.428571428571428</x:v>
      </x:c>
      <x:c r="Y270" t="n">
        <x:f>J270-K270</x:f>
        <x:v>1366</x:v>
      </x:c>
      <x:c r="Z270" t="n">
        <x:f>MAX(0,MIN(100,(V270/100)*(1-X270/100)*(1-W270/100)*100))</x:f>
        <x:v>75.23164886908266</x:v>
      </x:c>
    </x:row>
    <x:row r="271">
      <x:c r="A271" s="12" t="n">
        <x:v>46116</x:v>
      </x:c>
      <x:c r="B271" t="str">
        <x:v>C</x:v>
      </x:c>
      <x:c r="C271" t="str">
        <x:v>Desiccated Coconut</x:v>
      </x:c>
      <x:c r="D271" t="str">
        <x:v>Dryer 1</x:v>
      </x:c>
      <x:c r="E271" t="str">
        <x:v>Sup 3</x:v>
      </x:c>
      <x:c r="F271" t="n">
        <x:v>420</x:v>
      </x:c>
      <x:c r="G271" t="n">
        <x:v>0</x:v>
      </x:c>
      <x:c r="H271" t="n">
        <x:v>27</x:v>
      </x:c>
      <x:c r="I271" t="n">
        <x:v>1269</x:v>
      </x:c>
      <x:c r="J271" t="n">
        <x:v>1049</x:v>
      </x:c>
      <x:c r="K271" t="n">
        <x:v>23</x:v>
      </x:c>
      <x:c r="L271" t="n">
        <x:v>12</x:v>
      </x:c>
      <x:c r="M271" t="n">
        <x:v>88.8</x:v>
      </x:c>
      <x:c r="N271" t="n">
        <x:v>85.3</x:v>
      </x:c>
      <x:c r="O271" t="n">
        <x:v>62.4</x:v>
      </x:c>
      <x:c r="P271" t="n">
        <x:v>0</x:v>
      </x:c>
      <x:c r="Q271" t="str">
        <x:v>No incident</x:v>
      </x:c>
      <x:c r="R271" t="str">
        <x:v>N/A</x:v>
      </x:c>
      <x:c r="S271" t="str">
        <x:v>Corrective</x:v>
      </x:c>
      <x:c r="T271" t="n">
        <x:v>1.53</x:v>
      </x:c>
      <x:c r="U271" t="n">
        <x:v>8.9</x:v>
      </x:c>
      <x:c r="V271" t="n">
        <x:f>IFERROR(J271/I271*100,0)</x:f>
        <x:v>82.6635145784082</x:v>
      </x:c>
      <x:c r="W271" t="n">
        <x:f>IFERROR(K271/J271*100,0)</x:f>
        <x:v>2.19256434699714</x:v>
      </x:c>
      <x:c r="X271" t="n">
        <x:f>IFERROR(H271/F271*100,0)</x:f>
        <x:v>6.428571428571428</x:v>
      </x:c>
      <x:c r="Y271" t="n">
        <x:f>J271-K271</x:f>
        <x:v>1026</x:v>
      </x:c>
      <x:c r="Z271" t="n">
        <x:f>MAX(0,MIN(100,(V271/100)*(1-X271/100)*(1-W271/100)*100))</x:f>
        <x:v>75.65349544072949</x:v>
      </x:c>
    </x:row>
    <x:row r="272">
      <x:c r="A272" s="12" t="n">
        <x:v>46117</x:v>
      </x:c>
      <x:c r="B272" t="str">
        <x:v>A</x:v>
      </x:c>
      <x:c r="C272" t="str">
        <x:v>Dried Mango</x:v>
      </x:c>
      <x:c r="D272" t="str">
        <x:v>Dryer 1</x:v>
      </x:c>
      <x:c r="E272" t="str">
        <x:v>Sup 2</x:v>
      </x:c>
      <x:c r="F272" t="n">
        <x:v>420</x:v>
      </x:c>
      <x:c r="G272" t="n">
        <x:v>30</x:v>
      </x:c>
      <x:c r="H272" t="n">
        <x:v>40</x:v>
      </x:c>
      <x:c r="I272" t="n">
        <x:v>1764</x:v>
      </x:c>
      <x:c r="J272" t="n">
        <x:v>1552</x:v>
      </x:c>
      <x:c r="K272" t="n">
        <x:v>44</x:v>
      </x:c>
      <x:c r="L272" t="n">
        <x:v>14</x:v>
      </x:c>
      <x:c r="M272" t="n">
        <x:v>100</x:v>
      </x:c>
      <x:c r="N272" t="n">
        <x:v>74.9</x:v>
      </x:c>
      <x:c r="O272" t="n">
        <x:v>73.9</x:v>
      </x:c>
      <x:c r="P272" t="n">
        <x:v>3</x:v>
      </x:c>
      <x:c r="Q272" t="str">
        <x:v>First aid</x:v>
      </x:c>
      <x:c r="R272" t="str">
        <x:v>Open</x:v>
      </x:c>
      <x:c r="S272" t="str">
        <x:v>Preventive</x:v>
      </x:c>
      <x:c r="T272" t="n">
        <x:v>0.66</x:v>
      </x:c>
      <x:c r="U272" t="n">
        <x:v>13.9</x:v>
      </x:c>
      <x:c r="V272" t="n">
        <x:f>IFERROR(J272/I272*100,0)</x:f>
        <x:v>87.98185941043084</x:v>
      </x:c>
      <x:c r="W272" t="n">
        <x:f>IFERROR(K272/J272*100,0)</x:f>
        <x:v>2.8350515463917527</x:v>
      </x:c>
      <x:c r="X272" t="n">
        <x:f>IFERROR(H272/F272*100,0)</x:f>
        <x:v>9.523809523809524</x:v>
      </x:c>
      <x:c r="Y272" t="n">
        <x:f>J272-K272</x:f>
        <x:v>1508</x:v>
      </x:c>
      <x:c r="Z272" t="n">
        <x:f>MAX(0,MIN(100,(V272/100)*(1-X272/100)*(1-W272/100)*100))</x:f>
        <x:v>77.34585897851204</x:v>
      </x:c>
    </x:row>
    <x:row r="273">
      <x:c r="A273" s="12" t="n">
        <x:v>46117</x:v>
      </x:c>
      <x:c r="B273" t="str">
        <x:v>B</x:v>
      </x:c>
      <x:c r="C273" t="str">
        <x:v>Dried Mango</x:v>
      </x:c>
      <x:c r="D273" t="str">
        <x:v>Dryer 3</x:v>
      </x:c>
      <x:c r="E273" t="str">
        <x:v>Sup 2</x:v>
      </x:c>
      <x:c r="F273" t="n">
        <x:v>420</x:v>
      </x:c>
      <x:c r="G273" t="n">
        <x:v>0</x:v>
      </x:c>
      <x:c r="H273" t="n">
        <x:v>40</x:v>
      </x:c>
      <x:c r="I273" t="n">
        <x:v>1652</x:v>
      </x:c>
      <x:c r="J273" t="n">
        <x:v>1332</x:v>
      </x:c>
      <x:c r="K273" t="n">
        <x:v>61</x:v>
      </x:c>
      <x:c r="L273" t="n">
        <x:v>22</x:v>
      </x:c>
      <x:c r="M273" t="n">
        <x:v>83.2</x:v>
      </x:c>
      <x:c r="N273" t="n">
        <x:v>67.1</x:v>
      </x:c>
      <x:c r="O273" t="n">
        <x:v>76.1</x:v>
      </x:c>
      <x:c r="P273" t="n">
        <x:v>6</x:v>
      </x:c>
      <x:c r="Q273" t="str">
        <x:v>No incident</x:v>
      </x:c>
      <x:c r="R273" t="str">
        <x:v>N/A</x:v>
      </x:c>
      <x:c r="S273" t="str">
        <x:v>Corrective</x:v>
      </x:c>
      <x:c r="T273" t="n">
        <x:v>1.11</x:v>
      </x:c>
      <x:c r="U273" t="n">
        <x:v>10.8</x:v>
      </x:c>
      <x:c r="V273" t="n">
        <x:f>IFERROR(J273/I273*100,0)</x:f>
        <x:v>80.62953995157385</x:v>
      </x:c>
      <x:c r="W273" t="n">
        <x:f>IFERROR(K273/J273*100,0)</x:f>
        <x:v>4.57957957957958</x:v>
      </x:c>
      <x:c r="X273" t="n">
        <x:f>IFERROR(H273/F273*100,0)</x:f>
        <x:v>9.523809523809524</x:v>
      </x:c>
      <x:c r="Y273" t="n">
        <x:f>J273-K273</x:f>
        <x:v>1271</x:v>
      </x:c>
      <x:c r="Z273" t="n">
        <x:f>MAX(0,MIN(100,(V273/100)*(1-X273/100)*(1-W273/100)*100))</x:f>
        <x:v>69.60970829009568</x:v>
      </x:c>
    </x:row>
    <x:row r="274">
      <x:c r="A274" s="12" t="n">
        <x:v>46117</x:v>
      </x:c>
      <x:c r="B274" t="str">
        <x:v>C</x:v>
      </x:c>
      <x:c r="C274" t="str">
        <x:v>Dried Mango</x:v>
      </x:c>
      <x:c r="D274" t="str">
        <x:v>Dryer 3</x:v>
      </x:c>
      <x:c r="E274" t="str">
        <x:v>Sup 2</x:v>
      </x:c>
      <x:c r="F274" t="n">
        <x:v>420</x:v>
      </x:c>
      <x:c r="G274" t="n">
        <x:v>40</x:v>
      </x:c>
      <x:c r="H274" t="n">
        <x:v>69</x:v>
      </x:c>
      <x:c r="I274" t="n">
        <x:v>1609</x:v>
      </x:c>
      <x:c r="J274" t="n">
        <x:v>1326</x:v>
      </x:c>
      <x:c r="K274" t="n">
        <x:v>58</x:v>
      </x:c>
      <x:c r="L274" t="n">
        <x:v>37</x:v>
      </x:c>
      <x:c r="M274" t="n">
        <x:v>94.6</x:v>
      </x:c>
      <x:c r="N274" t="n">
        <x:v>68.3</x:v>
      </x:c>
      <x:c r="O274" t="n">
        <x:v>78.3</x:v>
      </x:c>
      <x:c r="P274" t="n">
        <x:v>2</x:v>
      </x:c>
      <x:c r="Q274" t="str">
        <x:v>No incident</x:v>
      </x:c>
      <x:c r="R274" t="str">
        <x:v>N/A</x:v>
      </x:c>
      <x:c r="S274" t="str">
        <x:v>Corrective</x:v>
      </x:c>
      <x:c r="T274" t="n">
        <x:v>1.81</x:v>
      </x:c>
      <x:c r="U274" t="n">
        <x:v>10.1</x:v>
      </x:c>
      <x:c r="V274" t="n">
        <x:f>IFERROR(J274/I274*100,0)</x:f>
        <x:v>82.41143567433188</x:v>
      </x:c>
      <x:c r="W274" t="n">
        <x:f>IFERROR(K274/J274*100,0)</x:f>
        <x:v>4.374057315233785</x:v>
      </x:c>
      <x:c r="X274" t="n">
        <x:f>IFERROR(H274/F274*100,0)</x:f>
        <x:v>16.428571428571427</x:v>
      </x:c>
      <x:c r="Y274" t="n">
        <x:f>J274-K274</x:f>
        <x:v>1268</x:v>
      </x:c>
      <x:c r="Z274" t="n">
        <x:f>MAX(0,MIN(100,(V274/100)*(1-X274/100)*(1-W274/100)*100))</x:f>
        <x:v>65.85989523217614</x:v>
      </x:c>
    </x:row>
    <x:row r="275">
      <x:c r="A275" s="12" t="n">
        <x:v>46118</x:v>
      </x:c>
      <x:c r="B275" t="str">
        <x:v>A</x:v>
      </x:c>
      <x:c r="C275" t="str">
        <x:v>Dried Pineapple</x:v>
      </x:c>
      <x:c r="D275" t="str">
        <x:v>Dryer 2</x:v>
      </x:c>
      <x:c r="E275" t="str">
        <x:v>Sup 3</x:v>
      </x:c>
      <x:c r="F275" t="n">
        <x:v>450</x:v>
      </x:c>
      <x:c r="G275" t="n">
        <x:v>0</x:v>
      </x:c>
      <x:c r="H275" t="n">
        <x:v>58</x:v>
      </x:c>
      <x:c r="I275" t="n">
        <x:v>1772</x:v>
      </x:c>
      <x:c r="J275" t="n">
        <x:v>1372</x:v>
      </x:c>
      <x:c r="K275" t="n">
        <x:v>45</x:v>
      </x:c>
      <x:c r="L275" t="n">
        <x:v>30</x:v>
      </x:c>
      <x:c r="M275" t="n">
        <x:v>90.4</x:v>
      </x:c>
      <x:c r="N275" t="n">
        <x:v>95.6</x:v>
      </x:c>
      <x:c r="O275" t="n">
        <x:v>70.5</x:v>
      </x:c>
      <x:c r="P275" t="n">
        <x:v>3</x:v>
      </x:c>
      <x:c r="Q275" t="str">
        <x:v>No incident</x:v>
      </x:c>
      <x:c r="R275" t="str">
        <x:v>N/A</x:v>
      </x:c>
      <x:c r="S275" t="str">
        <x:v>Preventive</x:v>
      </x:c>
      <x:c r="T275" t="n">
        <x:v>0.56</x:v>
      </x:c>
      <x:c r="U275" t="n">
        <x:v>12.3</x:v>
      </x:c>
      <x:c r="V275" t="n">
        <x:f>IFERROR(J275/I275*100,0)</x:f>
        <x:v>77.42663656884876</x:v>
      </x:c>
      <x:c r="W275" t="n">
        <x:f>IFERROR(K275/J275*100,0)</x:f>
        <x:v>3.279883381924198</x:v>
      </x:c>
      <x:c r="X275" t="n">
        <x:f>IFERROR(H275/F275*100,0)</x:f>
        <x:v>12.88888888888889</x:v>
      </x:c>
      <x:c r="Y275" t="n">
        <x:f>J275-K275</x:f>
        <x:v>1327</x:v>
      </x:c>
      <x:c r="Z275" t="n">
        <x:f>MAX(0,MIN(100,(V275/100)*(1-X275/100)*(1-W275/100)*100))</x:f>
        <x:v>65.23501379483321</x:v>
      </x:c>
    </x:row>
    <x:row r="276">
      <x:c r="A276" s="12" t="n">
        <x:v>46118</x:v>
      </x:c>
      <x:c r="B276" t="str">
        <x:v>B</x:v>
      </x:c>
      <x:c r="C276" t="str">
        <x:v>Desiccated Coconut</x:v>
      </x:c>
      <x:c r="D276" t="str">
        <x:v>Dryer 1</x:v>
      </x:c>
      <x:c r="E276" t="str">
        <x:v>Sup 1</x:v>
      </x:c>
      <x:c r="F276" t="n">
        <x:v>420</x:v>
      </x:c>
      <x:c r="G276" t="n">
        <x:v>30</x:v>
      </x:c>
      <x:c r="H276" t="n">
        <x:v>37</x:v>
      </x:c>
      <x:c r="I276" t="n">
        <x:v>1227</x:v>
      </x:c>
      <x:c r="J276" t="n">
        <x:v>1143</x:v>
      </x:c>
      <x:c r="K276" t="n">
        <x:v>19</x:v>
      </x:c>
      <x:c r="L276" t="n">
        <x:v>9</x:v>
      </x:c>
      <x:c r="M276" t="n">
        <x:v>84.2</x:v>
      </x:c>
      <x:c r="N276" t="n">
        <x:v>77.1</x:v>
      </x:c>
      <x:c r="O276" t="n">
        <x:v>71.9</x:v>
      </x:c>
      <x:c r="P276" t="n">
        <x:v>0</x:v>
      </x:c>
      <x:c r="Q276" t="str">
        <x:v>No incident</x:v>
      </x:c>
      <x:c r="R276" t="str">
        <x:v>N/A</x:v>
      </x:c>
      <x:c r="S276" t="str">
        <x:v>Preventive</x:v>
      </x:c>
      <x:c r="T276" t="n">
        <x:v>0.94</x:v>
      </x:c>
      <x:c r="U276" t="n">
        <x:v>9.1</x:v>
      </x:c>
      <x:c r="V276" t="n">
        <x:f>IFERROR(J276/I276*100,0)</x:f>
        <x:v>93.15403422982885</x:v>
      </x:c>
      <x:c r="W276" t="n">
        <x:f>IFERROR(K276/J276*100,0)</x:f>
        <x:v>1.6622922134733158</x:v>
      </x:c>
      <x:c r="X276" t="n">
        <x:f>IFERROR(H276/F276*100,0)</x:f>
        <x:v>8.80952380952381</x:v>
      </x:c>
      <x:c r="Y276" t="n">
        <x:f>J276-K276</x:f>
        <x:v>1124</x:v>
      </x:c>
      <x:c r="Z276" t="n">
        <x:f>MAX(0,MIN(100,(V276/100)*(1-X276/100)*(1-W276/100)*100))</x:f>
        <x:v>83.53552994139791</x:v>
      </x:c>
    </x:row>
    <x:row r="277">
      <x:c r="A277" s="12" t="n">
        <x:v>46118</x:v>
      </x:c>
      <x:c r="B277" t="str">
        <x:v>C</x:v>
      </x:c>
      <x:c r="C277" t="str">
        <x:v>Dried Pineapple</x:v>
      </x:c>
      <x:c r="D277" t="str">
        <x:v>Dryer 4</x:v>
      </x:c>
      <x:c r="E277" t="str">
        <x:v>Sup 3</x:v>
      </x:c>
      <x:c r="F277" t="n">
        <x:v>420</x:v>
      </x:c>
      <x:c r="G277" t="n">
        <x:v>20</x:v>
      </x:c>
      <x:c r="H277" t="n">
        <x:v>56</x:v>
      </x:c>
      <x:c r="I277" t="n">
        <x:v>1875</x:v>
      </x:c>
      <x:c r="J277" t="n">
        <x:v>1550</x:v>
      </x:c>
      <x:c r="K277" t="n">
        <x:v>43</x:v>
      </x:c>
      <x:c r="L277" t="n">
        <x:v>11</x:v>
      </x:c>
      <x:c r="M277" t="n">
        <x:v>82.2</x:v>
      </x:c>
      <x:c r="N277" t="n">
        <x:v>58.2</x:v>
      </x:c>
      <x:c r="O277" t="n">
        <x:v>71.5</x:v>
      </x:c>
      <x:c r="P277" t="n">
        <x:v>5</x:v>
      </x:c>
      <x:c r="Q277" t="str">
        <x:v>Near miss</x:v>
      </x:c>
      <x:c r="R277" t="str">
        <x:v>Open</x:v>
      </x:c>
      <x:c r="S277" t="str">
        <x:v>Preventive</x:v>
      </x:c>
      <x:c r="T277" t="n">
        <x:v>1.42</x:v>
      </x:c>
      <x:c r="U277" t="n">
        <x:v>13.2</x:v>
      </x:c>
      <x:c r="V277" t="n">
        <x:f>IFERROR(J277/I277*100,0)</x:f>
        <x:v>82.66666666666667</x:v>
      </x:c>
      <x:c r="W277" t="n">
        <x:f>IFERROR(K277/J277*100,0)</x:f>
        <x:v>2.7741935483870965</x:v>
      </x:c>
      <x:c r="X277" t="n">
        <x:f>IFERROR(H277/F277*100,0)</x:f>
        <x:v>13.333333333333334</x:v>
      </x:c>
      <x:c r="Y277" t="n">
        <x:f>J277-K277</x:f>
        <x:v>1507</x:v>
      </x:c>
      <x:c r="Z277" t="n">
        <x:f>MAX(0,MIN(100,(V277/100)*(1-X277/100)*(1-W277/100)*100))</x:f>
        <x:v>69.65688888888889</x:v>
      </x:c>
    </x:row>
    <x:row r="278">
      <x:c r="A278" s="12" t="n">
        <x:v>46119</x:v>
      </x:c>
      <x:c r="B278" t="str">
        <x:v>A</x:v>
      </x:c>
      <x:c r="C278" t="str">
        <x:v>Dried Mango</x:v>
      </x:c>
      <x:c r="D278" t="str">
        <x:v>Dryer 1</x:v>
      </x:c>
      <x:c r="E278" t="str">
        <x:v>Sup 2</x:v>
      </x:c>
      <x:c r="F278" t="n">
        <x:v>420</x:v>
      </x:c>
      <x:c r="G278" t="n">
        <x:v>30</x:v>
      </x:c>
      <x:c r="H278" t="n">
        <x:v>38</x:v>
      </x:c>
      <x:c r="I278" t="n">
        <x:v>1553</x:v>
      </x:c>
      <x:c r="J278" t="n">
        <x:v>1436</x:v>
      </x:c>
      <x:c r="K278" t="n">
        <x:v>43</x:v>
      </x:c>
      <x:c r="L278" t="n">
        <x:v>14</x:v>
      </x:c>
      <x:c r="M278" t="n">
        <x:v>90.9</x:v>
      </x:c>
      <x:c r="N278" t="n">
        <x:v>67.8</x:v>
      </x:c>
      <x:c r="O278" t="n">
        <x:v>85.1</x:v>
      </x:c>
      <x:c r="P278" t="n">
        <x:v>5</x:v>
      </x:c>
      <x:c r="Q278" t="str">
        <x:v>No incident</x:v>
      </x:c>
      <x:c r="R278" t="str">
        <x:v>N/A</x:v>
      </x:c>
      <x:c r="S278" t="str">
        <x:v>Corrective</x:v>
      </x:c>
      <x:c r="T278" t="n">
        <x:v>1.44</x:v>
      </x:c>
      <x:c r="U278" t="n">
        <x:v>12.7</x:v>
      </x:c>
      <x:c r="V278" t="n">
        <x:f>IFERROR(J278/I278*100,0)</x:f>
        <x:v>92.46619446233098</x:v>
      </x:c>
      <x:c r="W278" t="n">
        <x:f>IFERROR(K278/J278*100,0)</x:f>
        <x:v>2.9944289693593316</x:v>
      </x:c>
      <x:c r="X278" t="n">
        <x:f>IFERROR(H278/F278*100,0)</x:f>
        <x:v>9.047619047619047</x:v>
      </x:c>
      <x:c r="Y278" t="n">
        <x:f>J278-K278</x:f>
        <x:v>1393</x:v>
      </x:c>
      <x:c r="Z278" t="n">
        <x:f>MAX(0,MIN(100,(V278/100)*(1-X278/100)*(1-W278/100)*100))</x:f>
        <x:v>81.58188452457608</x:v>
      </x:c>
    </x:row>
    <x:row r="279">
      <x:c r="A279" s="12" t="n">
        <x:v>46119</x:v>
      </x:c>
      <x:c r="B279" t="str">
        <x:v>B</x:v>
      </x:c>
      <x:c r="C279" t="str">
        <x:v>Dried Mango</x:v>
      </x:c>
      <x:c r="D279" t="str">
        <x:v>Dryer 3</x:v>
      </x:c>
      <x:c r="E279" t="str">
        <x:v>Sup 3</x:v>
      </x:c>
      <x:c r="F279" t="n">
        <x:v>480</x:v>
      </x:c>
      <x:c r="G279" t="n">
        <x:v>0</x:v>
      </x:c>
      <x:c r="H279" t="n">
        <x:v>75</x:v>
      </x:c>
      <x:c r="I279" t="n">
        <x:v>1536</x:v>
      </x:c>
      <x:c r="J279" t="n">
        <x:v>1249</x:v>
      </x:c>
      <x:c r="K279" t="n">
        <x:v>51</x:v>
      </x:c>
      <x:c r="L279" t="n">
        <x:v>13</x:v>
      </x:c>
      <x:c r="M279" t="n">
        <x:v>97.4</x:v>
      </x:c>
      <x:c r="N279" t="n">
        <x:v>78.2</x:v>
      </x:c>
      <x:c r="O279" t="n">
        <x:v>81.4</x:v>
      </x:c>
      <x:c r="P279" t="n">
        <x:v>4</x:v>
      </x:c>
      <x:c r="Q279" t="str">
        <x:v>No incident</x:v>
      </x:c>
      <x:c r="R279" t="str">
        <x:v>N/A</x:v>
      </x:c>
      <x:c r="S279" t="str">
        <x:v>Preventive</x:v>
      </x:c>
      <x:c r="T279" t="n">
        <x:v>0.57</x:v>
      </x:c>
      <x:c r="U279" t="n">
        <x:v>11.1</x:v>
      </x:c>
      <x:c r="V279" t="n">
        <x:f>IFERROR(J279/I279*100,0)</x:f>
        <x:v>81.31510416666666</x:v>
      </x:c>
      <x:c r="W279" t="n">
        <x:f>IFERROR(K279/J279*100,0)</x:f>
        <x:v>4.083266613290633</x:v>
      </x:c>
      <x:c r="X279" t="n">
        <x:f>IFERROR(H279/F279*100,0)</x:f>
        <x:v>15.625</x:v>
      </x:c>
      <x:c r="Y279" t="n">
        <x:f>J279-K279</x:f>
        <x:v>1198</x:v>
      </x:c>
      <x:c r="Z279" t="n">
        <x:f>MAX(0,MIN(100,(V279/100)*(1-X279/100)*(1-W279/100)*100))</x:f>
        <x:v>65.80810546874999</x:v>
      </x:c>
    </x:row>
    <x:row r="280">
      <x:c r="A280" s="12" t="n">
        <x:v>46119</x:v>
      </x:c>
      <x:c r="B280" t="str">
        <x:v>C</x:v>
      </x:c>
      <x:c r="C280" t="str">
        <x:v>Dried Mango</x:v>
      </x:c>
      <x:c r="D280" t="str">
        <x:v>Dryer 3</x:v>
      </x:c>
      <x:c r="E280" t="str">
        <x:v>Sup 1</x:v>
      </x:c>
      <x:c r="F280" t="n">
        <x:v>450</x:v>
      </x:c>
      <x:c r="G280" t="n">
        <x:v>0</x:v>
      </x:c>
      <x:c r="H280" t="n">
        <x:v>54</x:v>
      </x:c>
      <x:c r="I280" t="n">
        <x:v>1613</x:v>
      </x:c>
      <x:c r="J280" t="n">
        <x:v>1259</x:v>
      </x:c>
      <x:c r="K280" t="n">
        <x:v>57</x:v>
      </x:c>
      <x:c r="L280" t="n">
        <x:v>12</x:v>
      </x:c>
      <x:c r="M280" t="n">
        <x:v>87.3</x:v>
      </x:c>
      <x:c r="N280" t="n">
        <x:v>81.4</x:v>
      </x:c>
      <x:c r="O280" t="n">
        <x:v>85</x:v>
      </x:c>
      <x:c r="P280" t="n">
        <x:v>4</x:v>
      </x:c>
      <x:c r="Q280" t="str">
        <x:v>No incident</x:v>
      </x:c>
      <x:c r="R280" t="str">
        <x:v>N/A</x:v>
      </x:c>
      <x:c r="S280" t="str">
        <x:v>Corrective</x:v>
      </x:c>
      <x:c r="T280" t="n">
        <x:v>1.44</x:v>
      </x:c>
      <x:c r="U280" t="n">
        <x:v>10.4</x:v>
      </x:c>
      <x:c r="V280" t="n">
        <x:f>IFERROR(J280/I280*100,0)</x:f>
        <x:v>78.05331680099195</x:v>
      </x:c>
      <x:c r="W280" t="n">
        <x:f>IFERROR(K280/J280*100,0)</x:f>
        <x:v>4.527402700555997</x:v>
      </x:c>
      <x:c r="X280" t="n">
        <x:f>IFERROR(H280/F280*100,0)</x:f>
        <x:v>12</x:v>
      </x:c>
      <x:c r="Y280" t="n">
        <x:f>J280-K280</x:f>
        <x:v>1202</x:v>
      </x:c>
      <x:c r="Z280" t="n">
        <x:f>MAX(0,MIN(100,(V280/100)*(1-X280/100)*(1-W280/100)*100))</x:f>
        <x:v>65.57718536887786</x:v>
      </x:c>
    </x:row>
    <x:row r="281">
      <x:c r="A281" s="12" t="n">
        <x:v>46120</x:v>
      </x:c>
      <x:c r="B281" t="str">
        <x:v>A</x:v>
      </x:c>
      <x:c r="C281" t="str">
        <x:v>Desiccated Coconut</x:v>
      </x:c>
      <x:c r="D281" t="str">
        <x:v>Dryer 2</x:v>
      </x:c>
      <x:c r="E281" t="str">
        <x:v>Sup 2</x:v>
      </x:c>
      <x:c r="F281" t="n">
        <x:v>420</x:v>
      </x:c>
      <x:c r="G281" t="n">
        <x:v>40</x:v>
      </x:c>
      <x:c r="H281" t="n">
        <x:v>29</x:v>
      </x:c>
      <x:c r="I281" t="n">
        <x:v>1282</x:v>
      </x:c>
      <x:c r="J281" t="n">
        <x:v>1080</x:v>
      </x:c>
      <x:c r="K281" t="n">
        <x:v>21</x:v>
      </x:c>
      <x:c r="L281" t="n">
        <x:v>4</x:v>
      </x:c>
      <x:c r="M281" t="n">
        <x:v>91.7</x:v>
      </x:c>
      <x:c r="N281" t="n">
        <x:v>73.2</x:v>
      </x:c>
      <x:c r="O281" t="n">
        <x:v>67.7</x:v>
      </x:c>
      <x:c r="P281" t="n">
        <x:v>6</x:v>
      </x:c>
      <x:c r="Q281" t="str">
        <x:v>No incident</x:v>
      </x:c>
      <x:c r="R281" t="str">
        <x:v>N/A</x:v>
      </x:c>
      <x:c r="S281" t="str">
        <x:v>Preventive</x:v>
      </x:c>
      <x:c r="T281" t="n">
        <x:v>0.5</x:v>
      </x:c>
      <x:c r="U281" t="n">
        <x:v>9.1</x:v>
      </x:c>
      <x:c r="V281" t="n">
        <x:f>IFERROR(J281/I281*100,0)</x:f>
        <x:v>84.24336973478938</x:v>
      </x:c>
      <x:c r="W281" t="n">
        <x:f>IFERROR(K281/J281*100,0)</x:f>
        <x:v>1.9444444444444444</x:v>
      </x:c>
      <x:c r="X281" t="n">
        <x:f>IFERROR(H281/F281*100,0)</x:f>
        <x:v>6.904761904761905</x:v>
      </x:c>
      <x:c r="Y281" t="n">
        <x:f>J281-K281</x:f>
        <x:v>1059</x:v>
      </x:c>
      <x:c r="Z281" t="n">
        <x:f>MAX(0,MIN(100,(V281/100)*(1-X281/100)*(1-W281/100)*100))</x:f>
        <x:v>76.90160463561399</x:v>
      </x:c>
    </x:row>
    <x:row r="282">
      <x:c r="A282" s="12" t="n">
        <x:v>46120</x:v>
      </x:c>
      <x:c r="B282" t="str">
        <x:v>B</x:v>
      </x:c>
      <x:c r="C282" t="str">
        <x:v>Desiccated Coconut</x:v>
      </x:c>
      <x:c r="D282" t="str">
        <x:v>Dryer 3</x:v>
      </x:c>
      <x:c r="E282" t="str">
        <x:v>Sup 3</x:v>
      </x:c>
      <x:c r="F282" t="n">
        <x:v>450</x:v>
      </x:c>
      <x:c r="G282" t="n">
        <x:v>40</x:v>
      </x:c>
      <x:c r="H282" t="n">
        <x:v>62</x:v>
      </x:c>
      <x:c r="I282" t="n">
        <x:v>1261</x:v>
      </x:c>
      <x:c r="J282" t="n">
        <x:v>1082</x:v>
      </x:c>
      <x:c r="K282" t="n">
        <x:v>37</x:v>
      </x:c>
      <x:c r="L282" t="n">
        <x:v>16</x:v>
      </x:c>
      <x:c r="M282" t="n">
        <x:v>92.4</x:v>
      </x:c>
      <x:c r="N282" t="n">
        <x:v>78.7</x:v>
      </x:c>
      <x:c r="O282" t="n">
        <x:v>64.8</x:v>
      </x:c>
      <x:c r="P282" t="n">
        <x:v>2</x:v>
      </x:c>
      <x:c r="Q282" t="str">
        <x:v>No incident</x:v>
      </x:c>
      <x:c r="R282" t="str">
        <x:v>N/A</x:v>
      </x:c>
      <x:c r="S282" t="str">
        <x:v>Corrective</x:v>
      </x:c>
      <x:c r="T282" t="n">
        <x:v>1.18</x:v>
      </x:c>
      <x:c r="U282" t="n">
        <x:v>8.6</x:v>
      </x:c>
      <x:c r="V282" t="n">
        <x:f>IFERROR(J282/I282*100,0)</x:f>
        <x:v>85.80491673275178</x:v>
      </x:c>
      <x:c r="W282" t="n">
        <x:f>IFERROR(K282/J282*100,0)</x:f>
        <x:v>3.4195933456561924</x:v>
      </x:c>
      <x:c r="X282" t="n">
        <x:f>IFERROR(H282/F282*100,0)</x:f>
        <x:v>13.777777777777779</x:v>
      </x:c>
      <x:c r="Y282" t="n">
        <x:f>J282-K282</x:f>
        <x:v>1045</x:v>
      </x:c>
      <x:c r="Z282" t="n">
        <x:f>MAX(0,MIN(100,(V282/100)*(1-X282/100)*(1-W282/100)*100))</x:f>
        <x:v>71.45299145299144</x:v>
      </x:c>
    </x:row>
    <x:row r="283">
      <x:c r="A283" s="12" t="n">
        <x:v>46120</x:v>
      </x:c>
      <x:c r="B283" t="str">
        <x:v>C</x:v>
      </x:c>
      <x:c r="C283" t="str">
        <x:v>Dried Mango</x:v>
      </x:c>
      <x:c r="D283" t="str">
        <x:v>Dryer 2</x:v>
      </x:c>
      <x:c r="E283" t="str">
        <x:v>Sup 1</x:v>
      </x:c>
      <x:c r="F283" t="n">
        <x:v>480</x:v>
      </x:c>
      <x:c r="G283" t="n">
        <x:v>30</x:v>
      </x:c>
      <x:c r="H283" t="n">
        <x:v>27</x:v>
      </x:c>
      <x:c r="I283" t="n">
        <x:v>1704</x:v>
      </x:c>
      <x:c r="J283" t="n">
        <x:v>1520</x:v>
      </x:c>
      <x:c r="K283" t="n">
        <x:v>53</x:v>
      </x:c>
      <x:c r="L283" t="n">
        <x:v>24</x:v>
      </x:c>
      <x:c r="M283" t="n">
        <x:v>91.5</x:v>
      </x:c>
      <x:c r="N283" t="n">
        <x:v>86.8</x:v>
      </x:c>
      <x:c r="O283" t="n">
        <x:v>73.2</x:v>
      </x:c>
      <x:c r="P283" t="n">
        <x:v>2</x:v>
      </x:c>
      <x:c r="Q283" t="str">
        <x:v>First aid</x:v>
      </x:c>
      <x:c r="R283" t="str">
        <x:v>In progress</x:v>
      </x:c>
      <x:c r="S283" t="str">
        <x:v>Corrective</x:v>
      </x:c>
      <x:c r="T283" t="n">
        <x:v>1.39</x:v>
      </x:c>
      <x:c r="U283" t="n">
        <x:v>13.4</x:v>
      </x:c>
      <x:c r="V283" t="n">
        <x:f>IFERROR(J283/I283*100,0)</x:f>
        <x:v>89.2018779342723</x:v>
      </x:c>
      <x:c r="W283" t="n">
        <x:f>IFERROR(K283/J283*100,0)</x:f>
        <x:v>3.4868421052631575</x:v>
      </x:c>
      <x:c r="X283" t="n">
        <x:f>IFERROR(H283/F283*100,0)</x:f>
        <x:v>5.625</x:v>
      </x:c>
      <x:c r="Y283" t="n">
        <x:f>J283-K283</x:f>
        <x:v>1467</x:v>
      </x:c>
      <x:c r="Z283" t="n">
        <x:f>MAX(0,MIN(100,(V283/100)*(1-X283/100)*(1-W283/100)*100))</x:f>
        <x:v>81.24889964788731</x:v>
      </x:c>
    </x:row>
    <x:row r="284">
      <x:c r="A284" s="12" t="n">
        <x:v>46121</x:v>
      </x:c>
      <x:c r="B284" t="str">
        <x:v>A</x:v>
      </x:c>
      <x:c r="C284" t="str">
        <x:v>Dried Mango</x:v>
      </x:c>
      <x:c r="D284" t="str">
        <x:v>Dryer 3</x:v>
      </x:c>
      <x:c r="E284" t="str">
        <x:v>Sup 2</x:v>
      </x:c>
      <x:c r="F284" t="n">
        <x:v>420</x:v>
      </x:c>
      <x:c r="G284" t="n">
        <x:v>0</x:v>
      </x:c>
      <x:c r="H284" t="n">
        <x:v>81</x:v>
      </x:c>
      <x:c r="I284" t="n">
        <x:v>1523</x:v>
      </x:c>
      <x:c r="J284" t="n">
        <x:v>1250</x:v>
      </x:c>
      <x:c r="K284" t="n">
        <x:v>69</x:v>
      </x:c>
      <x:c r="L284" t="n">
        <x:v>30</x:v>
      </x:c>
      <x:c r="M284" t="n">
        <x:v>100</x:v>
      </x:c>
      <x:c r="N284" t="n">
        <x:v>91.2</x:v>
      </x:c>
      <x:c r="O284" t="n">
        <x:v>80.7</x:v>
      </x:c>
      <x:c r="P284" t="n">
        <x:v>0</x:v>
      </x:c>
      <x:c r="Q284" t="str">
        <x:v>No incident</x:v>
      </x:c>
      <x:c r="R284" t="str">
        <x:v>N/A</x:v>
      </x:c>
      <x:c r="S284" t="str">
        <x:v>Inspection</x:v>
      </x:c>
      <x:c r="T284" t="n">
        <x:v>0.75</x:v>
      </x:c>
      <x:c r="U284" t="n">
        <x:v>10.8</x:v>
      </x:c>
      <x:c r="V284" t="n">
        <x:f>IFERROR(J284/I284*100,0)</x:f>
        <x:v>82.07485226526592</x:v>
      </x:c>
      <x:c r="W284" t="n">
        <x:f>IFERROR(K284/J284*100,0)</x:f>
        <x:v>5.52</x:v>
      </x:c>
      <x:c r="X284" t="n">
        <x:f>IFERROR(H284/F284*100,0)</x:f>
        <x:v>19.28571428571429</x:v>
      </x:c>
      <x:c r="Y284" t="n">
        <x:f>J284-K284</x:f>
        <x:v>1181</x:v>
      </x:c>
      <x:c r="Z284" t="n">
        <x:f>MAX(0,MIN(100,(V284/100)*(1-X284/100)*(1-W284/100)*100))</x:f>
        <x:v>62.58934433918019</x:v>
      </x:c>
    </x:row>
    <x:row r="285">
      <x:c r="A285" s="12" t="n">
        <x:v>46121</x:v>
      </x:c>
      <x:c r="B285" t="str">
        <x:v>B</x:v>
      </x:c>
      <x:c r="C285" t="str">
        <x:v>Dried Mango</x:v>
      </x:c>
      <x:c r="D285" t="str">
        <x:v>Dryer 3</x:v>
      </x:c>
      <x:c r="E285" t="str">
        <x:v>Sup 3</x:v>
      </x:c>
      <x:c r="F285" t="n">
        <x:v>450</x:v>
      </x:c>
      <x:c r="G285" t="n">
        <x:v>30</x:v>
      </x:c>
      <x:c r="H285" t="n">
        <x:v>60</x:v>
      </x:c>
      <x:c r="I285" t="n">
        <x:v>1748</x:v>
      </x:c>
      <x:c r="J285" t="n">
        <x:v>1496</x:v>
      </x:c>
      <x:c r="K285" t="n">
        <x:v>63</x:v>
      </x:c>
      <x:c r="L285" t="n">
        <x:v>40</x:v>
      </x:c>
      <x:c r="M285" t="n">
        <x:v>87.9</x:v>
      </x:c>
      <x:c r="N285" t="n">
        <x:v>73.8</x:v>
      </x:c>
      <x:c r="O285" t="n">
        <x:v>84.3</x:v>
      </x:c>
      <x:c r="P285" t="n">
        <x:v>3</x:v>
      </x:c>
      <x:c r="Q285" t="str">
        <x:v>Near miss</x:v>
      </x:c>
      <x:c r="R285" t="str">
        <x:v>Closed</x:v>
      </x:c>
      <x:c r="S285" t="str">
        <x:v>Corrective</x:v>
      </x:c>
      <x:c r="T285" t="n">
        <x:v>1.57</x:v>
      </x:c>
      <x:c r="U285" t="n">
        <x:v>13.1</x:v>
      </x:c>
      <x:c r="V285" t="n">
        <x:f>IFERROR(J285/I285*100,0)</x:f>
        <x:v>85.58352402745996</x:v>
      </x:c>
      <x:c r="W285" t="n">
        <x:f>IFERROR(K285/J285*100,0)</x:f>
        <x:v>4.211229946524064</x:v>
      </x:c>
      <x:c r="X285" t="n">
        <x:f>IFERROR(H285/F285*100,0)</x:f>
        <x:v>13.333333333333334</x:v>
      </x:c>
      <x:c r="Y285" t="n">
        <x:f>J285-K285</x:f>
        <x:v>1433</x:v>
      </x:c>
      <x:c r="Z285" t="n">
        <x:f>MAX(0,MIN(100,(V285/100)*(1-X285/100)*(1-W285/100)*100))</x:f>
        <x:v>71.04881769641496</x:v>
      </x:c>
    </x:row>
    <x:row r="286">
      <x:c r="A286" s="12" t="n">
        <x:v>46121</x:v>
      </x:c>
      <x:c r="B286" t="str">
        <x:v>C</x:v>
      </x:c>
      <x:c r="C286" t="str">
        <x:v>Dried Pineapple</x:v>
      </x:c>
      <x:c r="D286" t="str">
        <x:v>Dryer 1</x:v>
      </x:c>
      <x:c r="E286" t="str">
        <x:v>Sup 1</x:v>
      </x:c>
      <x:c r="F286" t="n">
        <x:v>420</x:v>
      </x:c>
      <x:c r="G286" t="n">
        <x:v>30</x:v>
      </x:c>
      <x:c r="H286" t="n">
        <x:v>57</x:v>
      </x:c>
      <x:c r="I286" t="n">
        <x:v>1858</x:v>
      </x:c>
      <x:c r="J286" t="n">
        <x:v>1470</x:v>
      </x:c>
      <x:c r="K286" t="n">
        <x:v>52</x:v>
      </x:c>
      <x:c r="L286" t="n">
        <x:v>18</x:v>
      </x:c>
      <x:c r="M286" t="n">
        <x:v>87.6</x:v>
      </x:c>
      <x:c r="N286" t="n">
        <x:v>78.5</x:v>
      </x:c>
      <x:c r="O286" t="n">
        <x:v>78.6</x:v>
      </x:c>
      <x:c r="P286" t="n">
        <x:v>3</x:v>
      </x:c>
      <x:c r="Q286" t="str">
        <x:v>No incident</x:v>
      </x:c>
      <x:c r="R286" t="str">
        <x:v>N/A</x:v>
      </x:c>
      <x:c r="S286" t="str">
        <x:v>Inspection</x:v>
      </x:c>
      <x:c r="T286" t="n">
        <x:v>0.5</x:v>
      </x:c>
      <x:c r="U286" t="n">
        <x:v>12.5</x:v>
      </x:c>
      <x:c r="V286" t="n">
        <x:f>IFERROR(J286/I286*100,0)</x:f>
        <x:v>79.1173304628633</x:v>
      </x:c>
      <x:c r="W286" t="n">
        <x:f>IFERROR(K286/J286*100,0)</x:f>
        <x:v>3.537414965986395</x:v>
      </x:c>
      <x:c r="X286" t="n">
        <x:f>IFERROR(H286/F286*100,0)</x:f>
        <x:v>13.571428571428571</x:v>
      </x:c>
      <x:c r="Y286" t="n">
        <x:f>J286-K286</x:f>
        <x:v>1418</x:v>
      </x:c>
      <x:c r="Z286" t="n">
        <x:f>MAX(0,MIN(100,(V286/100)*(1-X286/100)*(1-W286/100)*100))</x:f>
        <x:v>65.96109487928648</x:v>
      </x:c>
    </x:row>
    <x:row r="287">
      <x:c r="A287" s="12" t="n">
        <x:v>46122</x:v>
      </x:c>
      <x:c r="B287" t="str">
        <x:v>A</x:v>
      </x:c>
      <x:c r="C287" t="str">
        <x:v>Desiccated Coconut</x:v>
      </x:c>
      <x:c r="D287" t="str">
        <x:v>Dryer 4</x:v>
      </x:c>
      <x:c r="E287" t="str">
        <x:v>Sup 3</x:v>
      </x:c>
      <x:c r="F287" t="n">
        <x:v>420</x:v>
      </x:c>
      <x:c r="G287" t="n">
        <x:v>30</x:v>
      </x:c>
      <x:c r="H287" t="n">
        <x:v>64</x:v>
      </x:c>
      <x:c r="I287" t="n">
        <x:v>1180</x:v>
      </x:c>
      <x:c r="J287" t="n">
        <x:v>988</x:v>
      </x:c>
      <x:c r="K287" t="n">
        <x:v>30</x:v>
      </x:c>
      <x:c r="L287" t="n">
        <x:v>8</x:v>
      </x:c>
      <x:c r="M287" t="n">
        <x:v>87.5</x:v>
      </x:c>
      <x:c r="N287" t="n">
        <x:v>82.8</x:v>
      </x:c>
      <x:c r="O287" t="n">
        <x:v>63.7</x:v>
      </x:c>
      <x:c r="P287" t="n">
        <x:v>1</x:v>
      </x:c>
      <x:c r="Q287" t="str">
        <x:v>No incident</x:v>
      </x:c>
      <x:c r="R287" t="str">
        <x:v>N/A</x:v>
      </x:c>
      <x:c r="S287" t="str">
        <x:v>Corrective</x:v>
      </x:c>
      <x:c r="T287" t="n">
        <x:v>1.94</x:v>
      </x:c>
      <x:c r="U287" t="n">
        <x:v>8.5</x:v>
      </x:c>
      <x:c r="V287" t="n">
        <x:f>IFERROR(J287/I287*100,0)</x:f>
        <x:v>83.72881355932203</x:v>
      </x:c>
      <x:c r="W287" t="n">
        <x:f>IFERROR(K287/J287*100,0)</x:f>
        <x:v>3.0364372469635628</x:v>
      </x:c>
      <x:c r="X287" t="n">
        <x:f>IFERROR(H287/F287*100,0)</x:f>
        <x:v>15.238095238095239</x:v>
      </x:c>
      <x:c r="Y287" t="n">
        <x:f>J287-K287</x:f>
        <x:v>958</x:v>
      </x:c>
      <x:c r="Z287" t="n">
        <x:f>MAX(0,MIN(100,(V287/100)*(1-X287/100)*(1-W287/100)*100))</x:f>
        <x:v>68.81517352703793</x:v>
      </x:c>
    </x:row>
    <x:row r="288">
      <x:c r="A288" s="12" t="n">
        <x:v>46122</x:v>
      </x:c>
      <x:c r="B288" t="str">
        <x:v>B</x:v>
      </x:c>
      <x:c r="C288" t="str">
        <x:v>Desiccated Coconut</x:v>
      </x:c>
      <x:c r="D288" t="str">
        <x:v>Dryer 2</x:v>
      </x:c>
      <x:c r="E288" t="str">
        <x:v>Sup 3</x:v>
      </x:c>
      <x:c r="F288" t="n">
        <x:v>450</x:v>
      </x:c>
      <x:c r="G288" t="n">
        <x:v>20</x:v>
      </x:c>
      <x:c r="H288" t="n">
        <x:v>39</x:v>
      </x:c>
      <x:c r="I288" t="n">
        <x:v>1184</x:v>
      </x:c>
      <x:c r="J288" t="n">
        <x:v>1027</x:v>
      </x:c>
      <x:c r="K288" t="n">
        <x:v>21</x:v>
      </x:c>
      <x:c r="L288" t="n">
        <x:v>4</x:v>
      </x:c>
      <x:c r="M288" t="n">
        <x:v>89.8</x:v>
      </x:c>
      <x:c r="N288" t="n">
        <x:v>74.7</x:v>
      </x:c>
      <x:c r="O288" t="n">
        <x:v>67.3</x:v>
      </x:c>
      <x:c r="P288" t="n">
        <x:v>4</x:v>
      </x:c>
      <x:c r="Q288" t="str">
        <x:v>No incident</x:v>
      </x:c>
      <x:c r="R288" t="str">
        <x:v>N/A</x:v>
      </x:c>
      <x:c r="S288" t="str">
        <x:v>Inspection</x:v>
      </x:c>
      <x:c r="T288" t="n">
        <x:v>0.5</x:v>
      </x:c>
      <x:c r="U288" t="n">
        <x:v>8.9</x:v>
      </x:c>
      <x:c r="V288" t="n">
        <x:f>IFERROR(J288/I288*100,0)</x:f>
        <x:v>86.73986486486487</x:v>
      </x:c>
      <x:c r="W288" t="n">
        <x:f>IFERROR(K288/J288*100,0)</x:f>
        <x:v>2.044790652385589</x:v>
      </x:c>
      <x:c r="X288" t="n">
        <x:f>IFERROR(H288/F288*100,0)</x:f>
        <x:v>8.666666666666668</x:v>
      </x:c>
      <x:c r="Y288" t="n">
        <x:f>J288-K288</x:f>
        <x:v>1006</x:v>
      </x:c>
      <x:c r="Z288" t="n">
        <x:f>MAX(0,MIN(100,(V288/100)*(1-X288/100)*(1-W288/100)*100))</x:f>
        <x:v>77.60247747747748</x:v>
      </x:c>
    </x:row>
    <x:row r="289">
      <x:c r="A289" s="12" t="n">
        <x:v>46122</x:v>
      </x:c>
      <x:c r="B289" t="str">
        <x:v>C</x:v>
      </x:c>
      <x:c r="C289" t="str">
        <x:v>Dried Mango</x:v>
      </x:c>
      <x:c r="D289" t="str">
        <x:v>Dryer 3</x:v>
      </x:c>
      <x:c r="E289" t="str">
        <x:v>Sup 2</x:v>
      </x:c>
      <x:c r="F289" t="n">
        <x:v>450</x:v>
      </x:c>
      <x:c r="G289" t="n">
        <x:v>30</x:v>
      </x:c>
      <x:c r="H289" t="n">
        <x:v>57</x:v>
      </x:c>
      <x:c r="I289" t="n">
        <x:v>1681</x:v>
      </x:c>
      <x:c r="J289" t="n">
        <x:v>1309</x:v>
      </x:c>
      <x:c r="K289" t="n">
        <x:v>60</x:v>
      </x:c>
      <x:c r="L289" t="n">
        <x:v>12</x:v>
      </x:c>
      <x:c r="M289" t="n">
        <x:v>89.3</x:v>
      </x:c>
      <x:c r="N289" t="n">
        <x:v>66.6</x:v>
      </x:c>
      <x:c r="O289" t="n">
        <x:v>69.7</x:v>
      </x:c>
      <x:c r="P289" t="n">
        <x:v>3</x:v>
      </x:c>
      <x:c r="Q289" t="str">
        <x:v>No incident</x:v>
      </x:c>
      <x:c r="R289" t="str">
        <x:v>N/A</x:v>
      </x:c>
      <x:c r="S289" t="str">
        <x:v>Preventive</x:v>
      </x:c>
      <x:c r="T289" t="n">
        <x:v>1.05</x:v>
      </x:c>
      <x:c r="U289" t="n">
        <x:v>10.8</x:v>
      </x:c>
      <x:c r="V289" t="n">
        <x:f>IFERROR(J289/I289*100,0)</x:f>
        <x:v>77.87031528851874</x:v>
      </x:c>
      <x:c r="W289" t="n">
        <x:f>IFERROR(K289/J289*100,0)</x:f>
        <x:v>4.583651642475172</x:v>
      </x:c>
      <x:c r="X289" t="n">
        <x:f>IFERROR(H289/F289*100,0)</x:f>
        <x:v>12.666666666666668</x:v>
      </x:c>
      <x:c r="Y289" t="n">
        <x:f>J289-K289</x:f>
        <x:v>1249</x:v>
      </x:c>
      <x:c r="Z289" t="n">
        <x:f>MAX(0,MIN(100,(V289/100)*(1-X289/100)*(1-W289/100)*100))</x:f>
        <x:v>64.88954987110847</x:v>
      </x:c>
    </x:row>
    <x:row r="290">
      <x:c r="A290" s="12" t="n">
        <x:v>46123</x:v>
      </x:c>
      <x:c r="B290" t="str">
        <x:v>A</x:v>
      </x:c>
      <x:c r="C290" t="str">
        <x:v>Dried Pineapple</x:v>
      </x:c>
      <x:c r="D290" t="str">
        <x:v>Dryer 1</x:v>
      </x:c>
      <x:c r="E290" t="str">
        <x:v>Sup 3</x:v>
      </x:c>
      <x:c r="F290" t="n">
        <x:v>450</x:v>
      </x:c>
      <x:c r="G290" t="n">
        <x:v>40</x:v>
      </x:c>
      <x:c r="H290" t="n">
        <x:v>22</x:v>
      </x:c>
      <x:c r="I290" t="n">
        <x:v>1877</x:v>
      </x:c>
      <x:c r="J290" t="n">
        <x:v>1670</x:v>
      </x:c>
      <x:c r="K290" t="n">
        <x:v>59</x:v>
      </x:c>
      <x:c r="L290" t="n">
        <x:v>40</x:v>
      </x:c>
      <x:c r="M290" t="n">
        <x:v>95.7</x:v>
      </x:c>
      <x:c r="N290" t="n">
        <x:v>85.6</x:v>
      </x:c>
      <x:c r="O290" t="n">
        <x:v>69.2</x:v>
      </x:c>
      <x:c r="P290" t="n">
        <x:v>1</x:v>
      </x:c>
      <x:c r="Q290" t="str">
        <x:v>No incident</x:v>
      </x:c>
      <x:c r="R290" t="str">
        <x:v>N/A</x:v>
      </x:c>
      <x:c r="S290" t="str">
        <x:v>Corrective</x:v>
      </x:c>
      <x:c r="T290" t="n">
        <x:v>1.73</x:v>
      </x:c>
      <x:c r="U290" t="n">
        <x:v>15</x:v>
      </x:c>
      <x:c r="V290" t="n">
        <x:f>IFERROR(J290/I290*100,0)</x:f>
        <x:v>88.97176345231753</x:v>
      </x:c>
      <x:c r="W290" t="n">
        <x:f>IFERROR(K290/J290*100,0)</x:f>
        <x:v>3.5329341317365266</x:v>
      </x:c>
      <x:c r="X290" t="n">
        <x:f>IFERROR(H290/F290*100,0)</x:f>
        <x:v>4.888888888888889</x:v>
      </x:c>
      <x:c r="Y290" t="n">
        <x:f>J290-K290</x:f>
        <x:v>1611</x:v>
      </x:c>
      <x:c r="Z290" t="n">
        <x:f>MAX(0,MIN(100,(V290/100)*(1-X290/100)*(1-W290/100)*100))</x:f>
        <x:v>81.63239211507725</x:v>
      </x:c>
    </x:row>
    <x:row r="291">
      <x:c r="A291" s="12" t="n">
        <x:v>46123</x:v>
      </x:c>
      <x:c r="B291" t="str">
        <x:v>B</x:v>
      </x:c>
      <x:c r="C291" t="str">
        <x:v>Desiccated Coconut</x:v>
      </x:c>
      <x:c r="D291" t="str">
        <x:v>Dryer 3</x:v>
      </x:c>
      <x:c r="E291" t="str">
        <x:v>Sup 2</x:v>
      </x:c>
      <x:c r="F291" t="n">
        <x:v>420</x:v>
      </x:c>
      <x:c r="G291" t="n">
        <x:v>0</x:v>
      </x:c>
      <x:c r="H291" t="n">
        <x:v>63</x:v>
      </x:c>
      <x:c r="I291" t="n">
        <x:v>1171</x:v>
      </x:c>
      <x:c r="J291" t="n">
        <x:v>1014</x:v>
      </x:c>
      <x:c r="K291" t="n">
        <x:v>48</x:v>
      </x:c>
      <x:c r="L291" t="n">
        <x:v>30</x:v>
      </x:c>
      <x:c r="M291" t="n">
        <x:v>84.8</x:v>
      </x:c>
      <x:c r="N291" t="n">
        <x:v>77.8</x:v>
      </x:c>
      <x:c r="O291" t="n">
        <x:v>81.7</x:v>
      </x:c>
      <x:c r="P291" t="n">
        <x:v>2</x:v>
      </x:c>
      <x:c r="Q291" t="str">
        <x:v>Near miss</x:v>
      </x:c>
      <x:c r="R291" t="str">
        <x:v>Closed</x:v>
      </x:c>
      <x:c r="S291" t="str">
        <x:v>Preventive</x:v>
      </x:c>
      <x:c r="T291" t="n">
        <x:v>0.5</x:v>
      </x:c>
      <x:c r="U291" t="n">
        <x:v>8.9</x:v>
      </x:c>
      <x:c r="V291" t="n">
        <x:f>IFERROR(J291/I291*100,0)</x:f>
        <x:v>86.5926558497011</x:v>
      </x:c>
      <x:c r="W291" t="n">
        <x:f>IFERROR(K291/J291*100,0)</x:f>
        <x:v>4.733727810650888</x:v>
      </x:c>
      <x:c r="X291" t="n">
        <x:f>IFERROR(H291/F291*100,0)</x:f>
        <x:v>15</x:v>
      </x:c>
      <x:c r="Y291" t="n">
        <x:f>J291-K291</x:f>
        <x:v>966</x:v>
      </x:c>
      <x:c r="Z291" t="n">
        <x:f>MAX(0,MIN(100,(V291/100)*(1-X291/100)*(1-W291/100)*100))</x:f>
        <x:v>70.1195559350982</x:v>
      </x:c>
    </x:row>
    <x:row r="292">
      <x:c r="A292" s="12" t="n">
        <x:v>46123</x:v>
      </x:c>
      <x:c r="B292" t="str">
        <x:v>C</x:v>
      </x:c>
      <x:c r="C292" t="str">
        <x:v>Desiccated Coconut</x:v>
      </x:c>
      <x:c r="D292" t="str">
        <x:v>Dryer 3</x:v>
      </x:c>
      <x:c r="E292" t="str">
        <x:v>Sup 3</x:v>
      </x:c>
      <x:c r="F292" t="n">
        <x:v>420</x:v>
      </x:c>
      <x:c r="G292" t="n">
        <x:v>0</x:v>
      </x:c>
      <x:c r="H292" t="n">
        <x:v>89</x:v>
      </x:c>
      <x:c r="I292" t="n">
        <x:v>1195</x:v>
      </x:c>
      <x:c r="J292" t="n">
        <x:v>953</x:v>
      </x:c>
      <x:c r="K292" t="n">
        <x:v>46</x:v>
      </x:c>
      <x:c r="L292" t="n">
        <x:v>23</x:v>
      </x:c>
      <x:c r="M292" t="n">
        <x:v>99.3</x:v>
      </x:c>
      <x:c r="N292" t="n">
        <x:v>58</x:v>
      </x:c>
      <x:c r="O292" t="n">
        <x:v>68</x:v>
      </x:c>
      <x:c r="P292" t="n">
        <x:v>3</x:v>
      </x:c>
      <x:c r="Q292" t="str">
        <x:v>No incident</x:v>
      </x:c>
      <x:c r="R292" t="str">
        <x:v>N/A</x:v>
      </x:c>
      <x:c r="S292" t="str">
        <x:v>Preventive</x:v>
      </x:c>
      <x:c r="T292" t="n">
        <x:v>1.21</x:v>
      </x:c>
      <x:c r="U292" t="n">
        <x:v>7.3</x:v>
      </x:c>
      <x:c r="V292" t="n">
        <x:f>IFERROR(J292/I292*100,0)</x:f>
        <x:v>79.7489539748954</x:v>
      </x:c>
      <x:c r="W292" t="n">
        <x:f>IFERROR(K292/J292*100,0)</x:f>
        <x:v>4.826862539349422</x:v>
      </x:c>
      <x:c r="X292" t="n">
        <x:f>IFERROR(H292/F292*100,0)</x:f>
        <x:v>21.19047619047619</x:v>
      </x:c>
      <x:c r="Y292" t="n">
        <x:f>J292-K292</x:f>
        <x:v>907</x:v>
      </x:c>
      <x:c r="Z292" t="n">
        <x:f>MAX(0,MIN(100,(V292/100)*(1-X292/100)*(1-W292/100)*100))</x:f>
        <x:v>59.816098824467026</x:v>
      </x:c>
    </x:row>
    <x:row r="293">
      <x:c r="A293" s="12" t="n">
        <x:v>46124</x:v>
      </x:c>
      <x:c r="B293" t="str">
        <x:v>A</x:v>
      </x:c>
      <x:c r="C293" t="str">
        <x:v>Desiccated Coconut</x:v>
      </x:c>
      <x:c r="D293" t="str">
        <x:v>Dryer 2</x:v>
      </x:c>
      <x:c r="E293" t="str">
        <x:v>Sup 2</x:v>
      </x:c>
      <x:c r="F293" t="n">
        <x:v>450</x:v>
      </x:c>
      <x:c r="G293" t="n">
        <x:v>20</x:v>
      </x:c>
      <x:c r="H293" t="n">
        <x:v>25</x:v>
      </x:c>
      <x:c r="I293" t="n">
        <x:v>1226</x:v>
      </x:c>
      <x:c r="J293" t="n">
        <x:v>1102</x:v>
      </x:c>
      <x:c r="K293" t="n">
        <x:v>24</x:v>
      </x:c>
      <x:c r="L293" t="n">
        <x:v>7</x:v>
      </x:c>
      <x:c r="M293" t="n">
        <x:v>88.8</x:v>
      </x:c>
      <x:c r="N293" t="n">
        <x:v>79</x:v>
      </x:c>
      <x:c r="O293" t="n">
        <x:v>81.7</x:v>
      </x:c>
      <x:c r="P293" t="n">
        <x:v>3</x:v>
      </x:c>
      <x:c r="Q293" t="str">
        <x:v>No incident</x:v>
      </x:c>
      <x:c r="R293" t="str">
        <x:v>N/A</x:v>
      </x:c>
      <x:c r="S293" t="str">
        <x:v>Inspection</x:v>
      </x:c>
      <x:c r="T293" t="n">
        <x:v>0.84</x:v>
      </x:c>
      <x:c r="U293" t="n">
        <x:v>8.4</x:v>
      </x:c>
      <x:c r="V293" t="n">
        <x:f>IFERROR(J293/I293*100,0)</x:f>
        <x:v>89.88580750407831</x:v>
      </x:c>
      <x:c r="W293" t="n">
        <x:f>IFERROR(K293/J293*100,0)</x:f>
        <x:v>2.1778584392014517</x:v>
      </x:c>
      <x:c r="X293" t="n">
        <x:f>IFERROR(H293/F293*100,0)</x:f>
        <x:v>5.555555555555555</x:v>
      </x:c>
      <x:c r="Y293" t="n">
        <x:f>J293-K293</x:f>
        <x:v>1078</x:v>
      </x:c>
      <x:c r="Z293" t="n">
        <x:f>MAX(0,MIN(100,(V293/100)*(1-X293/100)*(1-W293/100)*100))</x:f>
        <x:v>83.04332064527824</x:v>
      </x:c>
    </x:row>
    <x:row r="294">
      <x:c r="A294" s="12" t="n">
        <x:v>46124</x:v>
      </x:c>
      <x:c r="B294" t="str">
        <x:v>B</x:v>
      </x:c>
      <x:c r="C294" t="str">
        <x:v>Desiccated Coconut</x:v>
      </x:c>
      <x:c r="D294" t="str">
        <x:v>Dryer 2</x:v>
      </x:c>
      <x:c r="E294" t="str">
        <x:v>Sup 2</x:v>
      </x:c>
      <x:c r="F294" t="n">
        <x:v>420</x:v>
      </x:c>
      <x:c r="G294" t="n">
        <x:v>20</x:v>
      </x:c>
      <x:c r="H294" t="n">
        <x:v>49</x:v>
      </x:c>
      <x:c r="I294" t="n">
        <x:v>1186</x:v>
      </x:c>
      <x:c r="J294" t="n">
        <x:v>963</x:v>
      </x:c>
      <x:c r="K294" t="n">
        <x:v>31</x:v>
      </x:c>
      <x:c r="L294" t="n">
        <x:v>19</x:v>
      </x:c>
      <x:c r="M294" t="n">
        <x:v>95.3</x:v>
      </x:c>
      <x:c r="N294" t="n">
        <x:v>92.4</x:v>
      </x:c>
      <x:c r="O294" t="n">
        <x:v>72.3</x:v>
      </x:c>
      <x:c r="P294" t="n">
        <x:v>2</x:v>
      </x:c>
      <x:c r="Q294" t="str">
        <x:v>No incident</x:v>
      </x:c>
      <x:c r="R294" t="str">
        <x:v>N/A</x:v>
      </x:c>
      <x:c r="S294" t="str">
        <x:v>Inspection</x:v>
      </x:c>
      <x:c r="T294" t="n">
        <x:v>1.18</x:v>
      </x:c>
      <x:c r="U294" t="n">
        <x:v>8.8</x:v>
      </x:c>
      <x:c r="V294" t="n">
        <x:f>IFERROR(J294/I294*100,0)</x:f>
        <x:v>81.1973018549747</x:v>
      </x:c>
      <x:c r="W294" t="n">
        <x:f>IFERROR(K294/J294*100,0)</x:f>
        <x:v>3.2191069574247146</x:v>
      </x:c>
      <x:c r="X294" t="n">
        <x:f>IFERROR(H294/F294*100,0)</x:f>
        <x:v>11.666666666666666</x:v>
      </x:c>
      <x:c r="Y294" t="n">
        <x:f>J294-K294</x:f>
        <x:v>932</x:v>
      </x:c>
      <x:c r="Z294" t="n">
        <x:f>MAX(0,MIN(100,(V294/100)*(1-X294/100)*(1-W294/100)*100))</x:f>
        <x:v>69.41540191118605</x:v>
      </x:c>
    </x:row>
    <x:row r="295">
      <x:c r="A295" s="12" t="n">
        <x:v>46124</x:v>
      </x:c>
      <x:c r="B295" t="str">
        <x:v>C</x:v>
      </x:c>
      <x:c r="C295" t="str">
        <x:v>Dried Pineapple</x:v>
      </x:c>
      <x:c r="D295" t="str">
        <x:v>Dryer 4</x:v>
      </x:c>
      <x:c r="E295" t="str">
        <x:v>Sup 2</x:v>
      </x:c>
      <x:c r="F295" t="n">
        <x:v>450</x:v>
      </x:c>
      <x:c r="G295" t="n">
        <x:v>20</x:v>
      </x:c>
      <x:c r="H295" t="n">
        <x:v>49</x:v>
      </x:c>
      <x:c r="I295" t="n">
        <x:v>1660</x:v>
      </x:c>
      <x:c r="J295" t="n">
        <x:v>1471</x:v>
      </x:c>
      <x:c r="K295" t="n">
        <x:v>56</x:v>
      </x:c>
      <x:c r="L295" t="n">
        <x:v>24</x:v>
      </x:c>
      <x:c r="M295" t="n">
        <x:v>92.2</x:v>
      </x:c>
      <x:c r="N295" t="n">
        <x:v>63.4</x:v>
      </x:c>
      <x:c r="O295" t="n">
        <x:v>71.6</x:v>
      </x:c>
      <x:c r="P295" t="n">
        <x:v>0</x:v>
      </x:c>
      <x:c r="Q295" t="str">
        <x:v>No incident</x:v>
      </x:c>
      <x:c r="R295" t="str">
        <x:v>N/A</x:v>
      </x:c>
      <x:c r="S295" t="str">
        <x:v>Corrective</x:v>
      </x:c>
      <x:c r="T295" t="n">
        <x:v>0.86</x:v>
      </x:c>
      <x:c r="U295" t="n">
        <x:v>11.9</x:v>
      </x:c>
      <x:c r="V295" t="n">
        <x:f>IFERROR(J295/I295*100,0)</x:f>
        <x:v>88.6144578313253</x:v>
      </x:c>
      <x:c r="W295" t="n">
        <x:f>IFERROR(K295/J295*100,0)</x:f>
        <x:v>3.8069340584636304</x:v>
      </x:c>
      <x:c r="X295" t="n">
        <x:f>IFERROR(H295/F295*100,0)</x:f>
        <x:v>10.888888888888888</x:v>
      </x:c>
      <x:c r="Y295" t="n">
        <x:f>J295-K295</x:f>
        <x:v>1415</x:v>
      </x:c>
      <x:c r="Z295" t="n">
        <x:f>MAX(0,MIN(100,(V295/100)*(1-X295/100)*(1-W295/100)*100))</x:f>
        <x:v>75.9591700133869</x:v>
      </x:c>
    </x:row>
    <x:row r="296">
      <x:c r="A296" s="12" t="n">
        <x:v>46125</x:v>
      </x:c>
      <x:c r="B296" t="str">
        <x:v>A</x:v>
      </x:c>
      <x:c r="C296" t="str">
        <x:v>Dried Mango</x:v>
      </x:c>
      <x:c r="D296" t="str">
        <x:v>Dryer 3</x:v>
      </x:c>
      <x:c r="E296" t="str">
        <x:v>Sup 1</x:v>
      </x:c>
      <x:c r="F296" t="n">
        <x:v>420</x:v>
      </x:c>
      <x:c r="G296" t="n">
        <x:v>20</x:v>
      </x:c>
      <x:c r="H296" t="n">
        <x:v>74</x:v>
      </x:c>
      <x:c r="I296" t="n">
        <x:v>1551</x:v>
      </x:c>
      <x:c r="J296" t="n">
        <x:v>1152</x:v>
      </x:c>
      <x:c r="K296" t="n">
        <x:v>64</x:v>
      </x:c>
      <x:c r="L296" t="n">
        <x:v>36</x:v>
      </x:c>
      <x:c r="M296" t="n">
        <x:v>99.8</x:v>
      </x:c>
      <x:c r="N296" t="n">
        <x:v>79.1</x:v>
      </x:c>
      <x:c r="O296" t="n">
        <x:v>67.3</x:v>
      </x:c>
      <x:c r="P296" t="n">
        <x:v>2</x:v>
      </x:c>
      <x:c r="Q296" t="str">
        <x:v>No incident</x:v>
      </x:c>
      <x:c r="R296" t="str">
        <x:v>N/A</x:v>
      </x:c>
      <x:c r="S296" t="str">
        <x:v>Corrective</x:v>
      </x:c>
      <x:c r="T296" t="n">
        <x:v>1.72</x:v>
      </x:c>
      <x:c r="U296" t="n">
        <x:v>8.7</x:v>
      </x:c>
      <x:c r="V296" t="n">
        <x:f>IFERROR(J296/I296*100,0)</x:f>
        <x:v>74.27466150870407</x:v>
      </x:c>
      <x:c r="W296" t="n">
        <x:f>IFERROR(K296/J296*100,0)</x:f>
        <x:v>5.555555555555555</x:v>
      </x:c>
      <x:c r="X296" t="n">
        <x:f>IFERROR(H296/F296*100,0)</x:f>
        <x:v>17.61904761904762</x:v>
      </x:c>
      <x:c r="Y296" t="n">
        <x:f>J296-K296</x:f>
        <x:v>1088</x:v>
      </x:c>
      <x:c r="Z296" t="n">
        <x:f>MAX(0,MIN(100,(V296/100)*(1-X296/100)*(1-W296/100)*100))</x:f>
        <x:v>57.78883055478801</x:v>
      </x:c>
    </x:row>
    <x:row r="297">
      <x:c r="A297" s="12" t="n">
        <x:v>46125</x:v>
      </x:c>
      <x:c r="B297" t="str">
        <x:v>B</x:v>
      </x:c>
      <x:c r="C297" t="str">
        <x:v>Dried Pineapple</x:v>
      </x:c>
      <x:c r="D297" t="str">
        <x:v>Dryer 4</x:v>
      </x:c>
      <x:c r="E297" t="str">
        <x:v>Sup 2</x:v>
      </x:c>
      <x:c r="F297" t="n">
        <x:v>450</x:v>
      </x:c>
      <x:c r="G297" t="n">
        <x:v>30</x:v>
      </x:c>
      <x:c r="H297" t="n">
        <x:v>65</x:v>
      </x:c>
      <x:c r="I297" t="n">
        <x:v>1881</x:v>
      </x:c>
      <x:c r="J297" t="n">
        <x:v>1403</x:v>
      </x:c>
      <x:c r="K297" t="n">
        <x:v>34</x:v>
      </x:c>
      <x:c r="L297" t="n">
        <x:v>17</x:v>
      </x:c>
      <x:c r="M297" t="n">
        <x:v>90.8</x:v>
      </x:c>
      <x:c r="N297" t="n">
        <x:v>65.1</x:v>
      </x:c>
      <x:c r="O297" t="n">
        <x:v>75.4</x:v>
      </x:c>
      <x:c r="P297" t="n">
        <x:v>4</x:v>
      </x:c>
      <x:c r="Q297" t="str">
        <x:v>No incident</x:v>
      </x:c>
      <x:c r="R297" t="str">
        <x:v>N/A</x:v>
      </x:c>
      <x:c r="S297" t="str">
        <x:v>Preventive</x:v>
      </x:c>
      <x:c r="T297" t="n">
        <x:v>0.83</x:v>
      </x:c>
      <x:c r="U297" t="n">
        <x:v>12.1</x:v>
      </x:c>
      <x:c r="V297" t="n">
        <x:f>IFERROR(J297/I297*100,0)</x:f>
        <x:v>74.5879851143009</x:v>
      </x:c>
      <x:c r="W297" t="n">
        <x:f>IFERROR(K297/J297*100,0)</x:f>
        <x:v>2.4233784746970777</x:v>
      </x:c>
      <x:c r="X297" t="n">
        <x:f>IFERROR(H297/F297*100,0)</x:f>
        <x:v>14.444444444444443</x:v>
      </x:c>
      <x:c r="Y297" t="n">
        <x:f>J297-K297</x:f>
        <x:v>1369</x:v>
      </x:c>
      <x:c r="Z297" t="n">
        <x:f>MAX(0,MIN(100,(V297/100)*(1-X297/100)*(1-W297/100)*100))</x:f>
        <x:v>62.26770630279403</x:v>
      </x:c>
    </x:row>
    <x:row r="298">
      <x:c r="A298" s="12" t="n">
        <x:v>46125</x:v>
      </x:c>
      <x:c r="B298" t="str">
        <x:v>C</x:v>
      </x:c>
      <x:c r="C298" t="str">
        <x:v>Dried Pineapple</x:v>
      </x:c>
      <x:c r="D298" t="str">
        <x:v>Dryer 1</x:v>
      </x:c>
      <x:c r="E298" t="str">
        <x:v>Sup 3</x:v>
      </x:c>
      <x:c r="F298" t="n">
        <x:v>480</x:v>
      </x:c>
      <x:c r="G298" t="n">
        <x:v>40</x:v>
      </x:c>
      <x:c r="H298" t="n">
        <x:v>27</x:v>
      </x:c>
      <x:c r="I298" t="n">
        <x:v>1669</x:v>
      </x:c>
      <x:c r="J298" t="n">
        <x:v>1543</x:v>
      </x:c>
      <x:c r="K298" t="n">
        <x:v>64</x:v>
      </x:c>
      <x:c r="L298" t="n">
        <x:v>19</x:v>
      </x:c>
      <x:c r="M298" t="n">
        <x:v>92.3</x:v>
      </x:c>
      <x:c r="N298" t="n">
        <x:v>61.6</x:v>
      </x:c>
      <x:c r="O298" t="n">
        <x:v>65.4</x:v>
      </x:c>
      <x:c r="P298" t="n">
        <x:v>3</x:v>
      </x:c>
      <x:c r="Q298" t="str">
        <x:v>No incident</x:v>
      </x:c>
      <x:c r="R298" t="str">
        <x:v>N/A</x:v>
      </x:c>
      <x:c r="S298" t="str">
        <x:v>Corrective</x:v>
      </x:c>
      <x:c r="T298" t="n">
        <x:v>0.96</x:v>
      </x:c>
      <x:c r="U298" t="n">
        <x:v>12.3</x:v>
      </x:c>
      <x:c r="V298" t="n">
        <x:f>IFERROR(J298/I298*100,0)</x:f>
        <x:v>92.45056920311563</x:v>
      </x:c>
      <x:c r="W298" t="n">
        <x:f>IFERROR(K298/J298*100,0)</x:f>
        <x:v>4.1477640959170445</x:v>
      </x:c>
      <x:c r="X298" t="n">
        <x:f>IFERROR(H298/F298*100,0)</x:f>
        <x:v>5.625</x:v>
      </x:c>
      <x:c r="Y298" t="n">
        <x:f>J298-K298</x:f>
        <x:v>1479</x:v>
      </x:c>
      <x:c r="Z298" t="n">
        <x:f>MAX(0,MIN(100,(V298/100)*(1-X298/100)*(1-W298/100)*100))</x:f>
        <x:v>83.63129119233072</x:v>
      </x:c>
    </x:row>
    <x:row r="299">
      <x:c r="A299" s="12" t="n">
        <x:v>46126</x:v>
      </x:c>
      <x:c r="B299" t="str">
        <x:v>A</x:v>
      </x:c>
      <x:c r="C299" t="str">
        <x:v>Dried Pineapple</x:v>
      </x:c>
      <x:c r="D299" t="str">
        <x:v>Dryer 1</x:v>
      </x:c>
      <x:c r="E299" t="str">
        <x:v>Sup 2</x:v>
      </x:c>
      <x:c r="F299" t="n">
        <x:v>450</x:v>
      </x:c>
      <x:c r="G299" t="n">
        <x:v>30</x:v>
      </x:c>
      <x:c r="H299" t="n">
        <x:v>30</x:v>
      </x:c>
      <x:c r="I299" t="n">
        <x:v>1692</x:v>
      </x:c>
      <x:c r="J299" t="n">
        <x:v>1404</x:v>
      </x:c>
      <x:c r="K299" t="n">
        <x:v>53</x:v>
      </x:c>
      <x:c r="L299" t="n">
        <x:v>23</x:v>
      </x:c>
      <x:c r="M299" t="n">
        <x:v>89.2</x:v>
      </x:c>
      <x:c r="N299" t="n">
        <x:v>80.2</x:v>
      </x:c>
      <x:c r="O299" t="n">
        <x:v>89</x:v>
      </x:c>
      <x:c r="P299" t="n">
        <x:v>5</x:v>
      </x:c>
      <x:c r="Q299" t="str">
        <x:v>No incident</x:v>
      </x:c>
      <x:c r="R299" t="str">
        <x:v>N/A</x:v>
      </x:c>
      <x:c r="S299" t="str">
        <x:v>Corrective</x:v>
      </x:c>
      <x:c r="T299" t="n">
        <x:v>1.42</x:v>
      </x:c>
      <x:c r="U299" t="n">
        <x:v>12.8</x:v>
      </x:c>
      <x:c r="V299" t="n">
        <x:f>IFERROR(J299/I299*100,0)</x:f>
        <x:v>82.97872340425532</x:v>
      </x:c>
      <x:c r="W299" t="n">
        <x:f>IFERROR(K299/J299*100,0)</x:f>
        <x:v>3.774928774928775</x:v>
      </x:c>
      <x:c r="X299" t="n">
        <x:f>IFERROR(H299/F299*100,0)</x:f>
        <x:v>6.666666666666667</x:v>
      </x:c>
      <x:c r="Y299" t="n">
        <x:f>J299-K299</x:f>
        <x:v>1351</x:v>
      </x:c>
      <x:c r="Z299" t="n">
        <x:f>MAX(0,MIN(100,(V299/100)*(1-X299/100)*(1-W299/100)*100))</x:f>
        <x:v>74.52324665090623</x:v>
      </x:c>
    </x:row>
    <x:row r="300">
      <x:c r="A300" s="12" t="n">
        <x:v>46126</x:v>
      </x:c>
      <x:c r="B300" t="str">
        <x:v>B</x:v>
      </x:c>
      <x:c r="C300" t="str">
        <x:v>Dried Mango</x:v>
      </x:c>
      <x:c r="D300" t="str">
        <x:v>Dryer 3</x:v>
      </x:c>
      <x:c r="E300" t="str">
        <x:v>Sup 3</x:v>
      </x:c>
      <x:c r="F300" t="n">
        <x:v>480</x:v>
      </x:c>
      <x:c r="G300" t="n">
        <x:v>20</x:v>
      </x:c>
      <x:c r="H300" t="n">
        <x:v>47</x:v>
      </x:c>
      <x:c r="I300" t="n">
        <x:v>1673</x:v>
      </x:c>
      <x:c r="J300" t="n">
        <x:v>1501</x:v>
      </x:c>
      <x:c r="K300" t="n">
        <x:v>73</x:v>
      </x:c>
      <x:c r="L300" t="n">
        <x:v>27</x:v>
      </x:c>
      <x:c r="M300" t="n">
        <x:v>91.2</x:v>
      </x:c>
      <x:c r="N300" t="n">
        <x:v>76.1</x:v>
      </x:c>
      <x:c r="O300" t="n">
        <x:v>58.7</x:v>
      </x:c>
      <x:c r="P300" t="n">
        <x:v>1</x:v>
      </x:c>
      <x:c r="Q300" t="str">
        <x:v>No incident</x:v>
      </x:c>
      <x:c r="R300" t="str">
        <x:v>N/A</x:v>
      </x:c>
      <x:c r="S300" t="str">
        <x:v>Preventive</x:v>
      </x:c>
      <x:c r="T300" t="n">
        <x:v>1.39</x:v>
      </x:c>
      <x:c r="U300" t="n">
        <x:v>13.7</x:v>
      </x:c>
      <x:c r="V300" t="n">
        <x:f>IFERROR(J300/I300*100,0)</x:f>
        <x:v>89.71906754333533</x:v>
      </x:c>
      <x:c r="W300" t="n">
        <x:f>IFERROR(K300/J300*100,0)</x:f>
        <x:v>4.863424383744171</x:v>
      </x:c>
      <x:c r="X300" t="n">
        <x:f>IFERROR(H300/F300*100,0)</x:f>
        <x:v>9.791666666666666</x:v>
      </x:c>
      <x:c r="Y300" t="n">
        <x:f>J300-K300</x:f>
        <x:v>1428</x:v>
      </x:c>
      <x:c r="Z300" t="n">
        <x:f>MAX(0,MIN(100,(V300/100)*(1-X300/100)*(1-W300/100)*100))</x:f>
        <x:v>76.99790794979079</x:v>
      </x:c>
    </x:row>
    <x:row r="301">
      <x:c r="A301" s="12" t="n">
        <x:v>46126</x:v>
      </x:c>
      <x:c r="B301" t="str">
        <x:v>C</x:v>
      </x:c>
      <x:c r="C301" t="str">
        <x:v>Dried Mango</x:v>
      </x:c>
      <x:c r="D301" t="str">
        <x:v>Dryer 4</x:v>
      </x:c>
      <x:c r="E301" t="str">
        <x:v>Sup 3</x:v>
      </x:c>
      <x:c r="F301" t="n">
        <x:v>450</x:v>
      </x:c>
      <x:c r="G301" t="n">
        <x:v>40</x:v>
      </x:c>
      <x:c r="H301" t="n">
        <x:v>53</x:v>
      </x:c>
      <x:c r="I301" t="n">
        <x:v>1768</x:v>
      </x:c>
      <x:c r="J301" t="n">
        <x:v>1420</x:v>
      </x:c>
      <x:c r="K301" t="n">
        <x:v>48</x:v>
      </x:c>
      <x:c r="L301" t="n">
        <x:v>9</x:v>
      </x:c>
      <x:c r="M301" t="n">
        <x:v>99.6</x:v>
      </x:c>
      <x:c r="N301" t="n">
        <x:v>55</x:v>
      </x:c>
      <x:c r="O301" t="n">
        <x:v>72.4</x:v>
      </x:c>
      <x:c r="P301" t="n">
        <x:v>2</x:v>
      </x:c>
      <x:c r="Q301" t="str">
        <x:v>No incident</x:v>
      </x:c>
      <x:c r="R301" t="str">
        <x:v>N/A</x:v>
      </x:c>
      <x:c r="S301" t="str">
        <x:v>Preventive</x:v>
      </x:c>
      <x:c r="T301" t="n">
        <x:v>1.16</x:v>
      </x:c>
      <x:c r="U301" t="n">
        <x:v>11.6</x:v>
      </x:c>
      <x:c r="V301" t="n">
        <x:f>IFERROR(J301/I301*100,0)</x:f>
        <x:v>80.31674208144797</x:v>
      </x:c>
      <x:c r="W301" t="n">
        <x:f>IFERROR(K301/J301*100,0)</x:f>
        <x:v>3.3802816901408446</x:v>
      </x:c>
      <x:c r="X301" t="n">
        <x:f>IFERROR(H301/F301*100,0)</x:f>
        <x:v>11.777777777777777</x:v>
      </x:c>
      <x:c r="Y301" t="n">
        <x:f>J301-K301</x:f>
        <x:v>1372</x:v>
      </x:c>
      <x:c r="Z301" t="n">
        <x:f>MAX(0,MIN(100,(V301/100)*(1-X301/100)*(1-W301/100)*100))</x:f>
        <x:v>68.46204122674712</x:v>
      </x:c>
    </x:row>
    <x:row r="302">
      <x:c r="A302" s="12" t="n">
        <x:v>46127</x:v>
      </x:c>
      <x:c r="B302" t="str">
        <x:v>A</x:v>
      </x:c>
      <x:c r="C302" t="str">
        <x:v>Dried Pineapple</x:v>
      </x:c>
      <x:c r="D302" t="str">
        <x:v>Dryer 3</x:v>
      </x:c>
      <x:c r="E302" t="str">
        <x:v>Sup 3</x:v>
      </x:c>
      <x:c r="F302" t="n">
        <x:v>420</x:v>
      </x:c>
      <x:c r="G302" t="n">
        <x:v>40</x:v>
      </x:c>
      <x:c r="H302" t="n">
        <x:v>54</x:v>
      </x:c>
      <x:c r="I302" t="n">
        <x:v>1714</x:v>
      </x:c>
      <x:c r="J302" t="n">
        <x:v>1409</x:v>
      </x:c>
      <x:c r="K302" t="n">
        <x:v>72</x:v>
      </x:c>
      <x:c r="L302" t="n">
        <x:v>44</x:v>
      </x:c>
      <x:c r="M302" t="n">
        <x:v>98</x:v>
      </x:c>
      <x:c r="N302" t="n">
        <x:v>92.2</x:v>
      </x:c>
      <x:c r="O302" t="n">
        <x:v>78.9</x:v>
      </x:c>
      <x:c r="P302" t="n">
        <x:v>0</x:v>
      </x:c>
      <x:c r="Q302" t="str">
        <x:v>No incident</x:v>
      </x:c>
      <x:c r="R302" t="str">
        <x:v>N/A</x:v>
      </x:c>
      <x:c r="S302" t="str">
        <x:v>Inspection</x:v>
      </x:c>
      <x:c r="T302" t="n">
        <x:v>0.5</x:v>
      </x:c>
      <x:c r="U302" t="n">
        <x:v>12.4</x:v>
      </x:c>
      <x:c r="V302" t="n">
        <x:f>IFERROR(J302/I302*100,0)</x:f>
        <x:v>82.20536756126022</x:v>
      </x:c>
      <x:c r="W302" t="n">
        <x:f>IFERROR(K302/J302*100,0)</x:f>
        <x:v>5.11000709723208</x:v>
      </x:c>
      <x:c r="X302" t="n">
        <x:f>IFERROR(H302/F302*100,0)</x:f>
        <x:v>12.857142857142856</x:v>
      </x:c>
      <x:c r="Y302" t="n">
        <x:f>J302-K302</x:f>
        <x:v>1337</x:v>
      </x:c>
      <x:c r="Z302" t="n">
        <x:f>MAX(0,MIN(100,(V302/100)*(1-X302/100)*(1-W302/100)*100))</x:f>
        <x:v>67.975495915986</x:v>
      </x:c>
    </x:row>
    <x:row r="303">
      <x:c r="A303" s="12" t="n">
        <x:v>46127</x:v>
      </x:c>
      <x:c r="B303" t="str">
        <x:v>B</x:v>
      </x:c>
      <x:c r="C303" t="str">
        <x:v>Dried Pineapple</x:v>
      </x:c>
      <x:c r="D303" t="str">
        <x:v>Dryer 4</x:v>
      </x:c>
      <x:c r="E303" t="str">
        <x:v>Sup 2</x:v>
      </x:c>
      <x:c r="F303" t="n">
        <x:v>450</x:v>
      </x:c>
      <x:c r="G303" t="n">
        <x:v>0</x:v>
      </x:c>
      <x:c r="H303" t="n">
        <x:v>48</x:v>
      </x:c>
      <x:c r="I303" t="n">
        <x:v>1857</x:v>
      </x:c>
      <x:c r="J303" t="n">
        <x:v>1579</x:v>
      </x:c>
      <x:c r="K303" t="n">
        <x:v>61</x:v>
      </x:c>
      <x:c r="L303" t="n">
        <x:v>21</x:v>
      </x:c>
      <x:c r="M303" t="n">
        <x:v>86.3</x:v>
      </x:c>
      <x:c r="N303" t="n">
        <x:v>74.6</x:v>
      </x:c>
      <x:c r="O303" t="n">
        <x:v>86</x:v>
      </x:c>
      <x:c r="P303" t="n">
        <x:v>4</x:v>
      </x:c>
      <x:c r="Q303" t="str">
        <x:v>Near miss</x:v>
      </x:c>
      <x:c r="R303" t="str">
        <x:v>Closed</x:v>
      </x:c>
      <x:c r="S303" t="str">
        <x:v>Preventive</x:v>
      </x:c>
      <x:c r="T303" t="n">
        <x:v>0.58</x:v>
      </x:c>
      <x:c r="U303" t="n">
        <x:v>12.3</x:v>
      </x:c>
      <x:c r="V303" t="n">
        <x:f>IFERROR(J303/I303*100,0)</x:f>
        <x:v>85.02961766289715</x:v>
      </x:c>
      <x:c r="W303" t="n">
        <x:f>IFERROR(K303/J303*100,0)</x:f>
        <x:v>3.8632045598480054</x:v>
      </x:c>
      <x:c r="X303" t="n">
        <x:f>IFERROR(H303/F303*100,0)</x:f>
        <x:v>10.666666666666668</x:v>
      </x:c>
      <x:c r="Y303" t="n">
        <x:f>J303-K303</x:f>
        <x:v>1518</x:v>
      </x:c>
      <x:c r="Z303" t="n">
        <x:f>MAX(0,MIN(100,(V303/100)*(1-X303/100)*(1-W303/100)*100))</x:f>
        <x:v>73.02530963920302</x:v>
      </x:c>
    </x:row>
    <x:row r="304">
      <x:c r="A304" s="12" t="n">
        <x:v>46127</x:v>
      </x:c>
      <x:c r="B304" t="str">
        <x:v>C</x:v>
      </x:c>
      <x:c r="C304" t="str">
        <x:v>Dried Pineapple</x:v>
      </x:c>
      <x:c r="D304" t="str">
        <x:v>Dryer 1</x:v>
      </x:c>
      <x:c r="E304" t="str">
        <x:v>Sup 1</x:v>
      </x:c>
      <x:c r="F304" t="n">
        <x:v>450</x:v>
      </x:c>
      <x:c r="G304" t="n">
        <x:v>20</x:v>
      </x:c>
      <x:c r="H304" t="n">
        <x:v>46</x:v>
      </x:c>
      <x:c r="I304" t="n">
        <x:v>1735</x:v>
      </x:c>
      <x:c r="J304" t="n">
        <x:v>1538</x:v>
      </x:c>
      <x:c r="K304" t="n">
        <x:v>53</x:v>
      </x:c>
      <x:c r="L304" t="n">
        <x:v>11</x:v>
      </x:c>
      <x:c r="M304" t="n">
        <x:v>93.9</x:v>
      </x:c>
      <x:c r="N304" t="n">
        <x:v>76.1</x:v>
      </x:c>
      <x:c r="O304" t="n">
        <x:v>81.7</x:v>
      </x:c>
      <x:c r="P304" t="n">
        <x:v>3</x:v>
      </x:c>
      <x:c r="Q304" t="str">
        <x:v>No incident</x:v>
      </x:c>
      <x:c r="R304" t="str">
        <x:v>N/A</x:v>
      </x:c>
      <x:c r="S304" t="str">
        <x:v>Corrective</x:v>
      </x:c>
      <x:c r="T304" t="n">
        <x:v>1.02</x:v>
      </x:c>
      <x:c r="U304" t="n">
        <x:v>12.7</x:v>
      </x:c>
      <x:c r="V304" t="n">
        <x:f>IFERROR(J304/I304*100,0)</x:f>
        <x:v>88.64553314121038</x:v>
      </x:c>
      <x:c r="W304" t="n">
        <x:f>IFERROR(K304/J304*100,0)</x:f>
        <x:v>3.4460338101430428</x:v>
      </x:c>
      <x:c r="X304" t="n">
        <x:f>IFERROR(H304/F304*100,0)</x:f>
        <x:v>10.222222222222223</x:v>
      </x:c>
      <x:c r="Y304" t="n">
        <x:f>J304-K304</x:f>
        <x:v>1485</x:v>
      </x:c>
      <x:c r="Z304" t="n">
        <x:f>MAX(0,MIN(100,(V304/100)*(1-X304/100)*(1-W304/100)*100))</x:f>
        <x:v>76.84149855907782</x:v>
      </x:c>
    </x:row>
    <x:row r="305">
      <x:c r="A305" s="12" t="n">
        <x:v>46128</x:v>
      </x:c>
      <x:c r="B305" t="str">
        <x:v>A</x:v>
      </x:c>
      <x:c r="C305" t="str">
        <x:v>Dried Pineapple</x:v>
      </x:c>
      <x:c r="D305" t="str">
        <x:v>Dryer 4</x:v>
      </x:c>
      <x:c r="E305" t="str">
        <x:v>Sup 2</x:v>
      </x:c>
      <x:c r="F305" t="n">
        <x:v>450</x:v>
      </x:c>
      <x:c r="G305" t="n">
        <x:v>30</x:v>
      </x:c>
      <x:c r="H305" t="n">
        <x:v>38</x:v>
      </x:c>
      <x:c r="I305" t="n">
        <x:v>1689</x:v>
      </x:c>
      <x:c r="J305" t="n">
        <x:v>1487</x:v>
      </x:c>
      <x:c r="K305" t="n">
        <x:v>38</x:v>
      </x:c>
      <x:c r="L305" t="n">
        <x:v>22</x:v>
      </x:c>
      <x:c r="M305" t="n">
        <x:v>90.5</x:v>
      </x:c>
      <x:c r="N305" t="n">
        <x:v>89.8</x:v>
      </x:c>
      <x:c r="O305" t="n">
        <x:v>71.8</x:v>
      </x:c>
      <x:c r="P305" t="n">
        <x:v>2</x:v>
      </x:c>
      <x:c r="Q305" t="str">
        <x:v>No incident</x:v>
      </x:c>
      <x:c r="R305" t="str">
        <x:v>N/A</x:v>
      </x:c>
      <x:c r="S305" t="str">
        <x:v>Preventive</x:v>
      </x:c>
      <x:c r="T305" t="n">
        <x:v>1.18</x:v>
      </x:c>
      <x:c r="U305" t="n">
        <x:v>12.8</x:v>
      </x:c>
      <x:c r="V305" t="n">
        <x:f>IFERROR(J305/I305*100,0)</x:f>
        <x:v>88.04026050917703</x:v>
      </x:c>
      <x:c r="W305" t="n">
        <x:f>IFERROR(K305/J305*100,0)</x:f>
        <x:v>2.555480833893746</x:v>
      </x:c>
      <x:c r="X305" t="n">
        <x:f>IFERROR(H305/F305*100,0)</x:f>
        <x:v>8.444444444444445</x:v>
      </x:c>
      <x:c r="Y305" t="n">
        <x:f>J305-K305</x:f>
        <x:v>1449</x:v>
      </x:c>
      <x:c r="Z305" t="n">
        <x:f>MAX(0,MIN(100,(V305/100)*(1-X305/100)*(1-W305/100)*100))</x:f>
        <x:v>78.54588513913558</x:v>
      </x:c>
    </x:row>
    <x:row r="306">
      <x:c r="A306" s="12" t="n">
        <x:v>46128</x:v>
      </x:c>
      <x:c r="B306" t="str">
        <x:v>B</x:v>
      </x:c>
      <x:c r="C306" t="str">
        <x:v>Dried Pineapple</x:v>
      </x:c>
      <x:c r="D306" t="str">
        <x:v>Dryer 2</x:v>
      </x:c>
      <x:c r="E306" t="str">
        <x:v>Sup 2</x:v>
      </x:c>
      <x:c r="F306" t="n">
        <x:v>420</x:v>
      </x:c>
      <x:c r="G306" t="n">
        <x:v>40</x:v>
      </x:c>
      <x:c r="H306" t="n">
        <x:v>28</x:v>
      </x:c>
      <x:c r="I306" t="n">
        <x:v>1770</x:v>
      </x:c>
      <x:c r="J306" t="n">
        <x:v>1681</x:v>
      </x:c>
      <x:c r="K306" t="n">
        <x:v>54</x:v>
      </x:c>
      <x:c r="L306" t="n">
        <x:v>29</x:v>
      </x:c>
      <x:c r="M306" t="n">
        <x:v>91</x:v>
      </x:c>
      <x:c r="N306" t="n">
        <x:v>79.8</x:v>
      </x:c>
      <x:c r="O306" t="n">
        <x:v>74.8</x:v>
      </x:c>
      <x:c r="P306" t="n">
        <x:v>5</x:v>
      </x:c>
      <x:c r="Q306" t="str">
        <x:v>No incident</x:v>
      </x:c>
      <x:c r="R306" t="str">
        <x:v>N/A</x:v>
      </x:c>
      <x:c r="S306" t="str">
        <x:v>Preventive</x:v>
      </x:c>
      <x:c r="T306" t="n">
        <x:v>0.5</x:v>
      </x:c>
      <x:c r="U306" t="n">
        <x:v>14.2</x:v>
      </x:c>
      <x:c r="V306" t="n">
        <x:f>IFERROR(J306/I306*100,0)</x:f>
        <x:v>94.97175141242938</x:v>
      </x:c>
      <x:c r="W306" t="n">
        <x:f>IFERROR(K306/J306*100,0)</x:f>
        <x:v>3.2123735871505055</x:v>
      </x:c>
      <x:c r="X306" t="n">
        <x:f>IFERROR(H306/F306*100,0)</x:f>
        <x:v>6.666666666666667</x:v>
      </x:c>
      <x:c r="Y306" t="n">
        <x:f>J306-K306</x:f>
        <x:v>1627</x:v>
      </x:c>
      <x:c r="Z306" t="n">
        <x:f>MAX(0,MIN(100,(V306/100)*(1-X306/100)*(1-W306/100)*100))</x:f>
        <x:v>85.79284369114878</x:v>
      </x:c>
    </x:row>
    <x:row r="307">
      <x:c r="A307" s="12" t="n">
        <x:v>46128</x:v>
      </x:c>
      <x:c r="B307" t="str">
        <x:v>C</x:v>
      </x:c>
      <x:c r="C307" t="str">
        <x:v>Dried Pineapple</x:v>
      </x:c>
      <x:c r="D307" t="str">
        <x:v>Dryer 4</x:v>
      </x:c>
      <x:c r="E307" t="str">
        <x:v>Sup 1</x:v>
      </x:c>
      <x:c r="F307" t="n">
        <x:v>420</x:v>
      </x:c>
      <x:c r="G307" t="n">
        <x:v>0</x:v>
      </x:c>
      <x:c r="H307" t="n">
        <x:v>47</x:v>
      </x:c>
      <x:c r="I307" t="n">
        <x:v>1657</x:v>
      </x:c>
      <x:c r="J307" t="n">
        <x:v>1419</x:v>
      </x:c>
      <x:c r="K307" t="n">
        <x:v>44</x:v>
      </x:c>
      <x:c r="L307" t="n">
        <x:v>23</x:v>
      </x:c>
      <x:c r="M307" t="n">
        <x:v>96</x:v>
      </x:c>
      <x:c r="N307" t="n">
        <x:v>62.4</x:v>
      </x:c>
      <x:c r="O307" t="n">
        <x:v>92.7</x:v>
      </x:c>
      <x:c r="P307" t="n">
        <x:v>1</x:v>
      </x:c>
      <x:c r="Q307" t="str">
        <x:v>No incident</x:v>
      </x:c>
      <x:c r="R307" t="str">
        <x:v>N/A</x:v>
      </x:c>
      <x:c r="S307" t="str">
        <x:v>Preventive</x:v>
      </x:c>
      <x:c r="T307" t="n">
        <x:v>0.5</x:v>
      </x:c>
      <x:c r="U307" t="n">
        <x:v>11.2</x:v>
      </x:c>
      <x:c r="V307" t="n">
        <x:f>IFERROR(J307/I307*100,0)</x:f>
        <x:v>85.6366928183464</x:v>
      </x:c>
      <x:c r="W307" t="n">
        <x:f>IFERROR(K307/J307*100,0)</x:f>
        <x:v>3.10077519379845</x:v>
      </x:c>
      <x:c r="X307" t="n">
        <x:f>IFERROR(H307/F307*100,0)</x:f>
        <x:v>11.190476190476192</x:v>
      </x:c>
      <x:c r="Y307" t="n">
        <x:f>J307-K307</x:f>
        <x:v>1375</x:v>
      </x:c>
      <x:c r="Z307" t="n">
        <x:f>MAX(0,MIN(100,(V307/100)*(1-X307/100)*(1-W307/100)*100))</x:f>
        <x:v>73.69528982383538</x:v>
      </x:c>
    </x:row>
    <x:row r="308">
      <x:c r="A308" s="12" t="n">
        <x:v>46129</x:v>
      </x:c>
      <x:c r="B308" t="str">
        <x:v>A</x:v>
      </x:c>
      <x:c r="C308" t="str">
        <x:v>Dried Pineapple</x:v>
      </x:c>
      <x:c r="D308" t="str">
        <x:v>Dryer 2</x:v>
      </x:c>
      <x:c r="E308" t="str">
        <x:v>Sup 1</x:v>
      </x:c>
      <x:c r="F308" t="n">
        <x:v>450</x:v>
      </x:c>
      <x:c r="G308" t="n">
        <x:v>20</x:v>
      </x:c>
      <x:c r="H308" t="n">
        <x:v>42</x:v>
      </x:c>
      <x:c r="I308" t="n">
        <x:v>1858</x:v>
      </x:c>
      <x:c r="J308" t="n">
        <x:v>1524</x:v>
      </x:c>
      <x:c r="K308" t="n">
        <x:v>51</x:v>
      </x:c>
      <x:c r="L308" t="n">
        <x:v>23</x:v>
      </x:c>
      <x:c r="M308" t="n">
        <x:v>90.7</x:v>
      </x:c>
      <x:c r="N308" t="n">
        <x:v>73.5</x:v>
      </x:c>
      <x:c r="O308" t="n">
        <x:v>71.2</x:v>
      </x:c>
      <x:c r="P308" t="n">
        <x:v>2</x:v>
      </x:c>
      <x:c r="Q308" t="str">
        <x:v>No incident</x:v>
      </x:c>
      <x:c r="R308" t="str">
        <x:v>N/A</x:v>
      </x:c>
      <x:c r="S308" t="str">
        <x:v>Preventive</x:v>
      </x:c>
      <x:c r="T308" t="n">
        <x:v>0.5</x:v>
      </x:c>
      <x:c r="U308" t="n">
        <x:v>12.1</x:v>
      </x:c>
      <x:c r="V308" t="n">
        <x:f>IFERROR(J308/I308*100,0)</x:f>
        <x:v>82.02368137782562</x:v>
      </x:c>
      <x:c r="W308" t="n">
        <x:f>IFERROR(K308/J308*100,0)</x:f>
        <x:v>3.346456692913386</x:v>
      </x:c>
      <x:c r="X308" t="n">
        <x:f>IFERROR(H308/F308*100,0)</x:f>
        <x:v>9.333333333333334</x:v>
      </x:c>
      <x:c r="Y308" t="n">
        <x:f>J308-K308</x:f>
        <x:v>1473</x:v>
      </x:c>
      <x:c r="Z308" t="n">
        <x:f>MAX(0,MIN(100,(V308/100)*(1-X308/100)*(1-W308/100)*100))</x:f>
        <x:v>71.87944025834231</x:v>
      </x:c>
    </x:row>
    <x:row r="309">
      <x:c r="A309" s="12" t="n">
        <x:v>46129</x:v>
      </x:c>
      <x:c r="B309" t="str">
        <x:v>B</x:v>
      </x:c>
      <x:c r="C309" t="str">
        <x:v>Dried Pineapple</x:v>
      </x:c>
      <x:c r="D309" t="str">
        <x:v>Dryer 1</x:v>
      </x:c>
      <x:c r="E309" t="str">
        <x:v>Sup 2</x:v>
      </x:c>
      <x:c r="F309" t="n">
        <x:v>420</x:v>
      </x:c>
      <x:c r="G309" t="n">
        <x:v>30</x:v>
      </x:c>
      <x:c r="H309" t="n">
        <x:v>16</x:v>
      </x:c>
      <x:c r="I309" t="n">
        <x:v>1721</x:v>
      </x:c>
      <x:c r="J309" t="n">
        <x:v>1701</x:v>
      </x:c>
      <x:c r="K309" t="n">
        <x:v>69</x:v>
      </x:c>
      <x:c r="L309" t="n">
        <x:v>27</x:v>
      </x:c>
      <x:c r="M309" t="n">
        <x:v>87.8</x:v>
      </x:c>
      <x:c r="N309" t="n">
        <x:v>82.5</x:v>
      </x:c>
      <x:c r="O309" t="n">
        <x:v>83.5</x:v>
      </x:c>
      <x:c r="P309" t="n">
        <x:v>3</x:v>
      </x:c>
      <x:c r="Q309" t="str">
        <x:v>No incident</x:v>
      </x:c>
      <x:c r="R309" t="str">
        <x:v>N/A</x:v>
      </x:c>
      <x:c r="S309" t="str">
        <x:v>Corrective</x:v>
      </x:c>
      <x:c r="T309" t="n">
        <x:v>1.6</x:v>
      </x:c>
      <x:c r="U309" t="n">
        <x:v>13.6</x:v>
      </x:c>
      <x:c r="V309" t="n">
        <x:f>IFERROR(J309/I309*100,0)</x:f>
        <x:v>98.83788495061012</x:v>
      </x:c>
      <x:c r="W309" t="n">
        <x:f>IFERROR(K309/J309*100,0)</x:f>
        <x:v>4.056437389770723</x:v>
      </x:c>
      <x:c r="X309" t="n">
        <x:f>IFERROR(H309/F309*100,0)</x:f>
        <x:v>3.8095238095238098</x:v>
      </x:c>
      <x:c r="Y309" t="n">
        <x:f>J309-K309</x:f>
        <x:v>1632</x:v>
      </x:c>
      <x:c r="Z309" t="n">
        <x:f>MAX(0,MIN(100,(V309/100)*(1-X309/100)*(1-W309/100)*100))</x:f>
        <x:v>91.21607039096872</x:v>
      </x:c>
    </x:row>
    <x:row r="310">
      <x:c r="A310" s="12" t="n">
        <x:v>46129</x:v>
      </x:c>
      <x:c r="B310" t="str">
        <x:v>C</x:v>
      </x:c>
      <x:c r="C310" t="str">
        <x:v>Desiccated Coconut</x:v>
      </x:c>
      <x:c r="D310" t="str">
        <x:v>Dryer 1</x:v>
      </x:c>
      <x:c r="E310" t="str">
        <x:v>Sup 3</x:v>
      </x:c>
      <x:c r="F310" t="n">
        <x:v>420</x:v>
      </x:c>
      <x:c r="G310" t="n">
        <x:v>20</x:v>
      </x:c>
      <x:c r="H310" t="n">
        <x:v>43</x:v>
      </x:c>
      <x:c r="I310" t="n">
        <x:v>1191</x:v>
      </x:c>
      <x:c r="J310" t="n">
        <x:v>964</x:v>
      </x:c>
      <x:c r="K310" t="n">
        <x:v>27</x:v>
      </x:c>
      <x:c r="L310" t="n">
        <x:v>8</x:v>
      </x:c>
      <x:c r="M310" t="n">
        <x:v>89.3</x:v>
      </x:c>
      <x:c r="N310" t="n">
        <x:v>77.2</x:v>
      </x:c>
      <x:c r="O310" t="n">
        <x:v>72.6</x:v>
      </x:c>
      <x:c r="P310" t="n">
        <x:v>4</x:v>
      </x:c>
      <x:c r="Q310" t="str">
        <x:v>No incident</x:v>
      </x:c>
      <x:c r="R310" t="str">
        <x:v>N/A</x:v>
      </x:c>
      <x:c r="S310" t="str">
        <x:v>Inspection</x:v>
      </x:c>
      <x:c r="T310" t="n">
        <x:v>0.81</x:v>
      </x:c>
      <x:c r="U310" t="n">
        <x:v>7.7</x:v>
      </x:c>
      <x:c r="V310" t="n">
        <x:f>IFERROR(J310/I310*100,0)</x:f>
        <x:v>80.94038623005876</x:v>
      </x:c>
      <x:c r="W310" t="n">
        <x:f>IFERROR(K310/J310*100,0)</x:f>
        <x:v>2.8008298755186725</x:v>
      </x:c>
      <x:c r="X310" t="n">
        <x:f>IFERROR(H310/F310*100,0)</x:f>
        <x:v>10.238095238095237</x:v>
      </x:c>
      <x:c r="Y310" t="n">
        <x:f>J310-K310</x:f>
        <x:v>937</x:v>
      </x:c>
      <x:c r="Z310" t="n">
        <x:f>MAX(0,MIN(100,(V310/100)*(1-X310/100)*(1-W310/100)*100))</x:f>
        <x:v>70.61872775978568</x:v>
      </x:c>
    </x:row>
    <x:row r="311">
      <x:c r="A311" s="12" t="n">
        <x:v>46130</x:v>
      </x:c>
      <x:c r="B311" t="str">
        <x:v>A</x:v>
      </x:c>
      <x:c r="C311" t="str">
        <x:v>Dried Mango</x:v>
      </x:c>
      <x:c r="D311" t="str">
        <x:v>Dryer 3</x:v>
      </x:c>
      <x:c r="E311" t="str">
        <x:v>Sup 1</x:v>
      </x:c>
      <x:c r="F311" t="n">
        <x:v>420</x:v>
      </x:c>
      <x:c r="G311" t="n">
        <x:v>30</x:v>
      </x:c>
      <x:c r="H311" t="n">
        <x:v>42</x:v>
      </x:c>
      <x:c r="I311" t="n">
        <x:v>1640</x:v>
      </x:c>
      <x:c r="J311" t="n">
        <x:v>1364</x:v>
      </x:c>
      <x:c r="K311" t="n">
        <x:v>79</x:v>
      </x:c>
      <x:c r="L311" t="n">
        <x:v>33</x:v>
      </x:c>
      <x:c r="M311" t="n">
        <x:v>86.1</x:v>
      </x:c>
      <x:c r="N311" t="n">
        <x:v>76</x:v>
      </x:c>
      <x:c r="O311" t="n">
        <x:v>73.3</x:v>
      </x:c>
      <x:c r="P311" t="n">
        <x:v>1</x:v>
      </x:c>
      <x:c r="Q311" t="str">
        <x:v>First aid</x:v>
      </x:c>
      <x:c r="R311" t="str">
        <x:v>In progress</x:v>
      </x:c>
      <x:c r="S311" t="str">
        <x:v>Preventive</x:v>
      </x:c>
      <x:c r="T311" t="n">
        <x:v>1.29</x:v>
      </x:c>
      <x:c r="U311" t="n">
        <x:v>11.4</x:v>
      </x:c>
      <x:c r="V311" t="n">
        <x:f>IFERROR(J311/I311*100,0)</x:f>
        <x:v>83.17073170731707</x:v>
      </x:c>
      <x:c r="W311" t="n">
        <x:f>IFERROR(K311/J311*100,0)</x:f>
        <x:v>5.791788856304985</x:v>
      </x:c>
      <x:c r="X311" t="n">
        <x:f>IFERROR(H311/F311*100,0)</x:f>
        <x:v>10</x:v>
      </x:c>
      <x:c r="Y311" t="n">
        <x:f>J311-K311</x:f>
        <x:v>1285</x:v>
      </x:c>
      <x:c r="Z311" t="n">
        <x:f>MAX(0,MIN(100,(V311/100)*(1-X311/100)*(1-W311/100)*100))</x:f>
        <x:v>70.51829268292683</x:v>
      </x:c>
    </x:row>
    <x:row r="312">
      <x:c r="A312" s="12" t="n">
        <x:v>46130</x:v>
      </x:c>
      <x:c r="B312" t="str">
        <x:v>B</x:v>
      </x:c>
      <x:c r="C312" t="str">
        <x:v>Dried Pineapple</x:v>
      </x:c>
      <x:c r="D312" t="str">
        <x:v>Dryer 2</x:v>
      </x:c>
      <x:c r="E312" t="str">
        <x:v>Sup 1</x:v>
      </x:c>
      <x:c r="F312" t="n">
        <x:v>420</x:v>
      </x:c>
      <x:c r="G312" t="n">
        <x:v>0</x:v>
      </x:c>
      <x:c r="H312" t="n">
        <x:v>24</x:v>
      </x:c>
      <x:c r="I312" t="n">
        <x:v>1633</x:v>
      </x:c>
      <x:c r="J312" t="n">
        <x:v>1580</x:v>
      </x:c>
      <x:c r="K312" t="n">
        <x:v>36</x:v>
      </x:c>
      <x:c r="L312" t="n">
        <x:v>8</x:v>
      </x:c>
      <x:c r="M312" t="n">
        <x:v>89.8</x:v>
      </x:c>
      <x:c r="N312" t="n">
        <x:v>84.4</x:v>
      </x:c>
      <x:c r="O312" t="n">
        <x:v>75.9</x:v>
      </x:c>
      <x:c r="P312" t="n">
        <x:v>6</x:v>
      </x:c>
      <x:c r="Q312" t="str">
        <x:v>No incident</x:v>
      </x:c>
      <x:c r="R312" t="str">
        <x:v>N/A</x:v>
      </x:c>
      <x:c r="S312" t="str">
        <x:v>Preventive</x:v>
      </x:c>
      <x:c r="T312" t="n">
        <x:v>0.88</x:v>
      </x:c>
      <x:c r="U312" t="n">
        <x:v>12.6</x:v>
      </x:c>
      <x:c r="V312" t="n">
        <x:f>IFERROR(J312/I312*100,0)</x:f>
        <x:v>96.75443968156767</x:v>
      </x:c>
      <x:c r="W312" t="n">
        <x:f>IFERROR(K312/J312*100,0)</x:f>
        <x:v>2.278481012658228</x:v>
      </x:c>
      <x:c r="X312" t="n">
        <x:f>IFERROR(H312/F312*100,0)</x:f>
        <x:v>5.714285714285714</x:v>
      </x:c>
      <x:c r="Y312" t="n">
        <x:f>J312-K312</x:f>
        <x:v>1544</x:v>
      </x:c>
      <x:c r="Z312" t="n">
        <x:f>MAX(0,MIN(100,(V312/100)*(1-X312/100)*(1-W312/100)*100))</x:f>
        <x:v>89.14705625054677</x:v>
      </x:c>
    </x:row>
    <x:row r="313">
      <x:c r="A313" s="12" t="n">
        <x:v>46130</x:v>
      </x:c>
      <x:c r="B313" t="str">
        <x:v>C</x:v>
      </x:c>
      <x:c r="C313" t="str">
        <x:v>Dried Pineapple</x:v>
      </x:c>
      <x:c r="D313" t="str">
        <x:v>Dryer 1</x:v>
      </x:c>
      <x:c r="E313" t="str">
        <x:v>Sup 2</x:v>
      </x:c>
      <x:c r="F313" t="n">
        <x:v>420</x:v>
      </x:c>
      <x:c r="G313" t="n">
        <x:v>40</x:v>
      </x:c>
      <x:c r="H313" t="n">
        <x:v>44</x:v>
      </x:c>
      <x:c r="I313" t="n">
        <x:v>1843</x:v>
      </x:c>
      <x:c r="J313" t="n">
        <x:v>1645</x:v>
      </x:c>
      <x:c r="K313" t="n">
        <x:v>60</x:v>
      </x:c>
      <x:c r="L313" t="n">
        <x:v>37</x:v>
      </x:c>
      <x:c r="M313" t="n">
        <x:v>84.4</x:v>
      </x:c>
      <x:c r="N313" t="n">
        <x:v>84.4</x:v>
      </x:c>
      <x:c r="O313" t="n">
        <x:v>80</x:v>
      </x:c>
      <x:c r="P313" t="n">
        <x:v>4</x:v>
      </x:c>
      <x:c r="Q313" t="str">
        <x:v>No incident</x:v>
      </x:c>
      <x:c r="R313" t="str">
        <x:v>N/A</x:v>
      </x:c>
      <x:c r="S313" t="str">
        <x:v>Inspection</x:v>
      </x:c>
      <x:c r="T313" t="n">
        <x:v>1.33</x:v>
      </x:c>
      <x:c r="U313" t="n">
        <x:v>12.8</x:v>
      </x:c>
      <x:c r="V313" t="n">
        <x:f>IFERROR(J313/I313*100,0)</x:f>
        <x:v>89.2566467715681</x:v>
      </x:c>
      <x:c r="W313" t="n">
        <x:f>IFERROR(K313/J313*100,0)</x:f>
        <x:v>3.64741641337386</x:v>
      </x:c>
      <x:c r="X313" t="n">
        <x:f>IFERROR(H313/F313*100,0)</x:f>
        <x:v>10.476190476190476</x:v>
      </x:c>
      <x:c r="Y313" t="n">
        <x:f>J313-K313</x:f>
        <x:v>1585</x:v>
      </x:c>
      <x:c r="Z313" t="n">
        <x:f>MAX(0,MIN(100,(V313/100)*(1-X313/100)*(1-W313/100)*100))</x:f>
        <x:v>76.99144769139345</x:v>
      </x:c>
    </x:row>
    <x:row r="314">
      <x:c r="A314" s="12" t="n">
        <x:v>46131</x:v>
      </x:c>
      <x:c r="B314" t="str">
        <x:v>A</x:v>
      </x:c>
      <x:c r="C314" t="str">
        <x:v>Dried Mango</x:v>
      </x:c>
      <x:c r="D314" t="str">
        <x:v>Dryer 3</x:v>
      </x:c>
      <x:c r="E314" t="str">
        <x:v>Sup 2</x:v>
      </x:c>
      <x:c r="F314" t="n">
        <x:v>450</x:v>
      </x:c>
      <x:c r="G314" t="n">
        <x:v>0</x:v>
      </x:c>
      <x:c r="H314" t="n">
        <x:v>70</x:v>
      </x:c>
      <x:c r="I314" t="n">
        <x:v>1752</x:v>
      </x:c>
      <x:c r="J314" t="n">
        <x:v>1337</x:v>
      </x:c>
      <x:c r="K314" t="n">
        <x:v>53</x:v>
      </x:c>
      <x:c r="L314" t="n">
        <x:v>16</x:v>
      </x:c>
      <x:c r="M314" t="n">
        <x:v>93.7</x:v>
      </x:c>
      <x:c r="N314" t="n">
        <x:v>70.8</x:v>
      </x:c>
      <x:c r="O314" t="n">
        <x:v>71</x:v>
      </x:c>
      <x:c r="P314" t="n">
        <x:v>5</x:v>
      </x:c>
      <x:c r="Q314" t="str">
        <x:v>No incident</x:v>
      </x:c>
      <x:c r="R314" t="str">
        <x:v>N/A</x:v>
      </x:c>
      <x:c r="S314" t="str">
        <x:v>Preventive</x:v>
      </x:c>
      <x:c r="T314" t="n">
        <x:v>1.2</x:v>
      </x:c>
      <x:c r="U314" t="n">
        <x:v>10.8</x:v>
      </x:c>
      <x:c r="V314" t="n">
        <x:f>IFERROR(J314/I314*100,0)</x:f>
        <x:v>76.31278538812786</x:v>
      </x:c>
      <x:c r="W314" t="n">
        <x:f>IFERROR(K314/J314*100,0)</x:f>
        <x:v>3.9640987284966345</x:v>
      </x:c>
      <x:c r="X314" t="n">
        <x:f>IFERROR(H314/F314*100,0)</x:f>
        <x:v>15.555555555555555</x:v>
      </x:c>
      <x:c r="Y314" t="n">
        <x:f>J314-K314</x:f>
        <x:v>1284</x:v>
      </x:c>
      <x:c r="Z314" t="n">
        <x:f>MAX(0,MIN(100,(V314/100)*(1-X314/100)*(1-W314/100)*100))</x:f>
        <x:v>61.88736681887368</x:v>
      </x:c>
    </x:row>
    <x:row r="315">
      <x:c r="A315" s="12" t="n">
        <x:v>46131</x:v>
      </x:c>
      <x:c r="B315" t="str">
        <x:v>B</x:v>
      </x:c>
      <x:c r="C315" t="str">
        <x:v>Dried Mango</x:v>
      </x:c>
      <x:c r="D315" t="str">
        <x:v>Dryer 3</x:v>
      </x:c>
      <x:c r="E315" t="str">
        <x:v>Sup 3</x:v>
      </x:c>
      <x:c r="F315" t="n">
        <x:v>420</x:v>
      </x:c>
      <x:c r="G315" t="n">
        <x:v>30</x:v>
      </x:c>
      <x:c r="H315" t="n">
        <x:v>56</x:v>
      </x:c>
      <x:c r="I315" t="n">
        <x:v>1720</x:v>
      </x:c>
      <x:c r="J315" t="n">
        <x:v>1507</x:v>
      </x:c>
      <x:c r="K315" t="n">
        <x:v>87</x:v>
      </x:c>
      <x:c r="L315" t="n">
        <x:v>41</x:v>
      </x:c>
      <x:c r="M315" t="n">
        <x:v>88.3</x:v>
      </x:c>
      <x:c r="N315" t="n">
        <x:v>69.6</x:v>
      </x:c>
      <x:c r="O315" t="n">
        <x:v>78.4</x:v>
      </x:c>
      <x:c r="P315" t="n">
        <x:v>3</x:v>
      </x:c>
      <x:c r="Q315" t="str">
        <x:v>No incident</x:v>
      </x:c>
      <x:c r="R315" t="str">
        <x:v>N/A</x:v>
      </x:c>
      <x:c r="S315" t="str">
        <x:v>Corrective</x:v>
      </x:c>
      <x:c r="T315" t="n">
        <x:v>1.3</x:v>
      </x:c>
      <x:c r="U315" t="n">
        <x:v>11.6</x:v>
      </x:c>
      <x:c r="V315" t="n">
        <x:f>IFERROR(J315/I315*100,0)</x:f>
        <x:v>87.61627906976744</x:v>
      </x:c>
      <x:c r="W315" t="n">
        <x:f>IFERROR(K315/J315*100,0)</x:f>
        <x:v>5.77305905773059</x:v>
      </x:c>
      <x:c r="X315" t="n">
        <x:f>IFERROR(H315/F315*100,0)</x:f>
        <x:v>13.333333333333334</x:v>
      </x:c>
      <x:c r="Y315" t="n">
        <x:f>J315-K315</x:f>
        <x:v>1420</x:v>
      </x:c>
      <x:c r="Z315" t="n">
        <x:f>MAX(0,MIN(100,(V315/100)*(1-X315/100)*(1-W315/100)*100))</x:f>
        <x:v>71.55038759689923</x:v>
      </x:c>
    </x:row>
    <x:row r="316">
      <x:c r="A316" s="12" t="n">
        <x:v>46131</x:v>
      </x:c>
      <x:c r="B316" t="str">
        <x:v>C</x:v>
      </x:c>
      <x:c r="C316" t="str">
        <x:v>Desiccated Coconut</x:v>
      </x:c>
      <x:c r="D316" t="str">
        <x:v>Dryer 3</x:v>
      </x:c>
      <x:c r="E316" t="str">
        <x:v>Sup 2</x:v>
      </x:c>
      <x:c r="F316" t="n">
        <x:v>420</x:v>
      </x:c>
      <x:c r="G316" t="n">
        <x:v>30</x:v>
      </x:c>
      <x:c r="H316" t="n">
        <x:v>58</x:v>
      </x:c>
      <x:c r="I316" t="n">
        <x:v>1268</x:v>
      </x:c>
      <x:c r="J316" t="n">
        <x:v>1105</x:v>
      </x:c>
      <x:c r="K316" t="n">
        <x:v>32</x:v>
      </x:c>
      <x:c r="L316" t="n">
        <x:v>6</x:v>
      </x:c>
      <x:c r="M316" t="n">
        <x:v>82.8</x:v>
      </x:c>
      <x:c r="N316" t="n">
        <x:v>57.5</x:v>
      </x:c>
      <x:c r="O316" t="n">
        <x:v>64.6</x:v>
      </x:c>
      <x:c r="P316" t="n">
        <x:v>2</x:v>
      </x:c>
      <x:c r="Q316" t="str">
        <x:v>No incident</x:v>
      </x:c>
      <x:c r="R316" t="str">
        <x:v>N/A</x:v>
      </x:c>
      <x:c r="S316" t="str">
        <x:v>Preventive</x:v>
      </x:c>
      <x:c r="T316" t="n">
        <x:v>0.5</x:v>
      </x:c>
      <x:c r="U316" t="n">
        <x:v>9.9</x:v>
      </x:c>
      <x:c r="V316" t="n">
        <x:f>IFERROR(J316/I316*100,0)</x:f>
        <x:v>87.14511041009465</x:v>
      </x:c>
      <x:c r="W316" t="n">
        <x:f>IFERROR(K316/J316*100,0)</x:f>
        <x:v>2.8959276018099547</x:v>
      </x:c>
      <x:c r="X316" t="n">
        <x:f>IFERROR(H316/F316*100,0)</x:f>
        <x:v>13.80952380952381</x:v>
      </x:c>
      <x:c r="Y316" t="n">
        <x:f>J316-K316</x:f>
        <x:v>1073</x:v>
      </x:c>
      <x:c r="Z316" t="n">
        <x:f>MAX(0,MIN(100,(V316/100)*(1-X316/100)*(1-W316/100)*100))</x:f>
        <x:v>72.9356316659156</x:v>
      </x:c>
    </x:row>
    <x:row r="317">
      <x:c r="A317" s="12" t="n">
        <x:v>46132</x:v>
      </x:c>
      <x:c r="B317" t="str">
        <x:v>A</x:v>
      </x:c>
      <x:c r="C317" t="str">
        <x:v>Dried Pineapple</x:v>
      </x:c>
      <x:c r="D317" t="str">
        <x:v>Dryer 1</x:v>
      </x:c>
      <x:c r="E317" t="str">
        <x:v>Sup 2</x:v>
      </x:c>
      <x:c r="F317" t="n">
        <x:v>480</x:v>
      </x:c>
      <x:c r="G317" t="n">
        <x:v>0</x:v>
      </x:c>
      <x:c r="H317" t="n">
        <x:v>24</x:v>
      </x:c>
      <x:c r="I317" t="n">
        <x:v>1669</x:v>
      </x:c>
      <x:c r="J317" t="n">
        <x:v>1411</x:v>
      </x:c>
      <x:c r="K317" t="n">
        <x:v>44</x:v>
      </x:c>
      <x:c r="L317" t="n">
        <x:v>25</x:v>
      </x:c>
      <x:c r="M317" t="n">
        <x:v>87.4</x:v>
      </x:c>
      <x:c r="N317" t="n">
        <x:v>80.1</x:v>
      </x:c>
      <x:c r="O317" t="n">
        <x:v>58.9</x:v>
      </x:c>
      <x:c r="P317" t="n">
        <x:v>2</x:v>
      </x:c>
      <x:c r="Q317" t="str">
        <x:v>No incident</x:v>
      </x:c>
      <x:c r="R317" t="str">
        <x:v>N/A</x:v>
      </x:c>
      <x:c r="S317" t="str">
        <x:v>Inspection</x:v>
      </x:c>
      <x:c r="T317" t="n">
        <x:v>1.14</x:v>
      </x:c>
      <x:c r="U317" t="n">
        <x:v>12</x:v>
      </x:c>
      <x:c r="V317" t="n">
        <x:f>IFERROR(J317/I317*100,0)</x:f>
        <x:v>84.54164170161773</x:v>
      </x:c>
      <x:c r="W317" t="n">
        <x:f>IFERROR(K317/J317*100,0)</x:f>
        <x:v>3.118355776045358</x:v>
      </x:c>
      <x:c r="X317" t="n">
        <x:f>IFERROR(H317/F317*100,0)</x:f>
        <x:v>5</x:v>
      </x:c>
      <x:c r="Y317" t="n">
        <x:f>J317-K317</x:f>
        <x:v>1367</x:v>
      </x:c>
      <x:c r="Z317" t="n">
        <x:f>MAX(0,MIN(100,(V317/100)*(1-X317/100)*(1-W317/100)*100))</x:f>
        <x:v>77.81006590772918</x:v>
      </x:c>
    </x:row>
    <x:row r="318">
      <x:c r="A318" s="12" t="n">
        <x:v>46132</x:v>
      </x:c>
      <x:c r="B318" t="str">
        <x:v>B</x:v>
      </x:c>
      <x:c r="C318" t="str">
        <x:v>Desiccated Coconut</x:v>
      </x:c>
      <x:c r="D318" t="str">
        <x:v>Dryer 4</x:v>
      </x:c>
      <x:c r="E318" t="str">
        <x:v>Sup 1</x:v>
      </x:c>
      <x:c r="F318" t="n">
        <x:v>450</x:v>
      </x:c>
      <x:c r="G318" t="n">
        <x:v>20</x:v>
      </x:c>
      <x:c r="H318" t="n">
        <x:v>50</x:v>
      </x:c>
      <x:c r="I318" t="n">
        <x:v>1132</x:v>
      </x:c>
      <x:c r="J318" t="n">
        <x:v>891</x:v>
      </x:c>
      <x:c r="K318" t="n">
        <x:v>32</x:v>
      </x:c>
      <x:c r="L318" t="n">
        <x:v>9</x:v>
      </x:c>
      <x:c r="M318" t="n">
        <x:v>94.3</x:v>
      </x:c>
      <x:c r="N318" t="n">
        <x:v>78.6</x:v>
      </x:c>
      <x:c r="O318" t="n">
        <x:v>79.5</x:v>
      </x:c>
      <x:c r="P318" t="n">
        <x:v>3</x:v>
      </x:c>
      <x:c r="Q318" t="str">
        <x:v>No incident</x:v>
      </x:c>
      <x:c r="R318" t="str">
        <x:v>N/A</x:v>
      </x:c>
      <x:c r="S318" t="str">
        <x:v>Corrective</x:v>
      </x:c>
      <x:c r="T318" t="n">
        <x:v>0.86</x:v>
      </x:c>
      <x:c r="U318" t="n">
        <x:v>7.4</x:v>
      </x:c>
      <x:c r="V318" t="n">
        <x:f>IFERROR(J318/I318*100,0)</x:f>
        <x:v>78.71024734982332</x:v>
      </x:c>
      <x:c r="W318" t="n">
        <x:f>IFERROR(K318/J318*100,0)</x:f>
        <x:v>3.5914702581369253</x:v>
      </x:c>
      <x:c r="X318" t="n">
        <x:f>IFERROR(H318/F318*100,0)</x:f>
        <x:v>11.11111111111111</x:v>
      </x:c>
      <x:c r="Y318" t="n">
        <x:f>J318-K318</x:f>
        <x:v>859</x:v>
      </x:c>
      <x:c r="Z318" t="n">
        <x:f>MAX(0,MIN(100,(V318/100)*(1-X318/100)*(1-W318/100)*100))</x:f>
        <x:v>67.4519042010208</x:v>
      </x:c>
    </x:row>
    <x:row r="319">
      <x:c r="A319" s="12" t="n">
        <x:v>46132</x:v>
      </x:c>
      <x:c r="B319" t="str">
        <x:v>C</x:v>
      </x:c>
      <x:c r="C319" t="str">
        <x:v>Desiccated Coconut</x:v>
      </x:c>
      <x:c r="D319" t="str">
        <x:v>Dryer 4</x:v>
      </x:c>
      <x:c r="E319" t="str">
        <x:v>Sup 1</x:v>
      </x:c>
      <x:c r="F319" t="n">
        <x:v>450</x:v>
      </x:c>
      <x:c r="G319" t="n">
        <x:v>20</x:v>
      </x:c>
      <x:c r="H319" t="n">
        <x:v>36</x:v>
      </x:c>
      <x:c r="I319" t="n">
        <x:v>1286</x:v>
      </x:c>
      <x:c r="J319" t="n">
        <x:v>1081</x:v>
      </x:c>
      <x:c r="K319" t="n">
        <x:v>25</x:v>
      </x:c>
      <x:c r="L319" t="n">
        <x:v>9</x:v>
      </x:c>
      <x:c r="M319" t="n">
        <x:v>96.1</x:v>
      </x:c>
      <x:c r="N319" t="n">
        <x:v>55</x:v>
      </x:c>
      <x:c r="O319" t="n">
        <x:v>75.3</x:v>
      </x:c>
      <x:c r="P319" t="n">
        <x:v>1</x:v>
      </x:c>
      <x:c r="Q319" t="str">
        <x:v>No incident</x:v>
      </x:c>
      <x:c r="R319" t="str">
        <x:v>N/A</x:v>
      </x:c>
      <x:c r="S319" t="str">
        <x:v>Corrective</x:v>
      </x:c>
      <x:c r="T319" t="n">
        <x:v>2.27</x:v>
      </x:c>
      <x:c r="U319" t="n">
        <x:v>9.7</x:v>
      </x:c>
      <x:c r="V319" t="n">
        <x:f>IFERROR(J319/I319*100,0)</x:f>
        <x:v>84.05909797822706</x:v>
      </x:c>
      <x:c r="W319" t="n">
        <x:f>IFERROR(K319/J319*100,0)</x:f>
        <x:v>2.3126734505087883</x:v>
      </x:c>
      <x:c r="X319" t="n">
        <x:f>IFERROR(H319/F319*100,0)</x:f>
        <x:v>8</x:v>
      </x:c>
      <x:c r="Y319" t="n">
        <x:f>J319-K319</x:f>
        <x:v>1056</x:v>
      </x:c>
      <x:c r="Z319" t="n">
        <x:f>MAX(0,MIN(100,(V319/100)*(1-X319/100)*(1-W319/100)*100))</x:f>
        <x:v>75.54587869362365</x:v>
      </x:c>
    </x:row>
    <x:row r="320">
      <x:c r="A320" s="12" t="n">
        <x:v>46133</x:v>
      </x:c>
      <x:c r="B320" t="str">
        <x:v>A</x:v>
      </x:c>
      <x:c r="C320" t="str">
        <x:v>Dried Mango</x:v>
      </x:c>
      <x:c r="D320" t="str">
        <x:v>Dryer 3</x:v>
      </x:c>
      <x:c r="E320" t="str">
        <x:v>Sup 3</x:v>
      </x:c>
      <x:c r="F320" t="n">
        <x:v>420</x:v>
      </x:c>
      <x:c r="G320" t="n">
        <x:v>30</x:v>
      </x:c>
      <x:c r="H320" t="n">
        <x:v>47</x:v>
      </x:c>
      <x:c r="I320" t="n">
        <x:v>1763</x:v>
      </x:c>
      <x:c r="J320" t="n">
        <x:v>1384</x:v>
      </x:c>
      <x:c r="K320" t="n">
        <x:v>75</x:v>
      </x:c>
      <x:c r="L320" t="n">
        <x:v>23</x:v>
      </x:c>
      <x:c r="M320" t="n">
        <x:v>83.8</x:v>
      </x:c>
      <x:c r="N320" t="n">
        <x:v>82.1</x:v>
      </x:c>
      <x:c r="O320" t="n">
        <x:v>62.9</x:v>
      </x:c>
      <x:c r="P320" t="n">
        <x:v>6</x:v>
      </x:c>
      <x:c r="Q320" t="str">
        <x:v>No incident</x:v>
      </x:c>
      <x:c r="R320" t="str">
        <x:v>N/A</x:v>
      </x:c>
      <x:c r="S320" t="str">
        <x:v>Corrective</x:v>
      </x:c>
      <x:c r="T320" t="n">
        <x:v>1.19</x:v>
      </x:c>
      <x:c r="U320" t="n">
        <x:v>11.1</x:v>
      </x:c>
      <x:c r="V320" t="n">
        <x:f>IFERROR(J320/I320*100,0)</x:f>
        <x:v>78.50255246738513</x:v>
      </x:c>
      <x:c r="W320" t="n">
        <x:f>IFERROR(K320/J320*100,0)</x:f>
        <x:v>5.41907514450867</x:v>
      </x:c>
      <x:c r="X320" t="n">
        <x:f>IFERROR(H320/F320*100,0)</x:f>
        <x:v>11.190476190476192</x:v>
      </x:c>
      <x:c r="Y320" t="n">
        <x:f>J320-K320</x:f>
        <x:v>1309</x:v>
      </x:c>
      <x:c r="Z320" t="n">
        <x:f>MAX(0,MIN(100,(V320/100)*(1-X320/100)*(1-W320/100)*100))</x:f>
        <x:v>65.93968614104745</x:v>
      </x:c>
    </x:row>
    <x:row r="321">
      <x:c r="A321" s="12" t="n">
        <x:v>46133</x:v>
      </x:c>
      <x:c r="B321" t="str">
        <x:v>B</x:v>
      </x:c>
      <x:c r="C321" t="str">
        <x:v>Dried Pineapple</x:v>
      </x:c>
      <x:c r="D321" t="str">
        <x:v>Dryer 4</x:v>
      </x:c>
      <x:c r="E321" t="str">
        <x:v>Sup 1</x:v>
      </x:c>
      <x:c r="F321" t="n">
        <x:v>420</x:v>
      </x:c>
      <x:c r="G321" t="n">
        <x:v>20</x:v>
      </x:c>
      <x:c r="H321" t="n">
        <x:v>39</x:v>
      </x:c>
      <x:c r="I321" t="n">
        <x:v>1713</x:v>
      </x:c>
      <x:c r="J321" t="n">
        <x:v>1400</x:v>
      </x:c>
      <x:c r="K321" t="n">
        <x:v>43</x:v>
      </x:c>
      <x:c r="L321" t="n">
        <x:v>14</x:v>
      </x:c>
      <x:c r="M321" t="n">
        <x:v>87.7</x:v>
      </x:c>
      <x:c r="N321" t="n">
        <x:v>84.1</x:v>
      </x:c>
      <x:c r="O321" t="n">
        <x:v>68.8</x:v>
      </x:c>
      <x:c r="P321" t="n">
        <x:v>2</x:v>
      </x:c>
      <x:c r="Q321" t="str">
        <x:v>No incident</x:v>
      </x:c>
      <x:c r="R321" t="str">
        <x:v>N/A</x:v>
      </x:c>
      <x:c r="S321" t="str">
        <x:v>Corrective</x:v>
      </x:c>
      <x:c r="T321" t="n">
        <x:v>0.9</x:v>
      </x:c>
      <x:c r="U321" t="n">
        <x:v>11.2</x:v>
      </x:c>
      <x:c r="V321" t="n">
        <x:f>IFERROR(J321/I321*100,0)</x:f>
        <x:v>81.72796263864565</x:v>
      </x:c>
      <x:c r="W321" t="n">
        <x:f>IFERROR(K321/J321*100,0)</x:f>
        <x:v>3.0714285714285716</x:v>
      </x:c>
      <x:c r="X321" t="n">
        <x:f>IFERROR(H321/F321*100,0)</x:f>
        <x:v>9.285714285714286</x:v>
      </x:c>
      <x:c r="Y321" t="n">
        <x:f>J321-K321</x:f>
        <x:v>1357</x:v>
      </x:c>
      <x:c r="Z321" t="n">
        <x:f>MAX(0,MIN(100,(V321/100)*(1-X321/100)*(1-W321/100)*100))</x:f>
        <x:v>71.8618130264365</x:v>
      </x:c>
    </x:row>
    <x:row r="322">
      <x:c r="A322" s="12" t="n">
        <x:v>46133</x:v>
      </x:c>
      <x:c r="B322" t="str">
        <x:v>C</x:v>
      </x:c>
      <x:c r="C322" t="str">
        <x:v>Dried Mango</x:v>
      </x:c>
      <x:c r="D322" t="str">
        <x:v>Dryer 1</x:v>
      </x:c>
      <x:c r="E322" t="str">
        <x:v>Sup 3</x:v>
      </x:c>
      <x:c r="F322" t="n">
        <x:v>450</x:v>
      </x:c>
      <x:c r="G322" t="n">
        <x:v>20</x:v>
      </x:c>
      <x:c r="H322" t="n">
        <x:v>41</x:v>
      </x:c>
      <x:c r="I322" t="n">
        <x:v>1656</x:v>
      </x:c>
      <x:c r="J322" t="n">
        <x:v>1399</x:v>
      </x:c>
      <x:c r="K322" t="n">
        <x:v>41</x:v>
      </x:c>
      <x:c r="L322" t="n">
        <x:v>13</x:v>
      </x:c>
      <x:c r="M322" t="n">
        <x:v>93.6</x:v>
      </x:c>
      <x:c r="N322" t="n">
        <x:v>68.4</x:v>
      </x:c>
      <x:c r="O322" t="n">
        <x:v>80.1</x:v>
      </x:c>
      <x:c r="P322" t="n">
        <x:v>2</x:v>
      </x:c>
      <x:c r="Q322" t="str">
        <x:v>No incident</x:v>
      </x:c>
      <x:c r="R322" t="str">
        <x:v>N/A</x:v>
      </x:c>
      <x:c r="S322" t="str">
        <x:v>Inspection</x:v>
      </x:c>
      <x:c r="T322" t="n">
        <x:v>0.97</x:v>
      </x:c>
      <x:c r="U322" t="n">
        <x:v>10.6</x:v>
      </x:c>
      <x:c r="V322" t="n">
        <x:f>IFERROR(J322/I322*100,0)</x:f>
        <x:v>84.48067632850241</x:v>
      </x:c>
      <x:c r="W322" t="n">
        <x:f>IFERROR(K322/J322*100,0)</x:f>
        <x:v>2.9306647605432454</x:v>
      </x:c>
      <x:c r="X322" t="n">
        <x:f>IFERROR(H322/F322*100,0)</x:f>
        <x:v>9.11111111111111</x:v>
      </x:c>
      <x:c r="Y322" t="n">
        <x:f>J322-K322</x:f>
        <x:v>1358</x:v>
      </x:c>
      <x:c r="Z322" t="n">
        <x:f>MAX(0,MIN(100,(V322/100)*(1-X322/100)*(1-W322/100)*100))</x:f>
        <x:v>74.53327965646805</x:v>
      </x:c>
    </x:row>
    <x:row r="323">
      <x:c r="A323" s="12" t="n">
        <x:v>46134</x:v>
      </x:c>
      <x:c r="B323" t="str">
        <x:v>A</x:v>
      </x:c>
      <x:c r="C323" t="str">
        <x:v>Dried Mango</x:v>
      </x:c>
      <x:c r="D323" t="str">
        <x:v>Dryer 3</x:v>
      </x:c>
      <x:c r="E323" t="str">
        <x:v>Sup 3</x:v>
      </x:c>
      <x:c r="F323" t="n">
        <x:v>420</x:v>
      </x:c>
      <x:c r="G323" t="n">
        <x:v>30</x:v>
      </x:c>
      <x:c r="H323" t="n">
        <x:v>73</x:v>
      </x:c>
      <x:c r="I323" t="n">
        <x:v>1760</x:v>
      </x:c>
      <x:c r="J323" t="n">
        <x:v>1372</x:v>
      </x:c>
      <x:c r="K323" t="n">
        <x:v>78</x:v>
      </x:c>
      <x:c r="L323" t="n">
        <x:v>35</x:v>
      </x:c>
      <x:c r="M323" t="n">
        <x:v>91.4</x:v>
      </x:c>
      <x:c r="N323" t="n">
        <x:v>75.5</x:v>
      </x:c>
      <x:c r="O323" t="n">
        <x:v>75.6</x:v>
      </x:c>
      <x:c r="P323" t="n">
        <x:v>4</x:v>
      </x:c>
      <x:c r="Q323" t="str">
        <x:v>First aid</x:v>
      </x:c>
      <x:c r="R323" t="str">
        <x:v>Open</x:v>
      </x:c>
      <x:c r="S323" t="str">
        <x:v>Preventive</x:v>
      </x:c>
      <x:c r="T323" t="n">
        <x:v>1.51</x:v>
      </x:c>
      <x:c r="U323" t="n">
        <x:v>12.2</x:v>
      </x:c>
      <x:c r="V323" t="n">
        <x:f>IFERROR(J323/I323*100,0)</x:f>
        <x:v>77.95454545454545</x:v>
      </x:c>
      <x:c r="W323" t="n">
        <x:f>IFERROR(K323/J323*100,0)</x:f>
        <x:v>5.685131195335277</x:v>
      </x:c>
      <x:c r="X323" t="n">
        <x:f>IFERROR(H323/F323*100,0)</x:f>
        <x:v>17.38095238095238</x:v>
      </x:c>
      <x:c r="Y323" t="n">
        <x:f>J323-K323</x:f>
        <x:v>1294</x:v>
      </x:c>
      <x:c r="Z323" t="n">
        <x:f>MAX(0,MIN(100,(V323/100)*(1-X323/100)*(1-W323/100)*100))</x:f>
        <x:v>60.74377705627705</x:v>
      </x:c>
    </x:row>
    <x:row r="324">
      <x:c r="A324" s="12" t="n">
        <x:v>46134</x:v>
      </x:c>
      <x:c r="B324" t="str">
        <x:v>B</x:v>
      </x:c>
      <x:c r="C324" t="str">
        <x:v>Dried Pineapple</x:v>
      </x:c>
      <x:c r="D324" t="str">
        <x:v>Dryer 3</x:v>
      </x:c>
      <x:c r="E324" t="str">
        <x:v>Sup 1</x:v>
      </x:c>
      <x:c r="F324" t="n">
        <x:v>480</x:v>
      </x:c>
      <x:c r="G324" t="n">
        <x:v>40</x:v>
      </x:c>
      <x:c r="H324" t="n">
        <x:v>75</x:v>
      </x:c>
      <x:c r="I324" t="n">
        <x:v>1675</x:v>
      </x:c>
      <x:c r="J324" t="n">
        <x:v>1411</x:v>
      </x:c>
      <x:c r="K324" t="n">
        <x:v>50</x:v>
      </x:c>
      <x:c r="L324" t="n">
        <x:v>21</x:v>
      </x:c>
      <x:c r="M324" t="n">
        <x:v>96.2</x:v>
      </x:c>
      <x:c r="N324" t="n">
        <x:v>65</x:v>
      </x:c>
      <x:c r="O324" t="n">
        <x:v>79.3</x:v>
      </x:c>
      <x:c r="P324" t="n">
        <x:v>3</x:v>
      </x:c>
      <x:c r="Q324" t="str">
        <x:v>No incident</x:v>
      </x:c>
      <x:c r="R324" t="str">
        <x:v>N/A</x:v>
      </x:c>
      <x:c r="S324" t="str">
        <x:v>Corrective</x:v>
      </x:c>
      <x:c r="T324" t="n">
        <x:v>1.64</x:v>
      </x:c>
      <x:c r="U324" t="n">
        <x:v>10.6</x:v>
      </x:c>
      <x:c r="V324" t="n">
        <x:f>IFERROR(J324/I324*100,0)</x:f>
        <x:v>84.23880597014926</x:v>
      </x:c>
      <x:c r="W324" t="n">
        <x:f>IFERROR(K324/J324*100,0)</x:f>
        <x:v>3.543586109142452</x:v>
      </x:c>
      <x:c r="X324" t="n">
        <x:f>IFERROR(H324/F324*100,0)</x:f>
        <x:v>15.625</x:v>
      </x:c>
      <x:c r="Y324" t="n">
        <x:f>J324-K324</x:f>
        <x:v>1361</x:v>
      </x:c>
      <x:c r="Z324" t="n">
        <x:f>MAX(0,MIN(100,(V324/100)*(1-X324/100)*(1-W324/100)*100))</x:f>
        <x:v>68.55783582089552</x:v>
      </x:c>
    </x:row>
    <x:row r="325">
      <x:c r="A325" s="12" t="n">
        <x:v>46134</x:v>
      </x:c>
      <x:c r="B325" t="str">
        <x:v>C</x:v>
      </x:c>
      <x:c r="C325" t="str">
        <x:v>Dried Mango</x:v>
      </x:c>
      <x:c r="D325" t="str">
        <x:v>Dryer 1</x:v>
      </x:c>
      <x:c r="E325" t="str">
        <x:v>Sup 1</x:v>
      </x:c>
      <x:c r="F325" t="n">
        <x:v>450</x:v>
      </x:c>
      <x:c r="G325" t="n">
        <x:v>30</x:v>
      </x:c>
      <x:c r="H325" t="n">
        <x:v>36</x:v>
      </x:c>
      <x:c r="I325" t="n">
        <x:v>1646</x:v>
      </x:c>
      <x:c r="J325" t="n">
        <x:v>1485</x:v>
      </x:c>
      <x:c r="K325" t="n">
        <x:v>55</x:v>
      </x:c>
      <x:c r="L325" t="n">
        <x:v>25</x:v>
      </x:c>
      <x:c r="M325" t="n">
        <x:v>98</x:v>
      </x:c>
      <x:c r="N325" t="n">
        <x:v>73.4</x:v>
      </x:c>
      <x:c r="O325" t="n">
        <x:v>74</x:v>
      </x:c>
      <x:c r="P325" t="n">
        <x:v>5</x:v>
      </x:c>
      <x:c r="Q325" t="str">
        <x:v>No incident</x:v>
      </x:c>
      <x:c r="R325" t="str">
        <x:v>N/A</x:v>
      </x:c>
      <x:c r="S325" t="str">
        <x:v>Preventive</x:v>
      </x:c>
      <x:c r="T325" t="n">
        <x:v>0.74</x:v>
      </x:c>
      <x:c r="U325" t="n">
        <x:v>12.7</x:v>
      </x:c>
      <x:c r="V325" t="n">
        <x:f>IFERROR(J325/I325*100,0)</x:f>
        <x:v>90.21871202916161</x:v>
      </x:c>
      <x:c r="W325" t="n">
        <x:f>IFERROR(K325/J325*100,0)</x:f>
        <x:v>3.7037037037037033</x:v>
      </x:c>
      <x:c r="X325" t="n">
        <x:f>IFERROR(H325/F325*100,0)</x:f>
        <x:v>8</x:v>
      </x:c>
      <x:c r="Y325" t="n">
        <x:f>J325-K325</x:f>
        <x:v>1430</x:v>
      </x:c>
      <x:c r="Z325" t="n">
        <x:f>MAX(0,MIN(100,(V325/100)*(1-X325/100)*(1-W325/100)*100))</x:f>
        <x:v>79.92709599027947</x:v>
      </x:c>
    </x:row>
    <x:row r="326">
      <x:c r="A326" s="12" t="n">
        <x:v>46135</x:v>
      </x:c>
      <x:c r="B326" t="str">
        <x:v>A</x:v>
      </x:c>
      <x:c r="C326" t="str">
        <x:v>Dried Mango</x:v>
      </x:c>
      <x:c r="D326" t="str">
        <x:v>Dryer 3</x:v>
      </x:c>
      <x:c r="E326" t="str">
        <x:v>Sup 3</x:v>
      </x:c>
      <x:c r="F326" t="n">
        <x:v>450</x:v>
      </x:c>
      <x:c r="G326" t="n">
        <x:v>0</x:v>
      </x:c>
      <x:c r="H326" t="n">
        <x:v>58</x:v>
      </x:c>
      <x:c r="I326" t="n">
        <x:v>1652</x:v>
      </x:c>
      <x:c r="J326" t="n">
        <x:v>1377</x:v>
      </x:c>
      <x:c r="K326" t="n">
        <x:v>61</x:v>
      </x:c>
      <x:c r="L326" t="n">
        <x:v>31</x:v>
      </x:c>
      <x:c r="M326" t="n">
        <x:v>91.4</x:v>
      </x:c>
      <x:c r="N326" t="n">
        <x:v>72.3</x:v>
      </x:c>
      <x:c r="O326" t="n">
        <x:v>77.9</x:v>
      </x:c>
      <x:c r="P326" t="n">
        <x:v>4</x:v>
      </x:c>
      <x:c r="Q326" t="str">
        <x:v>No incident</x:v>
      </x:c>
      <x:c r="R326" t="str">
        <x:v>N/A</x:v>
      </x:c>
      <x:c r="S326" t="str">
        <x:v>Inspection</x:v>
      </x:c>
      <x:c r="T326" t="n">
        <x:v>1.5</x:v>
      </x:c>
      <x:c r="U326" t="n">
        <x:v>11.1</x:v>
      </x:c>
      <x:c r="V326" t="n">
        <x:f>IFERROR(J326/I326*100,0)</x:f>
        <x:v>83.35351089588377</x:v>
      </x:c>
      <x:c r="W326" t="n">
        <x:f>IFERROR(K326/J326*100,0)</x:f>
        <x:v>4.429920116194626</x:v>
      </x:c>
      <x:c r="X326" t="n">
        <x:f>IFERROR(H326/F326*100,0)</x:f>
        <x:v>12.88888888888889</x:v>
      </x:c>
      <x:c r="Y326" t="n">
        <x:f>J326-K326</x:f>
        <x:v>1316</x:v>
      </x:c>
      <x:c r="Z326" t="n">
        <x:f>MAX(0,MIN(100,(V326/100)*(1-X326/100)*(1-W326/100)*100))</x:f>
        <x:v>69.39359698681731</x:v>
      </x:c>
    </x:row>
    <x:row r="327">
      <x:c r="A327" s="12" t="n">
        <x:v>46135</x:v>
      </x:c>
      <x:c r="B327" t="str">
        <x:v>B</x:v>
      </x:c>
      <x:c r="C327" t="str">
        <x:v>Dried Pineapple</x:v>
      </x:c>
      <x:c r="D327" t="str">
        <x:v>Dryer 4</x:v>
      </x:c>
      <x:c r="E327" t="str">
        <x:v>Sup 3</x:v>
      </x:c>
      <x:c r="F327" t="n">
        <x:v>480</x:v>
      </x:c>
      <x:c r="G327" t="n">
        <x:v>40</x:v>
      </x:c>
      <x:c r="H327" t="n">
        <x:v>36</x:v>
      </x:c>
      <x:c r="I327" t="n">
        <x:v>1793</x:v>
      </x:c>
      <x:c r="J327" t="n">
        <x:v>1584</x:v>
      </x:c>
      <x:c r="K327" t="n">
        <x:v>61</x:v>
      </x:c>
      <x:c r="L327" t="n">
        <x:v>34</x:v>
      </x:c>
      <x:c r="M327" t="n">
        <x:v>92.2</x:v>
      </x:c>
      <x:c r="N327" t="n">
        <x:v>80</x:v>
      </x:c>
      <x:c r="O327" t="n">
        <x:v>79.3</x:v>
      </x:c>
      <x:c r="P327" t="n">
        <x:v>4</x:v>
      </x:c>
      <x:c r="Q327" t="str">
        <x:v>No incident</x:v>
      </x:c>
      <x:c r="R327" t="str">
        <x:v>N/A</x:v>
      </x:c>
      <x:c r="S327" t="str">
        <x:v>Preventive</x:v>
      </x:c>
      <x:c r="T327" t="n">
        <x:v>1.05</x:v>
      </x:c>
      <x:c r="U327" t="n">
        <x:v>12.2</x:v>
      </x:c>
      <x:c r="V327" t="n">
        <x:f>IFERROR(J327/I327*100,0)</x:f>
        <x:v>88.34355828220859</x:v>
      </x:c>
      <x:c r="W327" t="n">
        <x:f>IFERROR(K327/J327*100,0)</x:f>
        <x:v>3.8510101010101008</x:v>
      </x:c>
      <x:c r="X327" t="n">
        <x:f>IFERROR(H327/F327*100,0)</x:f>
        <x:v>7.5</x:v>
      </x:c>
      <x:c r="Y327" t="n">
        <x:f>J327-K327</x:f>
        <x:v>1523</x:v>
      </x:c>
      <x:c r="Z327" t="n">
        <x:f>MAX(0,MIN(100,(V327/100)*(1-X327/100)*(1-W327/100)*100))</x:f>
        <x:v>78.57083100948132</x:v>
      </x:c>
    </x:row>
    <x:row r="328">
      <x:c r="A328" s="12" t="n">
        <x:v>46135</x:v>
      </x:c>
      <x:c r="B328" t="str">
        <x:v>C</x:v>
      </x:c>
      <x:c r="C328" t="str">
        <x:v>Dried Mango</x:v>
      </x:c>
      <x:c r="D328" t="str">
        <x:v>Dryer 3</x:v>
      </x:c>
      <x:c r="E328" t="str">
        <x:v>Sup 3</x:v>
      </x:c>
      <x:c r="F328" t="n">
        <x:v>480</x:v>
      </x:c>
      <x:c r="G328" t="n">
        <x:v>40</x:v>
      </x:c>
      <x:c r="H328" t="n">
        <x:v>74</x:v>
      </x:c>
      <x:c r="I328" t="n">
        <x:v>1645</x:v>
      </x:c>
      <x:c r="J328" t="n">
        <x:v>1236</x:v>
      </x:c>
      <x:c r="K328" t="n">
        <x:v>67</x:v>
      </x:c>
      <x:c r="L328" t="n">
        <x:v>38</x:v>
      </x:c>
      <x:c r="M328" t="n">
        <x:v>86.3</x:v>
      </x:c>
      <x:c r="N328" t="n">
        <x:v>75.6</x:v>
      </x:c>
      <x:c r="O328" t="n">
        <x:v>68.9</x:v>
      </x:c>
      <x:c r="P328" t="n">
        <x:v>5</x:v>
      </x:c>
      <x:c r="Q328" t="str">
        <x:v>Near miss</x:v>
      </x:c>
      <x:c r="R328" t="str">
        <x:v>Closed</x:v>
      </x:c>
      <x:c r="S328" t="str">
        <x:v>Inspection</x:v>
      </x:c>
      <x:c r="T328" t="n">
        <x:v>0.5</x:v>
      </x:c>
      <x:c r="U328" t="n">
        <x:v>10.5</x:v>
      </x:c>
      <x:c r="V328" t="n">
        <x:f>IFERROR(J328/I328*100,0)</x:f>
        <x:v>75.13677811550153</x:v>
      </x:c>
      <x:c r="W328" t="n">
        <x:f>IFERROR(K328/J328*100,0)</x:f>
        <x:v>5.4207119741100325</x:v>
      </x:c>
      <x:c r="X328" t="n">
        <x:f>IFERROR(H328/F328*100,0)</x:f>
        <x:v>15.416666666666668</x:v>
      </x:c>
      <x:c r="Y328" t="n">
        <x:f>J328-K328</x:f>
        <x:v>1169</x:v>
      </x:c>
      <x:c r="Z328" t="n">
        <x:f>MAX(0,MIN(100,(V328/100)*(1-X328/100)*(1-W328/100)*100))</x:f>
        <x:v>60.108156028368796</x:v>
      </x:c>
    </x:row>
    <x:row r="329">
      <x:c r="A329" s="12" t="n">
        <x:v>46136</x:v>
      </x:c>
      <x:c r="B329" t="str">
        <x:v>A</x:v>
      </x:c>
      <x:c r="C329" t="str">
        <x:v>Dried Pineapple</x:v>
      </x:c>
      <x:c r="D329" t="str">
        <x:v>Dryer 1</x:v>
      </x:c>
      <x:c r="E329" t="str">
        <x:v>Sup 2</x:v>
      </x:c>
      <x:c r="F329" t="n">
        <x:v>480</x:v>
      </x:c>
      <x:c r="G329" t="n">
        <x:v>30</x:v>
      </x:c>
      <x:c r="H329" t="n">
        <x:v>38</x:v>
      </x:c>
      <x:c r="I329" t="n">
        <x:v>1667</x:v>
      </x:c>
      <x:c r="J329" t="n">
        <x:v>1537</x:v>
      </x:c>
      <x:c r="K329" t="n">
        <x:v>58</x:v>
      </x:c>
      <x:c r="L329" t="n">
        <x:v>37</x:v>
      </x:c>
      <x:c r="M329" t="n">
        <x:v>92.1</x:v>
      </x:c>
      <x:c r="N329" t="n">
        <x:v>74.3</x:v>
      </x:c>
      <x:c r="O329" t="n">
        <x:v>71.9</x:v>
      </x:c>
      <x:c r="P329" t="n">
        <x:v>2</x:v>
      </x:c>
      <x:c r="Q329" t="str">
        <x:v>No incident</x:v>
      </x:c>
      <x:c r="R329" t="str">
        <x:v>N/A</x:v>
      </x:c>
      <x:c r="S329" t="str">
        <x:v>Preventive</x:v>
      </x:c>
      <x:c r="T329" t="n">
        <x:v>0.95</x:v>
      </x:c>
      <x:c r="U329" t="n">
        <x:v>11.7</x:v>
      </x:c>
      <x:c r="V329" t="n">
        <x:f>IFERROR(J329/I329*100,0)</x:f>
        <x:v>92.20155968806239</x:v>
      </x:c>
      <x:c r="W329" t="n">
        <x:f>IFERROR(K329/J329*100,0)</x:f>
        <x:v>3.7735849056603774</x:v>
      </x:c>
      <x:c r="X329" t="n">
        <x:f>IFERROR(H329/F329*100,0)</x:f>
        <x:v>7.916666666666666</x:v>
      </x:c>
      <x:c r="Y329" t="n">
        <x:f>J329-K329</x:f>
        <x:v>1479</x:v>
      </x:c>
      <x:c r="Z329" t="n">
        <x:f>MAX(0,MIN(100,(V329/100)*(1-X329/100)*(1-W329/100)*100))</x:f>
        <x:v>81.6984103179364</x:v>
      </x:c>
    </x:row>
    <x:row r="330">
      <x:c r="A330" s="12" t="n">
        <x:v>46136</x:v>
      </x:c>
      <x:c r="B330" t="str">
        <x:v>B</x:v>
      </x:c>
      <x:c r="C330" t="str">
        <x:v>Dried Pineapple</x:v>
      </x:c>
      <x:c r="D330" t="str">
        <x:v>Dryer 1</x:v>
      </x:c>
      <x:c r="E330" t="str">
        <x:v>Sup 3</x:v>
      </x:c>
      <x:c r="F330" t="n">
        <x:v>480</x:v>
      </x:c>
      <x:c r="G330" t="n">
        <x:v>0</x:v>
      </x:c>
      <x:c r="H330" t="n">
        <x:v>39</x:v>
      </x:c>
      <x:c r="I330" t="n">
        <x:v>1686</x:v>
      </x:c>
      <x:c r="J330" t="n">
        <x:v>1594</x:v>
      </x:c>
      <x:c r="K330" t="n">
        <x:v>63</x:v>
      </x:c>
      <x:c r="L330" t="n">
        <x:v>30</x:v>
      </x:c>
      <x:c r="M330" t="n">
        <x:v>83.2</x:v>
      </x:c>
      <x:c r="N330" t="n">
        <x:v>79.7</x:v>
      </x:c>
      <x:c r="O330" t="n">
        <x:v>81.7</x:v>
      </x:c>
      <x:c r="P330" t="n">
        <x:v>5</x:v>
      </x:c>
      <x:c r="Q330" t="str">
        <x:v>No incident</x:v>
      </x:c>
      <x:c r="R330" t="str">
        <x:v>N/A</x:v>
      </x:c>
      <x:c r="S330" t="str">
        <x:v>Corrective</x:v>
      </x:c>
      <x:c r="T330" t="n">
        <x:v>2.04</x:v>
      </x:c>
      <x:c r="U330" t="n">
        <x:v>13.3</x:v>
      </x:c>
      <x:c r="V330" t="n">
        <x:f>IFERROR(J330/I330*100,0)</x:f>
        <x:v>94.54329774614472</x:v>
      </x:c>
      <x:c r="W330" t="n">
        <x:f>IFERROR(K330/J330*100,0)</x:f>
        <x:v>3.9523212045169385</x:v>
      </x:c>
      <x:c r="X330" t="n">
        <x:f>IFERROR(H330/F330*100,0)</x:f>
        <x:v>8.125</x:v>
      </x:c>
      <x:c r="Y330" t="n">
        <x:f>J330-K330</x:f>
        <x:v>1531</x:v>
      </x:c>
      <x:c r="Z330" t="n">
        <x:f>MAX(0,MIN(100,(V330/100)*(1-X330/100)*(1-W330/100)*100))</x:f>
        <x:v>83.42860320284696</x:v>
      </x:c>
    </x:row>
    <x:row r="331">
      <x:c r="A331" s="12" t="n">
        <x:v>46136</x:v>
      </x:c>
      <x:c r="B331" t="str">
        <x:v>C</x:v>
      </x:c>
      <x:c r="C331" t="str">
        <x:v>Dried Mango</x:v>
      </x:c>
      <x:c r="D331" t="str">
        <x:v>Dryer 3</x:v>
      </x:c>
      <x:c r="E331" t="str">
        <x:v>Sup 3</x:v>
      </x:c>
      <x:c r="F331" t="n">
        <x:v>420</x:v>
      </x:c>
      <x:c r="G331" t="n">
        <x:v>40</x:v>
      </x:c>
      <x:c r="H331" t="n">
        <x:v>71</x:v>
      </x:c>
      <x:c r="I331" t="n">
        <x:v>1740</x:v>
      </x:c>
      <x:c r="J331" t="n">
        <x:v>1441</x:v>
      </x:c>
      <x:c r="K331" t="n">
        <x:v>74</x:v>
      </x:c>
      <x:c r="L331" t="n">
        <x:v>21</x:v>
      </x:c>
      <x:c r="M331" t="n">
        <x:v>94.4</x:v>
      </x:c>
      <x:c r="N331" t="n">
        <x:v>75.2</x:v>
      </x:c>
      <x:c r="O331" t="n">
        <x:v>62.6</x:v>
      </x:c>
      <x:c r="P331" t="n">
        <x:v>6</x:v>
      </x:c>
      <x:c r="Q331" t="str">
        <x:v>No incident</x:v>
      </x:c>
      <x:c r="R331" t="str">
        <x:v>N/A</x:v>
      </x:c>
      <x:c r="S331" t="str">
        <x:v>Inspection</x:v>
      </x:c>
      <x:c r="T331" t="n">
        <x:v>1.14</x:v>
      </x:c>
      <x:c r="U331" t="n">
        <x:v>11.2</x:v>
      </x:c>
      <x:c r="V331" t="n">
        <x:f>IFERROR(J331/I331*100,0)</x:f>
        <x:v>82.81609195402298</x:v>
      </x:c>
      <x:c r="W331" t="n">
        <x:f>IFERROR(K331/J331*100,0)</x:f>
        <x:v>5.135322692574601</x:v>
      </x:c>
      <x:c r="X331" t="n">
        <x:f>IFERROR(H331/F331*100,0)</x:f>
        <x:v>16.904761904761905</x:v>
      </x:c>
      <x:c r="Y331" t="n">
        <x:f>J331-K331</x:f>
        <x:v>1367</x:v>
      </x:c>
      <x:c r="Z331" t="n">
        <x:f>MAX(0,MIN(100,(V331/100)*(1-X331/100)*(1-W331/100)*100))</x:f>
        <x:v>65.28229337712095</x:v>
      </x:c>
    </x:row>
    <x:row r="332">
      <x:c r="A332" s="12" t="n">
        <x:v>46137</x:v>
      </x:c>
      <x:c r="B332" t="str">
        <x:v>A</x:v>
      </x:c>
      <x:c r="C332" t="str">
        <x:v>Desiccated Coconut</x:v>
      </x:c>
      <x:c r="D332" t="str">
        <x:v>Dryer 4</x:v>
      </x:c>
      <x:c r="E332" t="str">
        <x:v>Sup 2</x:v>
      </x:c>
      <x:c r="F332" t="n">
        <x:v>480</x:v>
      </x:c>
      <x:c r="G332" t="n">
        <x:v>20</x:v>
      </x:c>
      <x:c r="H332" t="n">
        <x:v>54</x:v>
      </x:c>
      <x:c r="I332" t="n">
        <x:v>1269</x:v>
      </x:c>
      <x:c r="J332" t="n">
        <x:v>1079</x:v>
      </x:c>
      <x:c r="K332" t="n">
        <x:v>35</x:v>
      </x:c>
      <x:c r="L332" t="n">
        <x:v>16</x:v>
      </x:c>
      <x:c r="M332" t="n">
        <x:v>88.6</x:v>
      </x:c>
      <x:c r="N332" t="n">
        <x:v>77.2</x:v>
      </x:c>
      <x:c r="O332" t="n">
        <x:v>72.4</x:v>
      </x:c>
      <x:c r="P332" t="n">
        <x:v>5</x:v>
      </x:c>
      <x:c r="Q332" t="str">
        <x:v>No incident</x:v>
      </x:c>
      <x:c r="R332" t="str">
        <x:v>N/A</x:v>
      </x:c>
      <x:c r="S332" t="str">
        <x:v>Preventive</x:v>
      </x:c>
      <x:c r="T332" t="n">
        <x:v>0.96</x:v>
      </x:c>
      <x:c r="U332" t="n">
        <x:v>9.7</x:v>
      </x:c>
      <x:c r="V332" t="n">
        <x:f>IFERROR(J332/I332*100,0)</x:f>
        <x:v>85.02758077226163</x:v>
      </x:c>
      <x:c r="W332" t="n">
        <x:f>IFERROR(K332/J332*100,0)</x:f>
        <x:v>3.243744207599629</x:v>
      </x:c>
      <x:c r="X332" t="n">
        <x:f>IFERROR(H332/F332*100,0)</x:f>
        <x:v>11.25</x:v>
      </x:c>
      <x:c r="Y332" t="n">
        <x:f>J332-K332</x:f>
        <x:v>1044</x:v>
      </x:c>
      <x:c r="Z332" t="n">
        <x:f>MAX(0,MIN(100,(V332/100)*(1-X332/100)*(1-W332/100)*100))</x:f>
        <x:v>73.01418439716312</x:v>
      </x:c>
    </x:row>
    <x:row r="333">
      <x:c r="A333" s="12" t="n">
        <x:v>46137</x:v>
      </x:c>
      <x:c r="B333" t="str">
        <x:v>B</x:v>
      </x:c>
      <x:c r="C333" t="str">
        <x:v>Desiccated Coconut</x:v>
      </x:c>
      <x:c r="D333" t="str">
        <x:v>Dryer 1</x:v>
      </x:c>
      <x:c r="E333" t="str">
        <x:v>Sup 2</x:v>
      </x:c>
      <x:c r="F333" t="n">
        <x:v>420</x:v>
      </x:c>
      <x:c r="G333" t="n">
        <x:v>40</x:v>
      </x:c>
      <x:c r="H333" t="n">
        <x:v>23</x:v>
      </x:c>
      <x:c r="I333" t="n">
        <x:v>1155</x:v>
      </x:c>
      <x:c r="J333" t="n">
        <x:v>991</x:v>
      </x:c>
      <x:c r="K333" t="n">
        <x:v>30</x:v>
      </x:c>
      <x:c r="L333" t="n">
        <x:v>12</x:v>
      </x:c>
      <x:c r="M333" t="n">
        <x:v>88.2</x:v>
      </x:c>
      <x:c r="N333" t="n">
        <x:v>88.7</x:v>
      </x:c>
      <x:c r="O333" t="n">
        <x:v>81.2</x:v>
      </x:c>
      <x:c r="P333" t="n">
        <x:v>4</x:v>
      </x:c>
      <x:c r="Q333" t="str">
        <x:v>No incident</x:v>
      </x:c>
      <x:c r="R333" t="str">
        <x:v>N/A</x:v>
      </x:c>
      <x:c r="S333" t="str">
        <x:v>Corrective</x:v>
      </x:c>
      <x:c r="T333" t="n">
        <x:v>1.7</x:v>
      </x:c>
      <x:c r="U333" t="n">
        <x:v>8.1</x:v>
      </x:c>
      <x:c r="V333" t="n">
        <x:f>IFERROR(J333/I333*100,0)</x:f>
        <x:v>85.8008658008658</x:v>
      </x:c>
      <x:c r="W333" t="n">
        <x:f>IFERROR(K333/J333*100,0)</x:f>
        <x:v>3.027245206861756</x:v>
      </x:c>
      <x:c r="X333" t="n">
        <x:f>IFERROR(H333/F333*100,0)</x:f>
        <x:v>5.476190476190476</x:v>
      </x:c>
      <x:c r="Y333" t="n">
        <x:f>J333-K333</x:f>
        <x:v>961</x:v>
      </x:c>
      <x:c r="Z333" t="n">
        <x:f>MAX(0,MIN(100,(V333/100)*(1-X333/100)*(1-W333/100)*100))</x:f>
        <x:v>78.64708307565449</x:v>
      </x:c>
    </x:row>
    <x:row r="334">
      <x:c r="A334" s="12" t="n">
        <x:v>46137</x:v>
      </x:c>
      <x:c r="B334" t="str">
        <x:v>C</x:v>
      </x:c>
      <x:c r="C334" t="str">
        <x:v>Dried Pineapple</x:v>
      </x:c>
      <x:c r="D334" t="str">
        <x:v>Dryer 3</x:v>
      </x:c>
      <x:c r="E334" t="str">
        <x:v>Sup 1</x:v>
      </x:c>
      <x:c r="F334" t="n">
        <x:v>480</x:v>
      </x:c>
      <x:c r="G334" t="n">
        <x:v>0</x:v>
      </x:c>
      <x:c r="H334" t="n">
        <x:v>71</x:v>
      </x:c>
      <x:c r="I334" t="n">
        <x:v>1685</x:v>
      </x:c>
      <x:c r="J334" t="n">
        <x:v>1464</x:v>
      </x:c>
      <x:c r="K334" t="n">
        <x:v>63</x:v>
      </x:c>
      <x:c r="L334" t="n">
        <x:v>40</x:v>
      </x:c>
      <x:c r="M334" t="n">
        <x:v>94.1</x:v>
      </x:c>
      <x:c r="N334" t="n">
        <x:v>62.2</x:v>
      </x:c>
      <x:c r="O334" t="n">
        <x:v>83.9</x:v>
      </x:c>
      <x:c r="P334" t="n">
        <x:v>4</x:v>
      </x:c>
      <x:c r="Q334" t="str">
        <x:v>No incident</x:v>
      </x:c>
      <x:c r="R334" t="str">
        <x:v>N/A</x:v>
      </x:c>
      <x:c r="S334" t="str">
        <x:v>Inspection</x:v>
      </x:c>
      <x:c r="T334" t="n">
        <x:v>0.95</x:v>
      </x:c>
      <x:c r="U334" t="n">
        <x:v>11.2</x:v>
      </x:c>
      <x:c r="V334" t="n">
        <x:f>IFERROR(J334/I334*100,0)</x:f>
        <x:v>86.88427299703264</x:v>
      </x:c>
      <x:c r="W334" t="n">
        <x:f>IFERROR(K334/J334*100,0)</x:f>
        <x:v>4.30327868852459</x:v>
      </x:c>
      <x:c r="X334" t="n">
        <x:f>IFERROR(H334/F334*100,0)</x:f>
        <x:v>14.791666666666666</x:v>
      </x:c>
      <x:c r="Y334" t="n">
        <x:f>J334-K334</x:f>
        <x:v>1401</x:v>
      </x:c>
      <x:c r="Z334" t="n">
        <x:f>MAX(0,MIN(100,(V334/100)*(1-X334/100)*(1-W334/100)*100))</x:f>
        <x:v>70.84681008902078</x:v>
      </x:c>
    </x:row>
    <x:row r="335">
      <x:c r="A335" s="12" t="n">
        <x:v>46138</x:v>
      </x:c>
      <x:c r="B335" t="str">
        <x:v>A</x:v>
      </x:c>
      <x:c r="C335" t="str">
        <x:v>Desiccated Coconut</x:v>
      </x:c>
      <x:c r="D335" t="str">
        <x:v>Dryer 3</x:v>
      </x:c>
      <x:c r="E335" t="str">
        <x:v>Sup 2</x:v>
      </x:c>
      <x:c r="F335" t="n">
        <x:v>420</x:v>
      </x:c>
      <x:c r="G335" t="n">
        <x:v>0</x:v>
      </x:c>
      <x:c r="H335" t="n">
        <x:v>58</x:v>
      </x:c>
      <x:c r="I335" t="n">
        <x:v>1210</x:v>
      </x:c>
      <x:c r="J335" t="n">
        <x:v>1041</x:v>
      </x:c>
      <x:c r="K335" t="n">
        <x:v>36</x:v>
      </x:c>
      <x:c r="L335" t="n">
        <x:v>19</x:v>
      </x:c>
      <x:c r="M335" t="n">
        <x:v>93.5</x:v>
      </x:c>
      <x:c r="N335" t="n">
        <x:v>86.2</x:v>
      </x:c>
      <x:c r="O335" t="n">
        <x:v>57.5</x:v>
      </x:c>
      <x:c r="P335" t="n">
        <x:v>2</x:v>
      </x:c>
      <x:c r="Q335" t="str">
        <x:v>No incident</x:v>
      </x:c>
      <x:c r="R335" t="str">
        <x:v>N/A</x:v>
      </x:c>
      <x:c r="S335" t="str">
        <x:v>Inspection</x:v>
      </x:c>
      <x:c r="T335" t="n">
        <x:v>0.5</x:v>
      </x:c>
      <x:c r="U335" t="n">
        <x:v>8.8</x:v>
      </x:c>
      <x:c r="V335" t="n">
        <x:f>IFERROR(J335/I335*100,0)</x:f>
        <x:v>86.03305785123968</x:v>
      </x:c>
      <x:c r="W335" t="n">
        <x:f>IFERROR(K335/J335*100,0)</x:f>
        <x:v>3.45821325648415</x:v>
      </x:c>
      <x:c r="X335" t="n">
        <x:f>IFERROR(H335/F335*100,0)</x:f>
        <x:v>13.80952380952381</x:v>
      </x:c>
      <x:c r="Y335" t="n">
        <x:f>J335-K335</x:f>
        <x:v>1005</x:v>
      </x:c>
      <x:c r="Z335" t="n">
        <x:f>MAX(0,MIN(100,(V335/100)*(1-X335/100)*(1-W335/100)*100))</x:f>
        <x:v>71.58795749704842</x:v>
      </x:c>
    </x:row>
    <x:row r="336">
      <x:c r="A336" s="12" t="n">
        <x:v>46138</x:v>
      </x:c>
      <x:c r="B336" t="str">
        <x:v>B</x:v>
      </x:c>
      <x:c r="C336" t="str">
        <x:v>Desiccated Coconut</x:v>
      </x:c>
      <x:c r="D336" t="str">
        <x:v>Dryer 2</x:v>
      </x:c>
      <x:c r="E336" t="str">
        <x:v>Sup 1</x:v>
      </x:c>
      <x:c r="F336" t="n">
        <x:v>480</x:v>
      </x:c>
      <x:c r="G336" t="n">
        <x:v>20</x:v>
      </x:c>
      <x:c r="H336" t="n">
        <x:v>61</x:v>
      </x:c>
      <x:c r="I336" t="n">
        <x:v>1182</x:v>
      </x:c>
      <x:c r="J336" t="n">
        <x:v>1007</x:v>
      </x:c>
      <x:c r="K336" t="n">
        <x:v>25</x:v>
      </x:c>
      <x:c r="L336" t="n">
        <x:v>7</x:v>
      </x:c>
      <x:c r="M336" t="n">
        <x:v>93.7</x:v>
      </x:c>
      <x:c r="N336" t="n">
        <x:v>89</x:v>
      </x:c>
      <x:c r="O336" t="n">
        <x:v>77.6</x:v>
      </x:c>
      <x:c r="P336" t="n">
        <x:v>5</x:v>
      </x:c>
      <x:c r="Q336" t="str">
        <x:v>No incident</x:v>
      </x:c>
      <x:c r="R336" t="str">
        <x:v>N/A</x:v>
      </x:c>
      <x:c r="S336" t="str">
        <x:v>Inspection</x:v>
      </x:c>
      <x:c r="T336" t="n">
        <x:v>0.51</x:v>
      </x:c>
      <x:c r="U336" t="n">
        <x:v>8.2</x:v>
      </x:c>
      <x:c r="V336" t="n">
        <x:f>IFERROR(J336/I336*100,0)</x:f>
        <x:v>85.19458544839256</x:v>
      </x:c>
      <x:c r="W336" t="n">
        <x:f>IFERROR(K336/J336*100,0)</x:f>
        <x:v>2.4826216484607744</x:v>
      </x:c>
      <x:c r="X336" t="n">
        <x:f>IFERROR(H336/F336*100,0)</x:f>
        <x:v>12.708333333333332</x:v>
      </x:c>
      <x:c r="Y336" t="n">
        <x:f>J336-K336</x:f>
        <x:v>982</x:v>
      </x:c>
      <x:c r="Z336" t="n">
        <x:f>MAX(0,MIN(100,(V336/100)*(1-X336/100)*(1-W336/100)*100))</x:f>
        <x:v>72.52150310208685</x:v>
      </x:c>
    </x:row>
    <x:row r="337">
      <x:c r="A337" s="12" t="n">
        <x:v>46138</x:v>
      </x:c>
      <x:c r="B337" t="str">
        <x:v>C</x:v>
      </x:c>
      <x:c r="C337" t="str">
        <x:v>Dried Mango</x:v>
      </x:c>
      <x:c r="D337" t="str">
        <x:v>Dryer 1</x:v>
      </x:c>
      <x:c r="E337" t="str">
        <x:v>Sup 1</x:v>
      </x:c>
      <x:c r="F337" t="n">
        <x:v>450</x:v>
      </x:c>
      <x:c r="G337" t="n">
        <x:v>20</x:v>
      </x:c>
      <x:c r="H337" t="n">
        <x:v>49</x:v>
      </x:c>
      <x:c r="I337" t="n">
        <x:v>1542</x:v>
      </x:c>
      <x:c r="J337" t="n">
        <x:v>1287</x:v>
      </x:c>
      <x:c r="K337" t="n">
        <x:v>52</x:v>
      </x:c>
      <x:c r="L337" t="n">
        <x:v>32</x:v>
      </x:c>
      <x:c r="M337" t="n">
        <x:v>84.6</x:v>
      </x:c>
      <x:c r="N337" t="n">
        <x:v>64.7</x:v>
      </x:c>
      <x:c r="O337" t="n">
        <x:v>77.9</x:v>
      </x:c>
      <x:c r="P337" t="n">
        <x:v>0</x:v>
      </x:c>
      <x:c r="Q337" t="str">
        <x:v>First aid</x:v>
      </x:c>
      <x:c r="R337" t="str">
        <x:v>Open</x:v>
      </x:c>
      <x:c r="S337" t="str">
        <x:v>Corrective</x:v>
      </x:c>
      <x:c r="T337" t="n">
        <x:v>0.89</x:v>
      </x:c>
      <x:c r="U337" t="n">
        <x:v>11.4</x:v>
      </x:c>
      <x:c r="V337" t="n">
        <x:f>IFERROR(J337/I337*100,0)</x:f>
        <x:v>83.46303501945526</x:v>
      </x:c>
      <x:c r="W337" t="n">
        <x:f>IFERROR(K337/J337*100,0)</x:f>
        <x:v>4.040404040404041</x:v>
      </x:c>
      <x:c r="X337" t="n">
        <x:f>IFERROR(H337/F337*100,0)</x:f>
        <x:v>10.888888888888888</x:v>
      </x:c>
      <x:c r="Y337" t="n">
        <x:f>J337-K337</x:f>
        <x:v>1235</x:v>
      </x:c>
      <x:c r="Z337" t="n">
        <x:f>MAX(0,MIN(100,(V337/100)*(1-X337/100)*(1-W337/100)*100))</x:f>
        <x:v>71.36979391843207</x:v>
      </x:c>
    </x:row>
    <x:row r="338">
      <x:c r="A338" s="12" t="n">
        <x:v>46139</x:v>
      </x:c>
      <x:c r="B338" t="str">
        <x:v>A</x:v>
      </x:c>
      <x:c r="C338" t="str">
        <x:v>Dried Pineapple</x:v>
      </x:c>
      <x:c r="D338" t="str">
        <x:v>Dryer 2</x:v>
      </x:c>
      <x:c r="E338" t="str">
        <x:v>Sup 1</x:v>
      </x:c>
      <x:c r="F338" t="n">
        <x:v>450</x:v>
      </x:c>
      <x:c r="G338" t="n">
        <x:v>0</x:v>
      </x:c>
      <x:c r="H338" t="n">
        <x:v>50</x:v>
      </x:c>
      <x:c r="I338" t="n">
        <x:v>1615</x:v>
      </x:c>
      <x:c r="J338" t="n">
        <x:v>1270</x:v>
      </x:c>
      <x:c r="K338" t="n">
        <x:v>27</x:v>
      </x:c>
      <x:c r="L338" t="n">
        <x:v>17</x:v>
      </x:c>
      <x:c r="M338" t="n">
        <x:v>94.1</x:v>
      </x:c>
      <x:c r="N338" t="n">
        <x:v>85</x:v>
      </x:c>
      <x:c r="O338" t="n">
        <x:v>89</x:v>
      </x:c>
      <x:c r="P338" t="n">
        <x:v>1</x:v>
      </x:c>
      <x:c r="Q338" t="str">
        <x:v>No incident</x:v>
      </x:c>
      <x:c r="R338" t="str">
        <x:v>N/A</x:v>
      </x:c>
      <x:c r="S338" t="str">
        <x:v>Corrective</x:v>
      </x:c>
      <x:c r="T338" t="n">
        <x:v>1.61</x:v>
      </x:c>
      <x:c r="U338" t="n">
        <x:v>11.4</x:v>
      </x:c>
      <x:c r="V338" t="n">
        <x:f>IFERROR(J338/I338*100,0)</x:f>
        <x:v>78.63777089783281</x:v>
      </x:c>
      <x:c r="W338" t="n">
        <x:f>IFERROR(K338/J338*100,0)</x:f>
        <x:v>2.1259842519685037</x:v>
      </x:c>
      <x:c r="X338" t="n">
        <x:f>IFERROR(H338/F338*100,0)</x:f>
        <x:v>11.11111111111111</x:v>
      </x:c>
      <x:c r="Y338" t="n">
        <x:f>J338-K338</x:f>
        <x:v>1243</x:v>
      </x:c>
      <x:c r="Z338" t="n">
        <x:f>MAX(0,MIN(100,(V338/100)*(1-X338/100)*(1-W338/100)*100))</x:f>
        <x:v>68.41417268661849</x:v>
      </x:c>
    </x:row>
    <x:row r="339">
      <x:c r="A339" s="12" t="n">
        <x:v>46139</x:v>
      </x:c>
      <x:c r="B339" t="str">
        <x:v>B</x:v>
      </x:c>
      <x:c r="C339" t="str">
        <x:v>Dried Mango</x:v>
      </x:c>
      <x:c r="D339" t="str">
        <x:v>Dryer 3</x:v>
      </x:c>
      <x:c r="E339" t="str">
        <x:v>Sup 1</x:v>
      </x:c>
      <x:c r="F339" t="n">
        <x:v>480</x:v>
      </x:c>
      <x:c r="G339" t="n">
        <x:v>0</x:v>
      </x:c>
      <x:c r="H339" t="n">
        <x:v>70</x:v>
      </x:c>
      <x:c r="I339" t="n">
        <x:v>1707</x:v>
      </x:c>
      <x:c r="J339" t="n">
        <x:v>1319</x:v>
      </x:c>
      <x:c r="K339" t="n">
        <x:v>63</x:v>
      </x:c>
      <x:c r="L339" t="n">
        <x:v>16</x:v>
      </x:c>
      <x:c r="M339" t="n">
        <x:v>92.1</x:v>
      </x:c>
      <x:c r="N339" t="n">
        <x:v>74</x:v>
      </x:c>
      <x:c r="O339" t="n">
        <x:v>74.2</x:v>
      </x:c>
      <x:c r="P339" t="n">
        <x:v>2</x:v>
      </x:c>
      <x:c r="Q339" t="str">
        <x:v>No incident</x:v>
      </x:c>
      <x:c r="R339" t="str">
        <x:v>N/A</x:v>
      </x:c>
      <x:c r="S339" t="str">
        <x:v>Inspection</x:v>
      </x:c>
      <x:c r="T339" t="n">
        <x:v>1.21</x:v>
      </x:c>
      <x:c r="U339" t="n">
        <x:v>11</x:v>
      </x:c>
      <x:c r="V339" t="n">
        <x:f>IFERROR(J339/I339*100,0)</x:f>
        <x:v>77.27006444053896</x:v>
      </x:c>
      <x:c r="W339" t="n">
        <x:f>IFERROR(K339/J339*100,0)</x:f>
        <x:v>4.776345716451857</x:v>
      </x:c>
      <x:c r="X339" t="n">
        <x:f>IFERROR(H339/F339*100,0)</x:f>
        <x:v>14.583333333333334</x:v>
      </x:c>
      <x:c r="Y339" t="n">
        <x:f>J339-K339</x:f>
        <x:v>1256</x:v>
      </x:c>
      <x:c r="Z339" t="n">
        <x:f>MAX(0,MIN(100,(V339/100)*(1-X339/100)*(1-W339/100)*100))</x:f>
        <x:v>62.84905291935168</x:v>
      </x:c>
    </x:row>
    <x:row r="340">
      <x:c r="A340" s="12" t="n">
        <x:v>46139</x:v>
      </x:c>
      <x:c r="B340" t="str">
        <x:v>C</x:v>
      </x:c>
      <x:c r="C340" t="str">
        <x:v>Dried Mango</x:v>
      </x:c>
      <x:c r="D340" t="str">
        <x:v>Dryer 4</x:v>
      </x:c>
      <x:c r="E340" t="str">
        <x:v>Sup 1</x:v>
      </x:c>
      <x:c r="F340" t="n">
        <x:v>480</x:v>
      </x:c>
      <x:c r="G340" t="n">
        <x:v>40</x:v>
      </x:c>
      <x:c r="H340" t="n">
        <x:v>51</x:v>
      </x:c>
      <x:c r="I340" t="n">
        <x:v>1638</x:v>
      </x:c>
      <x:c r="J340" t="n">
        <x:v>1357</x:v>
      </x:c>
      <x:c r="K340" t="n">
        <x:v>44</x:v>
      </x:c>
      <x:c r="L340" t="n">
        <x:v>14</x:v>
      </x:c>
      <x:c r="M340" t="n">
        <x:v>86</x:v>
      </x:c>
      <x:c r="N340" t="n">
        <x:v>77.1</x:v>
      </x:c>
      <x:c r="O340" t="n">
        <x:v>77.8</x:v>
      </x:c>
      <x:c r="P340" t="n">
        <x:v>3</x:v>
      </x:c>
      <x:c r="Q340" t="str">
        <x:v>No incident</x:v>
      </x:c>
      <x:c r="R340" t="str">
        <x:v>N/A</x:v>
      </x:c>
      <x:c r="S340" t="str">
        <x:v>Preventive</x:v>
      </x:c>
      <x:c r="T340" t="n">
        <x:v>1.06</x:v>
      </x:c>
      <x:c r="U340" t="n">
        <x:v>11.2</x:v>
      </x:c>
      <x:c r="V340" t="n">
        <x:f>IFERROR(J340/I340*100,0)</x:f>
        <x:v>82.84493284493286</x:v>
      </x:c>
      <x:c r="W340" t="n">
        <x:f>IFERROR(K340/J340*100,0)</x:f>
        <x:v>3.2424465733235075</x:v>
      </x:c>
      <x:c r="X340" t="n">
        <x:f>IFERROR(H340/F340*100,0)</x:f>
        <x:v>10.625</x:v>
      </x:c>
      <x:c r="Y340" t="n">
        <x:f>J340-K340</x:f>
        <x:v>1313</x:v>
      </x:c>
      <x:c r="Z340" t="n">
        <x:f>MAX(0,MIN(100,(V340/100)*(1-X340/100)*(1-W340/100)*100))</x:f>
        <x:v>71.64186507936509</x:v>
      </x:c>
    </x:row>
    <x:row r="341">
      <x:c r="A341" s="12" t="n">
        <x:v>46140</x:v>
      </x:c>
      <x:c r="B341" t="str">
        <x:v>A</x:v>
      </x:c>
      <x:c r="C341" t="str">
        <x:v>Dried Mango</x:v>
      </x:c>
      <x:c r="D341" t="str">
        <x:v>Dryer 3</x:v>
      </x:c>
      <x:c r="E341" t="str">
        <x:v>Sup 1</x:v>
      </x:c>
      <x:c r="F341" t="n">
        <x:v>420</x:v>
      </x:c>
      <x:c r="G341" t="n">
        <x:v>30</x:v>
      </x:c>
      <x:c r="H341" t="n">
        <x:v>56</x:v>
      </x:c>
      <x:c r="I341" t="n">
        <x:v>1727</x:v>
      </x:c>
      <x:c r="J341" t="n">
        <x:v>1372</x:v>
      </x:c>
      <x:c r="K341" t="n">
        <x:v>71</x:v>
      </x:c>
      <x:c r="L341" t="n">
        <x:v>37</x:v>
      </x:c>
      <x:c r="M341" t="n">
        <x:v>90</x:v>
      </x:c>
      <x:c r="N341" t="n">
        <x:v>75.1</x:v>
      </x:c>
      <x:c r="O341" t="n">
        <x:v>66.7</x:v>
      </x:c>
      <x:c r="P341" t="n">
        <x:v>3</x:v>
      </x:c>
      <x:c r="Q341" t="str">
        <x:v>No incident</x:v>
      </x:c>
      <x:c r="R341" t="str">
        <x:v>N/A</x:v>
      </x:c>
      <x:c r="S341" t="str">
        <x:v>Inspection</x:v>
      </x:c>
      <x:c r="T341" t="n">
        <x:v>1.38</x:v>
      </x:c>
      <x:c r="U341" t="n">
        <x:v>10.3</x:v>
      </x:c>
      <x:c r="V341" t="n">
        <x:f>IFERROR(J341/I341*100,0)</x:f>
        <x:v>79.44412275622467</x:v>
      </x:c>
      <x:c r="W341" t="n">
        <x:f>IFERROR(K341/J341*100,0)</x:f>
        <x:v>5.174927113702624</x:v>
      </x:c>
      <x:c r="X341" t="n">
        <x:f>IFERROR(H341/F341*100,0)</x:f>
        <x:v>13.333333333333334</x:v>
      </x:c>
      <x:c r="Y341" t="n">
        <x:f>J341-K341</x:f>
        <x:v>1301</x:v>
      </x:c>
      <x:c r="Z341" t="n">
        <x:f>MAX(0,MIN(100,(V341/100)*(1-X341/100)*(1-W341/100)*100))</x:f>
        <x:v>65.28855433314034</x:v>
      </x:c>
    </x:row>
    <x:row r="342">
      <x:c r="A342" s="12" t="n">
        <x:v>46140</x:v>
      </x:c>
      <x:c r="B342" t="str">
        <x:v>B</x:v>
      </x:c>
      <x:c r="C342" t="str">
        <x:v>Dried Mango</x:v>
      </x:c>
      <x:c r="D342" t="str">
        <x:v>Dryer 2</x:v>
      </x:c>
      <x:c r="E342" t="str">
        <x:v>Sup 1</x:v>
      </x:c>
      <x:c r="F342" t="n">
        <x:v>450</x:v>
      </x:c>
      <x:c r="G342" t="n">
        <x:v>40</x:v>
      </x:c>
      <x:c r="H342" t="n">
        <x:v>61</x:v>
      </x:c>
      <x:c r="I342" t="n">
        <x:v>1691</x:v>
      </x:c>
      <x:c r="J342" t="n">
        <x:v>1299</x:v>
      </x:c>
      <x:c r="K342" t="n">
        <x:v>50</x:v>
      </x:c>
      <x:c r="L342" t="n">
        <x:v>31</x:v>
      </x:c>
      <x:c r="M342" t="n">
        <x:v>96.8</x:v>
      </x:c>
      <x:c r="N342" t="n">
        <x:v>64.4</x:v>
      </x:c>
      <x:c r="O342" t="n">
        <x:v>67</x:v>
      </x:c>
      <x:c r="P342" t="n">
        <x:v>3</x:v>
      </x:c>
      <x:c r="Q342" t="str">
        <x:v>No incident</x:v>
      </x:c>
      <x:c r="R342" t="str">
        <x:v>N/A</x:v>
      </x:c>
      <x:c r="S342" t="str">
        <x:v>Preventive</x:v>
      </x:c>
      <x:c r="T342" t="n">
        <x:v>0.5</x:v>
      </x:c>
      <x:c r="U342" t="n">
        <x:v>11.9</x:v>
      </x:c>
      <x:c r="V342" t="n">
        <x:f>IFERROR(J342/I342*100,0)</x:f>
        <x:v>76.81845062093436</x:v>
      </x:c>
      <x:c r="W342" t="n">
        <x:f>IFERROR(K342/J342*100,0)</x:f>
        <x:v>3.849114703618168</x:v>
      </x:c>
      <x:c r="X342" t="n">
        <x:f>IFERROR(H342/F342*100,0)</x:f>
        <x:v>13.555555555555557</x:v>
      </x:c>
      <x:c r="Y342" t="n">
        <x:f>J342-K342</x:f>
        <x:v>1249</x:v>
      </x:c>
      <x:c r="Z342" t="n">
        <x:f>MAX(0,MIN(100,(V342/100)*(1-X342/100)*(1-W342/100)*100))</x:f>
        <x:v>63.84926736316445</x:v>
      </x:c>
    </x:row>
    <x:row r="343">
      <x:c r="A343" s="12" t="n">
        <x:v>46140</x:v>
      </x:c>
      <x:c r="B343" t="str">
        <x:v>C</x:v>
      </x:c>
      <x:c r="C343" t="str">
        <x:v>Dried Mango</x:v>
      </x:c>
      <x:c r="D343" t="str">
        <x:v>Dryer 3</x:v>
      </x:c>
      <x:c r="E343" t="str">
        <x:v>Sup 3</x:v>
      </x:c>
      <x:c r="F343" t="n">
        <x:v>480</x:v>
      </x:c>
      <x:c r="G343" t="n">
        <x:v>30</x:v>
      </x:c>
      <x:c r="H343" t="n">
        <x:v>84</x:v>
      </x:c>
      <x:c r="I343" t="n">
        <x:v>1632</x:v>
      </x:c>
      <x:c r="J343" t="n">
        <x:v>1337</x:v>
      </x:c>
      <x:c r="K343" t="n">
        <x:v>52</x:v>
      </x:c>
      <x:c r="L343" t="n">
        <x:v>24</x:v>
      </x:c>
      <x:c r="M343" t="n">
        <x:v>90.9</x:v>
      </x:c>
      <x:c r="N343" t="n">
        <x:v>84.5</x:v>
      </x:c>
      <x:c r="O343" t="n">
        <x:v>80.1</x:v>
      </x:c>
      <x:c r="P343" t="n">
        <x:v>4</x:v>
      </x:c>
      <x:c r="Q343" t="str">
        <x:v>No incident</x:v>
      </x:c>
      <x:c r="R343" t="str">
        <x:v>N/A</x:v>
      </x:c>
      <x:c r="S343" t="str">
        <x:v>Preventive</x:v>
      </x:c>
      <x:c r="T343" t="n">
        <x:v>0.86</x:v>
      </x:c>
      <x:c r="U343" t="n">
        <x:v>10.5</x:v>
      </x:c>
      <x:c r="V343" t="n">
        <x:f>IFERROR(J343/I343*100,0)</x:f>
        <x:v>81.92401960784314</x:v>
      </x:c>
      <x:c r="W343" t="n">
        <x:f>IFERROR(K343/J343*100,0)</x:f>
        <x:v>3.889304412864622</x:v>
      </x:c>
      <x:c r="X343" t="n">
        <x:f>IFERROR(H343/F343*100,0)</x:f>
        <x:v>17.5</x:v>
      </x:c>
      <x:c r="Y343" t="n">
        <x:f>J343-K343</x:f>
        <x:v>1285</x:v>
      </x:c>
      <x:c r="Z343" t="n">
        <x:f>MAX(0,MIN(100,(V343/100)*(1-X343/100)*(1-W343/100)*100))</x:f>
        <x:v>64.95863970588235</x:v>
      </x:c>
    </x:row>
    <x:row r="344">
      <x:c r="A344" s="12" t="n">
        <x:v>46141</x:v>
      </x:c>
      <x:c r="B344" t="str">
        <x:v>A</x:v>
      </x:c>
      <x:c r="C344" t="str">
        <x:v>Desiccated Coconut</x:v>
      </x:c>
      <x:c r="D344" t="str">
        <x:v>Dryer 4</x:v>
      </x:c>
      <x:c r="E344" t="str">
        <x:v>Sup 3</x:v>
      </x:c>
      <x:c r="F344" t="n">
        <x:v>450</x:v>
      </x:c>
      <x:c r="G344" t="n">
        <x:v>20</x:v>
      </x:c>
      <x:c r="H344" t="n">
        <x:v>41</x:v>
      </x:c>
      <x:c r="I344" t="n">
        <x:v>1113</x:v>
      </x:c>
      <x:c r="J344" t="n">
        <x:v>1019</x:v>
      </x:c>
      <x:c r="K344" t="n">
        <x:v>21</x:v>
      </x:c>
      <x:c r="L344" t="n">
        <x:v>11</x:v>
      </x:c>
      <x:c r="M344" t="n">
        <x:v>92.2</x:v>
      </x:c>
      <x:c r="N344" t="n">
        <x:v>90.1</x:v>
      </x:c>
      <x:c r="O344" t="n">
        <x:v>64.4</x:v>
      </x:c>
      <x:c r="P344" t="n">
        <x:v>5</x:v>
      </x:c>
      <x:c r="Q344" t="str">
        <x:v>No incident</x:v>
      </x:c>
      <x:c r="R344" t="str">
        <x:v>N/A</x:v>
      </x:c>
      <x:c r="S344" t="str">
        <x:v>Preventive</x:v>
      </x:c>
      <x:c r="T344" t="n">
        <x:v>1.01</x:v>
      </x:c>
      <x:c r="U344" t="n">
        <x:v>8.1</x:v>
      </x:c>
      <x:c r="V344" t="n">
        <x:f>IFERROR(J344/I344*100,0)</x:f>
        <x:v>91.55435759209344</x:v>
      </x:c>
      <x:c r="W344" t="n">
        <x:f>IFERROR(K344/J344*100,0)</x:f>
        <x:v>2.060843964671246</x:v>
      </x:c>
      <x:c r="X344" t="n">
        <x:f>IFERROR(H344/F344*100,0)</x:f>
        <x:v>9.11111111111111</x:v>
      </x:c>
      <x:c r="Y344" t="n">
        <x:f>J344-K344</x:f>
        <x:v>998</x:v>
      </x:c>
      <x:c r="Z344" t="n">
        <x:f>MAX(0,MIN(100,(V344/100)*(1-X344/100)*(1-W344/100)*100))</x:f>
        <x:v>81.49785364879703</x:v>
      </x:c>
    </x:row>
    <x:row r="345">
      <x:c r="A345" s="12" t="n">
        <x:v>46141</x:v>
      </x:c>
      <x:c r="B345" t="str">
        <x:v>B</x:v>
      </x:c>
      <x:c r="C345" t="str">
        <x:v>Dried Pineapple</x:v>
      </x:c>
      <x:c r="D345" t="str">
        <x:v>Dryer 1</x:v>
      </x:c>
      <x:c r="E345" t="str">
        <x:v>Sup 3</x:v>
      </x:c>
      <x:c r="F345" t="n">
        <x:v>480</x:v>
      </x:c>
      <x:c r="G345" t="n">
        <x:v>20</x:v>
      </x:c>
      <x:c r="H345" t="n">
        <x:v>37</x:v>
      </x:c>
      <x:c r="I345" t="n">
        <x:v>1700</x:v>
      </x:c>
      <x:c r="J345" t="n">
        <x:v>1541</x:v>
      </x:c>
      <x:c r="K345" t="n">
        <x:v>53</x:v>
      </x:c>
      <x:c r="L345" t="n">
        <x:v>25</x:v>
      </x:c>
      <x:c r="M345" t="n">
        <x:v>88.6</x:v>
      </x:c>
      <x:c r="N345" t="n">
        <x:v>82.6</x:v>
      </x:c>
      <x:c r="O345" t="n">
        <x:v>78.5</x:v>
      </x:c>
      <x:c r="P345" t="n">
        <x:v>4</x:v>
      </x:c>
      <x:c r="Q345" t="str">
        <x:v>No incident</x:v>
      </x:c>
      <x:c r="R345" t="str">
        <x:v>N/A</x:v>
      </x:c>
      <x:c r="S345" t="str">
        <x:v>Preventive</x:v>
      </x:c>
      <x:c r="T345" t="n">
        <x:v>0.8</x:v>
      </x:c>
      <x:c r="U345" t="n">
        <x:v>12.6</x:v>
      </x:c>
      <x:c r="V345" t="n">
        <x:f>IFERROR(J345/I345*100,0)</x:f>
        <x:v>90.64705882352942</x:v>
      </x:c>
      <x:c r="W345" t="n">
        <x:f>IFERROR(K345/J345*100,0)</x:f>
        <x:v>3.4393251135626217</x:v>
      </x:c>
      <x:c r="X345" t="n">
        <x:f>IFERROR(H345/F345*100,0)</x:f>
        <x:v>7.708333333333334</x:v>
      </x:c>
      <x:c r="Y345" t="n">
        <x:f>J345-K345</x:f>
        <x:v>1488</x:v>
      </x:c>
      <x:c r="Z345" t="n">
        <x:f>MAX(0,MIN(100,(V345/100)*(1-X345/100)*(1-W345/100)*100))</x:f>
        <x:v>80.78235294117647</x:v>
      </x:c>
    </x:row>
    <x:row r="346">
      <x:c r="A346" s="12" t="n">
        <x:v>46141</x:v>
      </x:c>
      <x:c r="B346" t="str">
        <x:v>C</x:v>
      </x:c>
      <x:c r="C346" t="str">
        <x:v>Dried Pineapple</x:v>
      </x:c>
      <x:c r="D346" t="str">
        <x:v>Dryer 1</x:v>
      </x:c>
      <x:c r="E346" t="str">
        <x:v>Sup 3</x:v>
      </x:c>
      <x:c r="F346" t="n">
        <x:v>450</x:v>
      </x:c>
      <x:c r="G346" t="n">
        <x:v>30</x:v>
      </x:c>
      <x:c r="H346" t="n">
        <x:v>24</x:v>
      </x:c>
      <x:c r="I346" t="n">
        <x:v>1768</x:v>
      </x:c>
      <x:c r="J346" t="n">
        <x:v>1522</x:v>
      </x:c>
      <x:c r="K346" t="n">
        <x:v>44</x:v>
      </x:c>
      <x:c r="L346" t="n">
        <x:v>21</x:v>
      </x:c>
      <x:c r="M346" t="n">
        <x:v>84.9</x:v>
      </x:c>
      <x:c r="N346" t="n">
        <x:v>78</x:v>
      </x:c>
      <x:c r="O346" t="n">
        <x:v>80.9</x:v>
      </x:c>
      <x:c r="P346" t="n">
        <x:v>1</x:v>
      </x:c>
      <x:c r="Q346" t="str">
        <x:v>No incident</x:v>
      </x:c>
      <x:c r="R346" t="str">
        <x:v>N/A</x:v>
      </x:c>
      <x:c r="S346" t="str">
        <x:v>Inspection</x:v>
      </x:c>
      <x:c r="T346" t="n">
        <x:v>1.16</x:v>
      </x:c>
      <x:c r="U346" t="n">
        <x:v>12.1</x:v>
      </x:c>
      <x:c r="V346" t="n">
        <x:f>IFERROR(J346/I346*100,0)</x:f>
        <x:v>86.08597285067874</x:v>
      </x:c>
      <x:c r="W346" t="n">
        <x:f>IFERROR(K346/J346*100,0)</x:f>
        <x:v>2.890932982917214</x:v>
      </x:c>
      <x:c r="X346" t="n">
        <x:f>IFERROR(H346/F346*100,0)</x:f>
        <x:v>5.333333333333334</x:v>
      </x:c>
      <x:c r="Y346" t="n">
        <x:f>J346-K346</x:f>
        <x:v>1478</x:v>
      </x:c>
      <x:c r="Z346" t="n">
        <x:f>MAX(0,MIN(100,(V346/100)*(1-X346/100)*(1-W346/100)*100))</x:f>
        <x:v>79.13876319758674</x:v>
      </x:c>
    </x:row>
    <x:row r="347">
      <x:c r="A347" s="12" t="n">
        <x:v>46142</x:v>
      </x:c>
      <x:c r="B347" t="str">
        <x:v>A</x:v>
      </x:c>
      <x:c r="C347" t="str">
        <x:v>Dried Mango</x:v>
      </x:c>
      <x:c r="D347" t="str">
        <x:v>Dryer 4</x:v>
      </x:c>
      <x:c r="E347" t="str">
        <x:v>Sup 1</x:v>
      </x:c>
      <x:c r="F347" t="n">
        <x:v>480</x:v>
      </x:c>
      <x:c r="G347" t="n">
        <x:v>40</x:v>
      </x:c>
      <x:c r="H347" t="n">
        <x:v>44</x:v>
      </x:c>
      <x:c r="I347" t="n">
        <x:v>1776</x:v>
      </x:c>
      <x:c r="J347" t="n">
        <x:v>1517</x:v>
      </x:c>
      <x:c r="K347" t="n">
        <x:v>46</x:v>
      </x:c>
      <x:c r="L347" t="n">
        <x:v>15</x:v>
      </x:c>
      <x:c r="M347" t="n">
        <x:v>90.1</x:v>
      </x:c>
      <x:c r="N347" t="n">
        <x:v>76.9</x:v>
      </x:c>
      <x:c r="O347" t="n">
        <x:v>73.8</x:v>
      </x:c>
      <x:c r="P347" t="n">
        <x:v>3</x:v>
      </x:c>
      <x:c r="Q347" t="str">
        <x:v>Near miss</x:v>
      </x:c>
      <x:c r="R347" t="str">
        <x:v>Closed</x:v>
      </x:c>
      <x:c r="S347" t="str">
        <x:v>Inspection</x:v>
      </x:c>
      <x:c r="T347" t="n">
        <x:v>1.01</x:v>
      </x:c>
      <x:c r="U347" t="n">
        <x:v>11.4</x:v>
      </x:c>
      <x:c r="V347" t="n">
        <x:f>IFERROR(J347/I347*100,0)</x:f>
        <x:v>85.41666666666666</x:v>
      </x:c>
      <x:c r="W347" t="n">
        <x:f>IFERROR(K347/J347*100,0)</x:f>
        <x:v>3.032300593276203</x:v>
      </x:c>
      <x:c r="X347" t="n">
        <x:f>IFERROR(H347/F347*100,0)</x:f>
        <x:v>9.166666666666666</x:v>
      </x:c>
      <x:c r="Y347" t="n">
        <x:f>J347-K347</x:f>
        <x:v>1471</x:v>
      </x:c>
      <x:c r="Z347" t="n">
        <x:f>MAX(0,MIN(100,(V347/100)*(1-X347/100)*(1-W347/100)*100))</x:f>
        <x:v>75.23414039039037</x:v>
      </x:c>
    </x:row>
    <x:row r="348">
      <x:c r="A348" s="12" t="n">
        <x:v>46142</x:v>
      </x:c>
      <x:c r="B348" t="str">
        <x:v>B</x:v>
      </x:c>
      <x:c r="C348" t="str">
        <x:v>Dried Mango</x:v>
      </x:c>
      <x:c r="D348" t="str">
        <x:v>Dryer 3</x:v>
      </x:c>
      <x:c r="E348" t="str">
        <x:v>Sup 2</x:v>
      </x:c>
      <x:c r="F348" t="n">
        <x:v>450</x:v>
      </x:c>
      <x:c r="G348" t="n">
        <x:v>20</x:v>
      </x:c>
      <x:c r="H348" t="n">
        <x:v>46</x:v>
      </x:c>
      <x:c r="I348" t="n">
        <x:v>1518</x:v>
      </x:c>
      <x:c r="J348" t="n">
        <x:v>1283</x:v>
      </x:c>
      <x:c r="K348" t="n">
        <x:v>53</x:v>
      </x:c>
      <x:c r="L348" t="n">
        <x:v>15</x:v>
      </x:c>
      <x:c r="M348" t="n">
        <x:v>94.1</x:v>
      </x:c>
      <x:c r="N348" t="n">
        <x:v>87</x:v>
      </x:c>
      <x:c r="O348" t="n">
        <x:v>71.4</x:v>
      </x:c>
      <x:c r="P348" t="n">
        <x:v>1</x:v>
      </x:c>
      <x:c r="Q348" t="str">
        <x:v>No incident</x:v>
      </x:c>
      <x:c r="R348" t="str">
        <x:v>N/A</x:v>
      </x:c>
      <x:c r="S348" t="str">
        <x:v>Inspection</x:v>
      </x:c>
      <x:c r="T348" t="n">
        <x:v>0.5</x:v>
      </x:c>
      <x:c r="U348" t="n">
        <x:v>10</x:v>
      </x:c>
      <x:c r="V348" t="n">
        <x:f>IFERROR(J348/I348*100,0)</x:f>
        <x:v>84.51910408432147</x:v>
      </x:c>
      <x:c r="W348" t="n">
        <x:f>IFERROR(K348/J348*100,0)</x:f>
        <x:v>4.1309431021044425</x:v>
      </x:c>
      <x:c r="X348" t="n">
        <x:f>IFERROR(H348/F348*100,0)</x:f>
        <x:v>10.222222222222223</x:v>
      </x:c>
      <x:c r="Y348" t="n">
        <x:f>J348-K348</x:f>
        <x:v>1230</x:v>
      </x:c>
      <x:c r="Z348" t="n">
        <x:f>MAX(0,MIN(100,(V348/100)*(1-X348/100)*(1-W348/100)*100))</x:f>
        <x:v>72.74483970136144</x:v>
      </x:c>
    </x:row>
    <x:row r="349">
      <x:c r="A349" s="12" t="n">
        <x:v>46142</x:v>
      </x:c>
      <x:c r="B349" t="str">
        <x:v>C</x:v>
      </x:c>
      <x:c r="C349" t="str">
        <x:v>Desiccated Coconut</x:v>
      </x:c>
      <x:c r="D349" t="str">
        <x:v>Dryer 4</x:v>
      </x:c>
      <x:c r="E349" t="str">
        <x:v>Sup 2</x:v>
      </x:c>
      <x:c r="F349" t="n">
        <x:v>480</x:v>
      </x:c>
      <x:c r="G349" t="n">
        <x:v>20</x:v>
      </x:c>
      <x:c r="H349" t="n">
        <x:v>64</x:v>
      </x:c>
      <x:c r="I349" t="n">
        <x:v>1113</x:v>
      </x:c>
      <x:c r="J349" t="n">
        <x:v>909</x:v>
      </x:c>
      <x:c r="K349" t="n">
        <x:v>21</x:v>
      </x:c>
      <x:c r="L349" t="n">
        <x:v>13</x:v>
      </x:c>
      <x:c r="M349" t="n">
        <x:v>88.4</x:v>
      </x:c>
      <x:c r="N349" t="n">
        <x:v>86.5</x:v>
      </x:c>
      <x:c r="O349" t="n">
        <x:v>84.9</x:v>
      </x:c>
      <x:c r="P349" t="n">
        <x:v>3</x:v>
      </x:c>
      <x:c r="Q349" t="str">
        <x:v>No incident</x:v>
      </x:c>
      <x:c r="R349" t="str">
        <x:v>N/A</x:v>
      </x:c>
      <x:c r="S349" t="str">
        <x:v>Preventive</x:v>
      </x:c>
      <x:c r="T349" t="n">
        <x:v>0.62</x:v>
      </x:c>
      <x:c r="U349" t="n">
        <x:v>7.3</x:v>
      </x:c>
      <x:c r="V349" t="n">
        <x:f>IFERROR(J349/I349*100,0)</x:f>
        <x:v>81.6711590296496</x:v>
      </x:c>
      <x:c r="W349" t="n">
        <x:f>IFERROR(K349/J349*100,0)</x:f>
        <x:v>2.31023102310231</x:v>
      </x:c>
      <x:c r="X349" t="n">
        <x:f>IFERROR(H349/F349*100,0)</x:f>
        <x:v>13.333333333333334</x:v>
      </x:c>
      <x:c r="Y349" t="n">
        <x:f>J349-K349</x:f>
        <x:v>888</x:v>
      </x:c>
      <x:c r="Z349" t="n">
        <x:f>MAX(0,MIN(100,(V349/100)*(1-X349/100)*(1-W349/100)*100))</x:f>
        <x:v>69.1464510332435</x:v>
      </x:c>
    </x:row>
    <x:row r="350">
      <x:c r="A350" s="12" t="n">
        <x:v>46143</x:v>
      </x:c>
      <x:c r="B350" t="str">
        <x:v>A</x:v>
      </x:c>
      <x:c r="C350" t="str">
        <x:v>Desiccated Coconut</x:v>
      </x:c>
      <x:c r="D350" t="str">
        <x:v>Dryer 4</x:v>
      </x:c>
      <x:c r="E350" t="str">
        <x:v>Sup 1</x:v>
      </x:c>
      <x:c r="F350" t="n">
        <x:v>420</x:v>
      </x:c>
      <x:c r="G350" t="n">
        <x:v>0</x:v>
      </x:c>
      <x:c r="H350" t="n">
        <x:v>35</x:v>
      </x:c>
      <x:c r="I350" t="n">
        <x:v>1126</x:v>
      </x:c>
      <x:c r="J350" t="n">
        <x:v>1035</x:v>
      </x:c>
      <x:c r="K350" t="n">
        <x:v>21</x:v>
      </x:c>
      <x:c r="L350" t="n">
        <x:v>14</x:v>
      </x:c>
      <x:c r="M350" t="n">
        <x:v>79.5</x:v>
      </x:c>
      <x:c r="N350" t="n">
        <x:v>79.7</x:v>
      </x:c>
      <x:c r="O350" t="n">
        <x:v>94.4</x:v>
      </x:c>
      <x:c r="P350" t="n">
        <x:v>0</x:v>
      </x:c>
      <x:c r="Q350" t="str">
        <x:v>First aid</x:v>
      </x:c>
      <x:c r="R350" t="str">
        <x:v>Closed</x:v>
      </x:c>
      <x:c r="S350" t="str">
        <x:v>Preventive</x:v>
      </x:c>
      <x:c r="T350" t="n">
        <x:v>0.84</x:v>
      </x:c>
      <x:c r="U350" t="n">
        <x:v>8.4</x:v>
      </x:c>
      <x:c r="V350" t="n">
        <x:f>IFERROR(J350/I350*100,0)</x:f>
        <x:v>91.91829484902308</x:v>
      </x:c>
      <x:c r="W350" t="n">
        <x:f>IFERROR(K350/J350*100,0)</x:f>
        <x:v>2.0289855072463765</x:v>
      </x:c>
      <x:c r="X350" t="n">
        <x:f>IFERROR(H350/F350*100,0)</x:f>
        <x:v>8.333333333333332</x:v>
      </x:c>
      <x:c r="Y350" t="n">
        <x:f>J350-K350</x:f>
        <x:v>1014</x:v>
      </x:c>
      <x:c r="Z350" t="n">
        <x:f>MAX(0,MIN(100,(V350/100)*(1-X350/100)*(1-W350/100)*100))</x:f>
        <x:v>82.54884547069273</x:v>
      </x:c>
    </x:row>
    <x:row r="351">
      <x:c r="A351" s="12" t="n">
        <x:v>46143</x:v>
      </x:c>
      <x:c r="B351" t="str">
        <x:v>B</x:v>
      </x:c>
      <x:c r="C351" t="str">
        <x:v>Dried Pineapple</x:v>
      </x:c>
      <x:c r="D351" t="str">
        <x:v>Dryer 1</x:v>
      </x:c>
      <x:c r="E351" t="str">
        <x:v>Sup 1</x:v>
      </x:c>
      <x:c r="F351" t="n">
        <x:v>450</x:v>
      </x:c>
      <x:c r="G351" t="n">
        <x:v>30</x:v>
      </x:c>
      <x:c r="H351" t="n">
        <x:v>31</x:v>
      </x:c>
      <x:c r="I351" t="n">
        <x:v>1628</x:v>
      </x:c>
      <x:c r="J351" t="n">
        <x:v>1414</x:v>
      </x:c>
      <x:c r="K351" t="n">
        <x:v>46</x:v>
      </x:c>
      <x:c r="L351" t="n">
        <x:v>28</x:v>
      </x:c>
      <x:c r="M351" t="n">
        <x:v>100</x:v>
      </x:c>
      <x:c r="N351" t="n">
        <x:v>77.8</x:v>
      </x:c>
      <x:c r="O351" t="n">
        <x:v>80.6</x:v>
      </x:c>
      <x:c r="P351" t="n">
        <x:v>2</x:v>
      </x:c>
      <x:c r="Q351" t="str">
        <x:v>No incident</x:v>
      </x:c>
      <x:c r="R351" t="str">
        <x:v>N/A</x:v>
      </x:c>
      <x:c r="S351" t="str">
        <x:v>Inspection</x:v>
      </x:c>
      <x:c r="T351" t="n">
        <x:v>0.88</x:v>
      </x:c>
      <x:c r="U351" t="n">
        <x:v>11.5</x:v>
      </x:c>
      <x:c r="V351" t="n">
        <x:f>IFERROR(J351/I351*100,0)</x:f>
        <x:v>86.85503685503686</x:v>
      </x:c>
      <x:c r="W351" t="n">
        <x:f>IFERROR(K351/J351*100,0)</x:f>
        <x:v>3.253182461103253</x:v>
      </x:c>
      <x:c r="X351" t="n">
        <x:f>IFERROR(H351/F351*100,0)</x:f>
        <x:v>6.888888888888889</x:v>
      </x:c>
      <x:c r="Y351" t="n">
        <x:f>J351-K351</x:f>
        <x:v>1368</x:v>
      </x:c>
      <x:c r="Z351" t="n">
        <x:f>MAX(0,MIN(100,(V351/100)*(1-X351/100)*(1-W351/100)*100))</x:f>
        <x:v>78.24078624078624</x:v>
      </x:c>
    </x:row>
    <x:row r="352">
      <x:c r="A352" s="12" t="n">
        <x:v>46143</x:v>
      </x:c>
      <x:c r="B352" t="str">
        <x:v>C</x:v>
      </x:c>
      <x:c r="C352" t="str">
        <x:v>Dried Mango</x:v>
      </x:c>
      <x:c r="D352" t="str">
        <x:v>Dryer 4</x:v>
      </x:c>
      <x:c r="E352" t="str">
        <x:v>Sup 1</x:v>
      </x:c>
      <x:c r="F352" t="n">
        <x:v>450</x:v>
      </x:c>
      <x:c r="G352" t="n">
        <x:v>0</x:v>
      </x:c>
      <x:c r="H352" t="n">
        <x:v>38</x:v>
      </x:c>
      <x:c r="I352" t="n">
        <x:v>1523</x:v>
      </x:c>
      <x:c r="J352" t="n">
        <x:v>1422</x:v>
      </x:c>
      <x:c r="K352" t="n">
        <x:v>55</x:v>
      </x:c>
      <x:c r="L352" t="n">
        <x:v>22</x:v>
      </x:c>
      <x:c r="M352" t="n">
        <x:v>93.6</x:v>
      </x:c>
      <x:c r="N352" t="n">
        <x:v>84.8</x:v>
      </x:c>
      <x:c r="O352" t="n">
        <x:v>74.1</x:v>
      </x:c>
      <x:c r="P352" t="n">
        <x:v>4</x:v>
      </x:c>
      <x:c r="Q352" t="str">
        <x:v>No incident</x:v>
      </x:c>
      <x:c r="R352" t="str">
        <x:v>N/A</x:v>
      </x:c>
      <x:c r="S352" t="str">
        <x:v>Corrective</x:v>
      </x:c>
      <x:c r="T352" t="n">
        <x:v>0.86</x:v>
      </x:c>
      <x:c r="U352" t="n">
        <x:v>12.7</x:v>
      </x:c>
      <x:c r="V352" t="n">
        <x:f>IFERROR(J352/I352*100,0)</x:f>
        <x:v>93.3683519369665</x:v>
      </x:c>
      <x:c r="W352" t="n">
        <x:f>IFERROR(K352/J352*100,0)</x:f>
        <x:v>3.8677918424753868</x:v>
      </x:c>
      <x:c r="X352" t="n">
        <x:f>IFERROR(H352/F352*100,0)</x:f>
        <x:v>8.444444444444445</x:v>
      </x:c>
      <x:c r="Y352" t="n">
        <x:f>J352-K352</x:f>
        <x:v>1367</x:v>
      </x:c>
      <x:c r="Z352" t="n">
        <x:f>MAX(0,MIN(100,(V352/100)*(1-X352/100)*(1-W352/100)*100))</x:f>
        <x:v>82.17757350258992</x:v>
      </x:c>
    </x:row>
    <x:row r="353">
      <x:c r="A353" s="12" t="n">
        <x:v>46144</x:v>
      </x:c>
      <x:c r="B353" t="str">
        <x:v>A</x:v>
      </x:c>
      <x:c r="C353" t="str">
        <x:v>Dried Mango</x:v>
      </x:c>
      <x:c r="D353" t="str">
        <x:v>Dryer 2</x:v>
      </x:c>
      <x:c r="E353" t="str">
        <x:v>Sup 1</x:v>
      </x:c>
      <x:c r="F353" t="n">
        <x:v>480</x:v>
      </x:c>
      <x:c r="G353" t="n">
        <x:v>20</x:v>
      </x:c>
      <x:c r="H353" t="n">
        <x:v>48</x:v>
      </x:c>
      <x:c r="I353" t="n">
        <x:v>1671</x:v>
      </x:c>
      <x:c r="J353" t="n">
        <x:v>1372</x:v>
      </x:c>
      <x:c r="K353" t="n">
        <x:v>64</x:v>
      </x:c>
      <x:c r="L353" t="n">
        <x:v>40</x:v>
      </x:c>
      <x:c r="M353" t="n">
        <x:v>96.8</x:v>
      </x:c>
      <x:c r="N353" t="n">
        <x:v>79.2</x:v>
      </x:c>
      <x:c r="O353" t="n">
        <x:v>81.3</x:v>
      </x:c>
      <x:c r="P353" t="n">
        <x:v>3</x:v>
      </x:c>
      <x:c r="Q353" t="str">
        <x:v>No incident</x:v>
      </x:c>
      <x:c r="R353" t="str">
        <x:v>N/A</x:v>
      </x:c>
      <x:c r="S353" t="str">
        <x:v>Inspection</x:v>
      </x:c>
      <x:c r="T353" t="n">
        <x:v>0.5</x:v>
      </x:c>
      <x:c r="U353" t="n">
        <x:v>11.7</x:v>
      </x:c>
      <x:c r="V353" t="n">
        <x:f>IFERROR(J353/I353*100,0)</x:f>
        <x:v>82.10652304009575</x:v>
      </x:c>
      <x:c r="W353" t="n">
        <x:f>IFERROR(K353/J353*100,0)</x:f>
        <x:v>4.664723032069971</x:v>
      </x:c>
      <x:c r="X353" t="n">
        <x:f>IFERROR(H353/F353*100,0)</x:f>
        <x:v>10</x:v>
      </x:c>
      <x:c r="Y353" t="n">
        <x:f>J353-K353</x:f>
        <x:v>1308</x:v>
      </x:c>
      <x:c r="Z353" t="n">
        <x:f>MAX(0,MIN(100,(V353/100)*(1-X353/100)*(1-W353/100)*100))</x:f>
        <x:v>70.44883303411132</x:v>
      </x:c>
    </x:row>
    <x:row r="354">
      <x:c r="A354" s="12" t="n">
        <x:v>46144</x:v>
      </x:c>
      <x:c r="B354" t="str">
        <x:v>B</x:v>
      </x:c>
      <x:c r="C354" t="str">
        <x:v>Desiccated Coconut</x:v>
      </x:c>
      <x:c r="D354" t="str">
        <x:v>Dryer 4</x:v>
      </x:c>
      <x:c r="E354" t="str">
        <x:v>Sup 3</x:v>
      </x:c>
      <x:c r="F354" t="n">
        <x:v>480</x:v>
      </x:c>
      <x:c r="G354" t="n">
        <x:v>40</x:v>
      </x:c>
      <x:c r="H354" t="n">
        <x:v>25</x:v>
      </x:c>
      <x:c r="I354" t="n">
        <x:v>1237</x:v>
      </x:c>
      <x:c r="J354" t="n">
        <x:v>1163</x:v>
      </x:c>
      <x:c r="K354" t="n">
        <x:v>27</x:v>
      </x:c>
      <x:c r="L354" t="n">
        <x:v>11</x:v>
      </x:c>
      <x:c r="M354" t="n">
        <x:v>97</x:v>
      </x:c>
      <x:c r="N354" t="n">
        <x:v>78.5</x:v>
      </x:c>
      <x:c r="O354" t="n">
        <x:v>73.5</x:v>
      </x:c>
      <x:c r="P354" t="n">
        <x:v>3</x:v>
      </x:c>
      <x:c r="Q354" t="str">
        <x:v>No incident</x:v>
      </x:c>
      <x:c r="R354" t="str">
        <x:v>N/A</x:v>
      </x:c>
      <x:c r="S354" t="str">
        <x:v>Corrective</x:v>
      </x:c>
      <x:c r="T354" t="n">
        <x:v>1.3</x:v>
      </x:c>
      <x:c r="U354" t="n">
        <x:v>8.8</x:v>
      </x:c>
      <x:c r="V354" t="n">
        <x:f>IFERROR(J354/I354*100,0)</x:f>
        <x:v>94.01778496362166</x:v>
      </x:c>
      <x:c r="W354" t="n">
        <x:f>IFERROR(K354/J354*100,0)</x:f>
        <x:v>2.3215821152192606</x:v>
      </x:c>
      <x:c r="X354" t="n">
        <x:f>IFERROR(H354/F354*100,0)</x:f>
        <x:v>5.208333333333334</x:v>
      </x:c>
      <x:c r="Y354" t="n">
        <x:f>J354-K354</x:f>
        <x:v>1136</x:v>
      </x:c>
      <x:c r="Z354" t="n">
        <x:f>MAX(0,MIN(100,(V354/100)*(1-X354/100)*(1-W354/100)*100))</x:f>
        <x:v>87.05200754513608</x:v>
      </x:c>
    </x:row>
    <x:row r="355">
      <x:c r="A355" s="12" t="n">
        <x:v>46144</x:v>
      </x:c>
      <x:c r="B355" t="str">
        <x:v>C</x:v>
      </x:c>
      <x:c r="C355" t="str">
        <x:v>Desiccated Coconut</x:v>
      </x:c>
      <x:c r="D355" t="str">
        <x:v>Dryer 4</x:v>
      </x:c>
      <x:c r="E355" t="str">
        <x:v>Sup 1</x:v>
      </x:c>
      <x:c r="F355" t="n">
        <x:v>480</x:v>
      </x:c>
      <x:c r="G355" t="n">
        <x:v>0</x:v>
      </x:c>
      <x:c r="H355" t="n">
        <x:v>51</x:v>
      </x:c>
      <x:c r="I355" t="n">
        <x:v>1223</x:v>
      </x:c>
      <x:c r="J355" t="n">
        <x:v>999</x:v>
      </x:c>
      <x:c r="K355" t="n">
        <x:v>17</x:v>
      </x:c>
      <x:c r="L355" t="n">
        <x:v>6</x:v>
      </x:c>
      <x:c r="M355" t="n">
        <x:v>82.9</x:v>
      </x:c>
      <x:c r="N355" t="n">
        <x:v>78.3</x:v>
      </x:c>
      <x:c r="O355" t="n">
        <x:v>68.3</x:v>
      </x:c>
      <x:c r="P355" t="n">
        <x:v>0</x:v>
      </x:c>
      <x:c r="Q355" t="str">
        <x:v>Near miss</x:v>
      </x:c>
      <x:c r="R355" t="str">
        <x:v>In progress</x:v>
      </x:c>
      <x:c r="S355" t="str">
        <x:v>Inspection</x:v>
      </x:c>
      <x:c r="T355" t="n">
        <x:v>0.64</x:v>
      </x:c>
      <x:c r="U355" t="n">
        <x:v>8.9</x:v>
      </x:c>
      <x:c r="V355" t="n">
        <x:f>IFERROR(J355/I355*100,0)</x:f>
        <x:v>81.68438266557645</x:v>
      </x:c>
      <x:c r="W355" t="n">
        <x:f>IFERROR(K355/J355*100,0)</x:f>
        <x:v>1.7017017017017018</x:v>
      </x:c>
      <x:c r="X355" t="n">
        <x:f>IFERROR(H355/F355*100,0)</x:f>
        <x:v>10.625</x:v>
      </x:c>
      <x:c r="Y355" t="n">
        <x:f>J355-K355</x:f>
        <x:v>982</x:v>
      </x:c>
      <x:c r="Z355" t="n">
        <x:f>MAX(0,MIN(100,(V355/100)*(1-X355/100)*(1-W355/100)*100))</x:f>
        <x:v>71.7630825838103</x:v>
      </x:c>
    </x:row>
    <x:row r="356">
      <x:c r="A356" s="12" t="n">
        <x:v>46145</x:v>
      </x:c>
      <x:c r="B356" t="str">
        <x:v>A</x:v>
      </x:c>
      <x:c r="C356" t="str">
        <x:v>Desiccated Coconut</x:v>
      </x:c>
      <x:c r="D356" t="str">
        <x:v>Dryer 4</x:v>
      </x:c>
      <x:c r="E356" t="str">
        <x:v>Sup 3</x:v>
      </x:c>
      <x:c r="F356" t="n">
        <x:v>450</x:v>
      </x:c>
      <x:c r="G356" t="n">
        <x:v>30</x:v>
      </x:c>
      <x:c r="H356" t="n">
        <x:v>28</x:v>
      </x:c>
      <x:c r="I356" t="n">
        <x:v>1249</x:v>
      </x:c>
      <x:c r="J356" t="n">
        <x:v>1174</x:v>
      </x:c>
      <x:c r="K356" t="n">
        <x:v>26</x:v>
      </x:c>
      <x:c r="L356" t="n">
        <x:v>14</x:v>
      </x:c>
      <x:c r="M356" t="n">
        <x:v>92.3</x:v>
      </x:c>
      <x:c r="N356" t="n">
        <x:v>77.2</x:v>
      </x:c>
      <x:c r="O356" t="n">
        <x:v>84.2</x:v>
      </x:c>
      <x:c r="P356" t="n">
        <x:v>2</x:v>
      </x:c>
      <x:c r="Q356" t="str">
        <x:v>No incident</x:v>
      </x:c>
      <x:c r="R356" t="str">
        <x:v>N/A</x:v>
      </x:c>
      <x:c r="S356" t="str">
        <x:v>Inspection</x:v>
      </x:c>
      <x:c r="T356" t="n">
        <x:v>0.6</x:v>
      </x:c>
      <x:c r="U356" t="n">
        <x:v>10.8</x:v>
      </x:c>
      <x:c r="V356" t="n">
        <x:f>IFERROR(J356/I356*100,0)</x:f>
        <x:v>93.99519615692554</x:v>
      </x:c>
      <x:c r="W356" t="n">
        <x:f>IFERROR(K356/J356*100,0)</x:f>
        <x:v>2.2146507666098807</x:v>
      </x:c>
      <x:c r="X356" t="n">
        <x:f>IFERROR(H356/F356*100,0)</x:f>
        <x:v>6.222222222222222</x:v>
      </x:c>
      <x:c r="Y356" t="n">
        <x:f>J356-K356</x:f>
        <x:v>1148</x:v>
      </x:c>
      <x:c r="Z356" t="n">
        <x:f>MAX(0,MIN(100,(V356/100)*(1-X356/100)*(1-W356/100)*100))</x:f>
        <x:v>86.19446668445867</x:v>
      </x:c>
    </x:row>
    <x:row r="357">
      <x:c r="A357" s="12" t="n">
        <x:v>46145</x:v>
      </x:c>
      <x:c r="B357" t="str">
        <x:v>B</x:v>
      </x:c>
      <x:c r="C357" t="str">
        <x:v>Dried Mango</x:v>
      </x:c>
      <x:c r="D357" t="str">
        <x:v>Dryer 1</x:v>
      </x:c>
      <x:c r="E357" t="str">
        <x:v>Sup 1</x:v>
      </x:c>
      <x:c r="F357" t="n">
        <x:v>450</x:v>
      </x:c>
      <x:c r="G357" t="n">
        <x:v>20</x:v>
      </x:c>
      <x:c r="H357" t="n">
        <x:v>39</x:v>
      </x:c>
      <x:c r="I357" t="n">
        <x:v>1754</x:v>
      </x:c>
      <x:c r="J357" t="n">
        <x:v>1593</x:v>
      </x:c>
      <x:c r="K357" t="n">
        <x:v>49</x:v>
      </x:c>
      <x:c r="L357" t="n">
        <x:v>34</x:v>
      </x:c>
      <x:c r="M357" t="n">
        <x:v>95.9</x:v>
      </x:c>
      <x:c r="N357" t="n">
        <x:v>84.1</x:v>
      </x:c>
      <x:c r="O357" t="n">
        <x:v>68</x:v>
      </x:c>
      <x:c r="P357" t="n">
        <x:v>5</x:v>
      </x:c>
      <x:c r="Q357" t="str">
        <x:v>No incident</x:v>
      </x:c>
      <x:c r="R357" t="str">
        <x:v>N/A</x:v>
      </x:c>
      <x:c r="S357" t="str">
        <x:v>Inspection</x:v>
      </x:c>
      <x:c r="T357" t="n">
        <x:v>0.6</x:v>
      </x:c>
      <x:c r="U357" t="n">
        <x:v>12</x:v>
      </x:c>
      <x:c r="V357" t="n">
        <x:f>IFERROR(J357/I357*100,0)</x:f>
        <x:v>90.82098061573546</x:v>
      </x:c>
      <x:c r="W357" t="n">
        <x:f>IFERROR(K357/J357*100,0)</x:f>
        <x:v>3.0759573132454485</x:v>
      </x:c>
      <x:c r="X357" t="n">
        <x:f>IFERROR(H357/F357*100,0)</x:f>
        <x:v>8.666666666666668</x:v>
      </x:c>
      <x:c r="Y357" t="n">
        <x:f>J357-K357</x:f>
        <x:v>1544</x:v>
      </x:c>
      <x:c r="Z357" t="n">
        <x:f>MAX(0,MIN(100,(V357/100)*(1-X357/100)*(1-W357/100)*100))</x:f>
        <x:v>80.39832763207907</x:v>
      </x:c>
    </x:row>
    <x:row r="358">
      <x:c r="A358" s="12" t="n">
        <x:v>46145</x:v>
      </x:c>
      <x:c r="B358" t="str">
        <x:v>C</x:v>
      </x:c>
      <x:c r="C358" t="str">
        <x:v>Desiccated Coconut</x:v>
      </x:c>
      <x:c r="D358" t="str">
        <x:v>Dryer 4</x:v>
      </x:c>
      <x:c r="E358" t="str">
        <x:v>Sup 3</x:v>
      </x:c>
      <x:c r="F358" t="n">
        <x:v>480</x:v>
      </x:c>
      <x:c r="G358" t="n">
        <x:v>0</x:v>
      </x:c>
      <x:c r="H358" t="n">
        <x:v>44</x:v>
      </x:c>
      <x:c r="I358" t="n">
        <x:v>1186</x:v>
      </x:c>
      <x:c r="J358" t="n">
        <x:v>953</x:v>
      </x:c>
      <x:c r="K358" t="n">
        <x:v>24</x:v>
      </x:c>
      <x:c r="L358" t="n">
        <x:v>15</x:v>
      </x:c>
      <x:c r="M358" t="n">
        <x:v>83.5</x:v>
      </x:c>
      <x:c r="N358" t="n">
        <x:v>68.7</x:v>
      </x:c>
      <x:c r="O358" t="n">
        <x:v>71.9</x:v>
      </x:c>
      <x:c r="P358" t="n">
        <x:v>2</x:v>
      </x:c>
      <x:c r="Q358" t="str">
        <x:v>First aid</x:v>
      </x:c>
      <x:c r="R358" t="str">
        <x:v>Closed</x:v>
      </x:c>
      <x:c r="S358" t="str">
        <x:v>Inspection</x:v>
      </x:c>
      <x:c r="T358" t="n">
        <x:v>0.5</x:v>
      </x:c>
      <x:c r="U358" t="n">
        <x:v>7.3</x:v>
      </x:c>
      <x:c r="V358" t="n">
        <x:f>IFERROR(J358/I358*100,0)</x:f>
        <x:v>80.35413153456999</x:v>
      </x:c>
      <x:c r="W358" t="n">
        <x:f>IFERROR(K358/J358*100,0)</x:f>
        <x:v>2.5183630640083945</x:v>
      </x:c>
      <x:c r="X358" t="n">
        <x:f>IFERROR(H358/F358*100,0)</x:f>
        <x:v>9.166666666666666</x:v>
      </x:c>
      <x:c r="Y358" t="n">
        <x:f>J358-K358</x:f>
        <x:v>929</x:v>
      </x:c>
      <x:c r="Z358" t="n">
        <x:f>MAX(0,MIN(100,(V358/100)*(1-X358/100)*(1-W358/100)*100))</x:f>
        <x:v>71.15022484541878</x:v>
      </x:c>
    </x:row>
    <x:row r="359">
      <x:c r="A359" s="12" t="n">
        <x:v>46146</x:v>
      </x:c>
      <x:c r="B359" t="str">
        <x:v>A</x:v>
      </x:c>
      <x:c r="C359" t="str">
        <x:v>Desiccated Coconut</x:v>
      </x:c>
      <x:c r="D359" t="str">
        <x:v>Dryer 3</x:v>
      </x:c>
      <x:c r="E359" t="str">
        <x:v>Sup 1</x:v>
      </x:c>
      <x:c r="F359" t="n">
        <x:v>420</x:v>
      </x:c>
      <x:c r="G359" t="n">
        <x:v>40</x:v>
      </x:c>
      <x:c r="H359" t="n">
        <x:v>34</x:v>
      </x:c>
      <x:c r="I359" t="n">
        <x:v>1200</x:v>
      </x:c>
      <x:c r="J359" t="n">
        <x:v>971</x:v>
      </x:c>
      <x:c r="K359" t="n">
        <x:v>43</x:v>
      </x:c>
      <x:c r="L359" t="n">
        <x:v>26</x:v>
      </x:c>
      <x:c r="M359" t="n">
        <x:v>96.1</x:v>
      </x:c>
      <x:c r="N359" t="n">
        <x:v>74.7</x:v>
      </x:c>
      <x:c r="O359" t="n">
        <x:v>81.8</x:v>
      </x:c>
      <x:c r="P359" t="n">
        <x:v>7</x:v>
      </x:c>
      <x:c r="Q359" t="str">
        <x:v>No incident</x:v>
      </x:c>
      <x:c r="R359" t="str">
        <x:v>N/A</x:v>
      </x:c>
      <x:c r="S359" t="str">
        <x:v>Inspection</x:v>
      </x:c>
      <x:c r="T359" t="n">
        <x:v>1.42</x:v>
      </x:c>
      <x:c r="U359" t="n">
        <x:v>8.1</x:v>
      </x:c>
      <x:c r="V359" t="n">
        <x:f>IFERROR(J359/I359*100,0)</x:f>
        <x:v>80.91666666666667</x:v>
      </x:c>
      <x:c r="W359" t="n">
        <x:f>IFERROR(K359/J359*100,0)</x:f>
        <x:v>4.42842430484037</x:v>
      </x:c>
      <x:c r="X359" t="n">
        <x:f>IFERROR(H359/F359*100,0)</x:f>
        <x:v>8.095238095238095</x:v>
      </x:c>
      <x:c r="Y359" t="n">
        <x:f>J359-K359</x:f>
        <x:v>928</x:v>
      </x:c>
      <x:c r="Z359" t="n">
        <x:f>MAX(0,MIN(100,(V359/100)*(1-X359/100)*(1-W359/100)*100))</x:f>
        <x:v>71.07301587301588</x:v>
      </x:c>
    </x:row>
    <x:row r="360">
      <x:c r="A360" s="12" t="n">
        <x:v>46146</x:v>
      </x:c>
      <x:c r="B360" t="str">
        <x:v>B</x:v>
      </x:c>
      <x:c r="C360" t="str">
        <x:v>Desiccated Coconut</x:v>
      </x:c>
      <x:c r="D360" t="str">
        <x:v>Dryer 2</x:v>
      </x:c>
      <x:c r="E360" t="str">
        <x:v>Sup 2</x:v>
      </x:c>
      <x:c r="F360" t="n">
        <x:v>480</x:v>
      </x:c>
      <x:c r="G360" t="n">
        <x:v>0</x:v>
      </x:c>
      <x:c r="H360" t="n">
        <x:v>42</x:v>
      </x:c>
      <x:c r="I360" t="n">
        <x:v>1231</x:v>
      </x:c>
      <x:c r="J360" t="n">
        <x:v>1164</x:v>
      </x:c>
      <x:c r="K360" t="n">
        <x:v>42</x:v>
      </x:c>
      <x:c r="L360" t="n">
        <x:v>20</x:v>
      </x:c>
      <x:c r="M360" t="n">
        <x:v>100</x:v>
      </x:c>
      <x:c r="N360" t="n">
        <x:v>77</x:v>
      </x:c>
      <x:c r="O360" t="n">
        <x:v>77.9</x:v>
      </x:c>
      <x:c r="P360" t="n">
        <x:v>2</x:v>
      </x:c>
      <x:c r="Q360" t="str">
        <x:v>No incident</x:v>
      </x:c>
      <x:c r="R360" t="str">
        <x:v>N/A</x:v>
      </x:c>
      <x:c r="S360" t="str">
        <x:v>Corrective</x:v>
      </x:c>
      <x:c r="T360" t="n">
        <x:v>1.34</x:v>
      </x:c>
      <x:c r="U360" t="n">
        <x:v>9.7</x:v>
      </x:c>
      <x:c r="V360" t="n">
        <x:f>IFERROR(J360/I360*100,0)</x:f>
        <x:v>94.55727051177905</x:v>
      </x:c>
      <x:c r="W360" t="n">
        <x:f>IFERROR(K360/J360*100,0)</x:f>
        <x:v>3.608247422680412</x:v>
      </x:c>
      <x:c r="X360" t="n">
        <x:f>IFERROR(H360/F360*100,0)</x:f>
        <x:v>8.75</x:v>
      </x:c>
      <x:c r="Y360" t="n">
        <x:f>J360-K360</x:f>
        <x:v>1122</x:v>
      </x:c>
      <x:c r="Z360" t="n">
        <x:f>MAX(0,MIN(100,(V360/100)*(1-X360/100)*(1-W360/100)*100))</x:f>
        <x:v>83.17018683996751</x:v>
      </x:c>
    </x:row>
    <x:row r="361">
      <x:c r="A361" s="12" t="n">
        <x:v>46146</x:v>
      </x:c>
      <x:c r="B361" t="str">
        <x:v>C</x:v>
      </x:c>
      <x:c r="C361" t="str">
        <x:v>Desiccated Coconut</x:v>
      </x:c>
      <x:c r="D361" t="str">
        <x:v>Dryer 2</x:v>
      </x:c>
      <x:c r="E361" t="str">
        <x:v>Sup 3</x:v>
      </x:c>
      <x:c r="F361" t="n">
        <x:v>480</x:v>
      </x:c>
      <x:c r="G361" t="n">
        <x:v>30</x:v>
      </x:c>
      <x:c r="H361" t="n">
        <x:v>26</x:v>
      </x:c>
      <x:c r="I361" t="n">
        <x:v>1177</x:v>
      </x:c>
      <x:c r="J361" t="n">
        <x:v>1074</x:v>
      </x:c>
      <x:c r="K361" t="n">
        <x:v>21</x:v>
      </x:c>
      <x:c r="L361" t="n">
        <x:v>10</x:v>
      </x:c>
      <x:c r="M361" t="n">
        <x:v>88.3</x:v>
      </x:c>
      <x:c r="N361" t="n">
        <x:v>70.8</x:v>
      </x:c>
      <x:c r="O361" t="n">
        <x:v>75</x:v>
      </x:c>
      <x:c r="P361" t="n">
        <x:v>0</x:v>
      </x:c>
      <x:c r="Q361" t="str">
        <x:v>No incident</x:v>
      </x:c>
      <x:c r="R361" t="str">
        <x:v>N/A</x:v>
      </x:c>
      <x:c r="S361" t="str">
        <x:v>Preventive</x:v>
      </x:c>
      <x:c r="T361" t="n">
        <x:v>0.75</x:v>
      </x:c>
      <x:c r="U361" t="n">
        <x:v>9.4</x:v>
      </x:c>
      <x:c r="V361" t="n">
        <x:f>IFERROR(J361/I361*100,0)</x:f>
        <x:v>91.24893797790993</x:v>
      </x:c>
      <x:c r="W361" t="n">
        <x:f>IFERROR(K361/J361*100,0)</x:f>
        <x:v>1.9553072625698324</x:v>
      </x:c>
      <x:c r="X361" t="n">
        <x:f>IFERROR(H361/F361*100,0)</x:f>
        <x:v>5.416666666666667</x:v>
      </x:c>
      <x:c r="Y361" t="n">
        <x:f>J361-K361</x:f>
        <x:v>1053</x:v>
      </x:c>
      <x:c r="Z361" t="n">
        <x:f>MAX(0,MIN(100,(V361/100)*(1-X361/100)*(1-W361/100)*100))</x:f>
        <x:v>84.61873406966863</x:v>
      </x:c>
    </x:row>
    <x:row r="362">
      <x:c r="A362" s="12" t="n">
        <x:v>46147</x:v>
      </x:c>
      <x:c r="B362" t="str">
        <x:v>A</x:v>
      </x:c>
      <x:c r="C362" t="str">
        <x:v>Dried Mango</x:v>
      </x:c>
      <x:c r="D362" t="str">
        <x:v>Dryer 2</x:v>
      </x:c>
      <x:c r="E362" t="str">
        <x:v>Sup 2</x:v>
      </x:c>
      <x:c r="F362" t="n">
        <x:v>420</x:v>
      </x:c>
      <x:c r="G362" t="n">
        <x:v>40</x:v>
      </x:c>
      <x:c r="H362" t="n">
        <x:v>42</x:v>
      </x:c>
      <x:c r="I362" t="n">
        <x:v>1658</x:v>
      </x:c>
      <x:c r="J362" t="n">
        <x:v>1490</x:v>
      </x:c>
      <x:c r="K362" t="n">
        <x:v>42</x:v>
      </x:c>
      <x:c r="L362" t="n">
        <x:v>27</x:v>
      </x:c>
      <x:c r="M362" t="n">
        <x:v>91</x:v>
      </x:c>
      <x:c r="N362" t="n">
        <x:v>75.5</x:v>
      </x:c>
      <x:c r="O362" t="n">
        <x:v>77.1</x:v>
      </x:c>
      <x:c r="P362" t="n">
        <x:v>2</x:v>
      </x:c>
      <x:c r="Q362" t="str">
        <x:v>No incident</x:v>
      </x:c>
      <x:c r="R362" t="str">
        <x:v>N/A</x:v>
      </x:c>
      <x:c r="S362" t="str">
        <x:v>Corrective</x:v>
      </x:c>
      <x:c r="T362" t="n">
        <x:v>1.94</x:v>
      </x:c>
      <x:c r="U362" t="n">
        <x:v>12.3</x:v>
      </x:c>
      <x:c r="V362" t="n">
        <x:f>IFERROR(J362/I362*100,0)</x:f>
        <x:v>89.86731001206273</x:v>
      </x:c>
      <x:c r="W362" t="n">
        <x:f>IFERROR(K362/J362*100,0)</x:f>
        <x:v>2.8187919463087248</x:v>
      </x:c>
      <x:c r="X362" t="n">
        <x:f>IFERROR(H362/F362*100,0)</x:f>
        <x:v>10</x:v>
      </x:c>
      <x:c r="Y362" t="n">
        <x:f>J362-K362</x:f>
        <x:v>1448</x:v>
      </x:c>
      <x:c r="Z362" t="n">
        <x:f>MAX(0,MIN(100,(V362/100)*(1-X362/100)*(1-W362/100)*100))</x:f>
        <x:v>78.60072376357057</x:v>
      </x:c>
    </x:row>
    <x:row r="363">
      <x:c r="A363" s="12" t="n">
        <x:v>46147</x:v>
      </x:c>
      <x:c r="B363" t="str">
        <x:v>B</x:v>
      </x:c>
      <x:c r="C363" t="str">
        <x:v>Desiccated Coconut</x:v>
      </x:c>
      <x:c r="D363" t="str">
        <x:v>Dryer 1</x:v>
      </x:c>
      <x:c r="E363" t="str">
        <x:v>Sup 2</x:v>
      </x:c>
      <x:c r="F363" t="n">
        <x:v>480</x:v>
      </x:c>
      <x:c r="G363" t="n">
        <x:v>30</x:v>
      </x:c>
      <x:c r="H363" t="n">
        <x:v>27</x:v>
      </x:c>
      <x:c r="I363" t="n">
        <x:v>1272</x:v>
      </x:c>
      <x:c r="J363" t="n">
        <x:v>1113</x:v>
      </x:c>
      <x:c r="K363" t="n">
        <x:v>20</x:v>
      </x:c>
      <x:c r="L363" t="n">
        <x:v>13</x:v>
      </x:c>
      <x:c r="M363" t="n">
        <x:v>81.6</x:v>
      </x:c>
      <x:c r="N363" t="n">
        <x:v>70.3</x:v>
      </x:c>
      <x:c r="O363" t="n">
        <x:v>71.2</x:v>
      </x:c>
      <x:c r="P363" t="n">
        <x:v>3</x:v>
      </x:c>
      <x:c r="Q363" t="str">
        <x:v>No incident</x:v>
      </x:c>
      <x:c r="R363" t="str">
        <x:v>N/A</x:v>
      </x:c>
      <x:c r="S363" t="str">
        <x:v>Preventive</x:v>
      </x:c>
      <x:c r="T363" t="n">
        <x:v>1.53</x:v>
      </x:c>
      <x:c r="U363" t="n">
        <x:v>9.2</x:v>
      </x:c>
      <x:c r="V363" t="n">
        <x:f>IFERROR(J363/I363*100,0)</x:f>
        <x:v>87.5</x:v>
      </x:c>
      <x:c r="W363" t="n">
        <x:f>IFERROR(K363/J363*100,0)</x:f>
        <x:v>1.7969451931716083</x:v>
      </x:c>
      <x:c r="X363" t="n">
        <x:f>IFERROR(H363/F363*100,0)</x:f>
        <x:v>5.625</x:v>
      </x:c>
      <x:c r="Y363" t="n">
        <x:f>J363-K363</x:f>
        <x:v>1093</x:v>
      </x:c>
      <x:c r="Z363" t="n">
        <x:f>MAX(0,MIN(100,(V363/100)*(1-X363/100)*(1-W363/100)*100))</x:f>
        <x:v>81.09424135220125</x:v>
      </x:c>
    </x:row>
    <x:row r="364">
      <x:c r="A364" s="12" t="n">
        <x:v>46147</x:v>
      </x:c>
      <x:c r="B364" t="str">
        <x:v>C</x:v>
      </x:c>
      <x:c r="C364" t="str">
        <x:v>Dried Pineapple</x:v>
      </x:c>
      <x:c r="D364" t="str">
        <x:v>Dryer 2</x:v>
      </x:c>
      <x:c r="E364" t="str">
        <x:v>Sup 2</x:v>
      </x:c>
      <x:c r="F364" t="n">
        <x:v>450</x:v>
      </x:c>
      <x:c r="G364" t="n">
        <x:v>30</x:v>
      </x:c>
      <x:c r="H364" t="n">
        <x:v>39</x:v>
      </x:c>
      <x:c r="I364" t="n">
        <x:v>1754</x:v>
      </x:c>
      <x:c r="J364" t="n">
        <x:v>1499</x:v>
      </x:c>
      <x:c r="K364" t="n">
        <x:v>56</x:v>
      </x:c>
      <x:c r="L364" t="n">
        <x:v>38</x:v>
      </x:c>
      <x:c r="M364" t="n">
        <x:v>86.9</x:v>
      </x:c>
      <x:c r="N364" t="n">
        <x:v>87.1</x:v>
      </x:c>
      <x:c r="O364" t="n">
        <x:v>82.9</x:v>
      </x:c>
      <x:c r="P364" t="n">
        <x:v>3</x:v>
      </x:c>
      <x:c r="Q364" t="str">
        <x:v>No incident</x:v>
      </x:c>
      <x:c r="R364" t="str">
        <x:v>N/A</x:v>
      </x:c>
      <x:c r="S364" t="str">
        <x:v>Corrective</x:v>
      </x:c>
      <x:c r="T364" t="n">
        <x:v>1.74</x:v>
      </x:c>
      <x:c r="U364" t="n">
        <x:v>13.4</x:v>
      </x:c>
      <x:c r="V364" t="n">
        <x:f>IFERROR(J364/I364*100,0)</x:f>
        <x:v>85.4618015963512</x:v>
      </x:c>
      <x:c r="W364" t="n">
        <x:f>IFERROR(K364/J364*100,0)</x:f>
        <x:v>3.7358238825883925</x:v>
      </x:c>
      <x:c r="X364" t="n">
        <x:f>IFERROR(H364/F364*100,0)</x:f>
        <x:v>8.666666666666668</x:v>
      </x:c>
      <x:c r="Y364" t="n">
        <x:f>J364-K364</x:f>
        <x:v>1443</x:v>
      </x:c>
      <x:c r="Z364" t="n">
        <x:f>MAX(0,MIN(100,(V364/100)*(1-X364/100)*(1-W364/100)*100))</x:f>
        <x:v>75.13911060433294</x:v>
      </x:c>
    </x:row>
    <x:row r="365">
      <x:c r="A365" s="12" t="n">
        <x:v>46148</x:v>
      </x:c>
      <x:c r="B365" t="str">
        <x:v>A</x:v>
      </x:c>
      <x:c r="C365" t="str">
        <x:v>Desiccated Coconut</x:v>
      </x:c>
      <x:c r="D365" t="str">
        <x:v>Dryer 4</x:v>
      </x:c>
      <x:c r="E365" t="str">
        <x:v>Sup 2</x:v>
      </x:c>
      <x:c r="F365" t="n">
        <x:v>420</x:v>
      </x:c>
      <x:c r="G365" t="n">
        <x:v>0</x:v>
      </x:c>
      <x:c r="H365" t="n">
        <x:v>53</x:v>
      </x:c>
      <x:c r="I365" t="n">
        <x:v>1294</x:v>
      </x:c>
      <x:c r="J365" t="n">
        <x:v>1049</x:v>
      </x:c>
      <x:c r="K365" t="n">
        <x:v>37</x:v>
      </x:c>
      <x:c r="L365" t="n">
        <x:v>18</x:v>
      </x:c>
      <x:c r="M365" t="n">
        <x:v>88.3</x:v>
      </x:c>
      <x:c r="N365" t="n">
        <x:v>87.3</x:v>
      </x:c>
      <x:c r="O365" t="n">
        <x:v>77.9</x:v>
      </x:c>
      <x:c r="P365" t="n">
        <x:v>3</x:v>
      </x:c>
      <x:c r="Q365" t="str">
        <x:v>No incident</x:v>
      </x:c>
      <x:c r="R365" t="str">
        <x:v>N/A</x:v>
      </x:c>
      <x:c r="S365" t="str">
        <x:v>Inspection</x:v>
      </x:c>
      <x:c r="T365" t="n">
        <x:v>1.24</x:v>
      </x:c>
      <x:c r="U365" t="n">
        <x:v>9.4</x:v>
      </x:c>
      <x:c r="V365" t="n">
        <x:f>IFERROR(J365/I365*100,0)</x:f>
        <x:v>81.06646058732612</x:v>
      </x:c>
      <x:c r="W365" t="n">
        <x:f>IFERROR(K365/J365*100,0)</x:f>
        <x:v>3.5271687321258343</x:v>
      </x:c>
      <x:c r="X365" t="n">
        <x:f>IFERROR(H365/F365*100,0)</x:f>
        <x:v>12.619047619047619</x:v>
      </x:c>
      <x:c r="Y365" t="n">
        <x:f>J365-K365</x:f>
        <x:v>1012</x:v>
      </x:c>
      <x:c r="Z365" t="n">
        <x:f>MAX(0,MIN(100,(V365/100)*(1-X365/100)*(1-W365/100)*100))</x:f>
        <x:v>68.33811731802459</x:v>
      </x:c>
    </x:row>
    <x:row r="366">
      <x:c r="A366" s="12" t="n">
        <x:v>46148</x:v>
      </x:c>
      <x:c r="B366" t="str">
        <x:v>B</x:v>
      </x:c>
      <x:c r="C366" t="str">
        <x:v>Dried Mango</x:v>
      </x:c>
      <x:c r="D366" t="str">
        <x:v>Dryer 4</x:v>
      </x:c>
      <x:c r="E366" t="str">
        <x:v>Sup 3</x:v>
      </x:c>
      <x:c r="F366" t="n">
        <x:v>480</x:v>
      </x:c>
      <x:c r="G366" t="n">
        <x:v>20</x:v>
      </x:c>
      <x:c r="H366" t="n">
        <x:v>56</x:v>
      </x:c>
      <x:c r="I366" t="n">
        <x:v>1702</x:v>
      </x:c>
      <x:c r="J366" t="n">
        <x:v>1523</x:v>
      </x:c>
      <x:c r="K366" t="n">
        <x:v>68</x:v>
      </x:c>
      <x:c r="L366" t="n">
        <x:v>24</x:v>
      </x:c>
      <x:c r="M366" t="n">
        <x:v>89.2</x:v>
      </x:c>
      <x:c r="N366" t="n">
        <x:v>73.3</x:v>
      </x:c>
      <x:c r="O366" t="n">
        <x:v>81.9</x:v>
      </x:c>
      <x:c r="P366" t="n">
        <x:v>0</x:v>
      </x:c>
      <x:c r="Q366" t="str">
        <x:v>No incident</x:v>
      </x:c>
      <x:c r="R366" t="str">
        <x:v>N/A</x:v>
      </x:c>
      <x:c r="S366" t="str">
        <x:v>Inspection</x:v>
      </x:c>
      <x:c r="T366" t="n">
        <x:v>1.17</x:v>
      </x:c>
      <x:c r="U366" t="n">
        <x:v>14</x:v>
      </x:c>
      <x:c r="V366" t="n">
        <x:f>IFERROR(J366/I366*100,0)</x:f>
        <x:v>89.48296122209166</x:v>
      </x:c>
      <x:c r="W366" t="n">
        <x:f>IFERROR(K366/J366*100,0)</x:f>
        <x:v>4.4648719632304665</x:v>
      </x:c>
      <x:c r="X366" t="n">
        <x:f>IFERROR(H366/F366*100,0)</x:f>
        <x:v>11.666666666666666</x:v>
      </x:c>
      <x:c r="Y366" t="n">
        <x:f>J366-K366</x:f>
        <x:v>1455</x:v>
      </x:c>
      <x:c r="Z366" t="n">
        <x:f>MAX(0,MIN(100,(V366/100)*(1-X366/100)*(1-W366/100)*100))</x:f>
        <x:v>75.51410105757932</x:v>
      </x:c>
    </x:row>
    <x:row r="367">
      <x:c r="A367" s="12" t="n">
        <x:v>46148</x:v>
      </x:c>
      <x:c r="B367" t="str">
        <x:v>C</x:v>
      </x:c>
      <x:c r="C367" t="str">
        <x:v>Dried Pineapple</x:v>
      </x:c>
      <x:c r="D367" t="str">
        <x:v>Dryer 2</x:v>
      </x:c>
      <x:c r="E367" t="str">
        <x:v>Sup 3</x:v>
      </x:c>
      <x:c r="F367" t="n">
        <x:v>450</x:v>
      </x:c>
      <x:c r="G367" t="n">
        <x:v>30</x:v>
      </x:c>
      <x:c r="H367" t="n">
        <x:v>28</x:v>
      </x:c>
      <x:c r="I367" t="n">
        <x:v>1697</x:v>
      </x:c>
      <x:c r="J367" t="n">
        <x:v>1469</x:v>
      </x:c>
      <x:c r="K367" t="n">
        <x:v>40</x:v>
      </x:c>
      <x:c r="L367" t="n">
        <x:v>21</x:v>
      </x:c>
      <x:c r="M367" t="n">
        <x:v>89</x:v>
      </x:c>
      <x:c r="N367" t="n">
        <x:v>62.3</x:v>
      </x:c>
      <x:c r="O367" t="n">
        <x:v>69.9</x:v>
      </x:c>
      <x:c r="P367" t="n">
        <x:v>5</x:v>
      </x:c>
      <x:c r="Q367" t="str">
        <x:v>Near miss</x:v>
      </x:c>
      <x:c r="R367" t="str">
        <x:v>Open</x:v>
      </x:c>
      <x:c r="S367" t="str">
        <x:v>Preventive</x:v>
      </x:c>
      <x:c r="T367" t="n">
        <x:v>0.82</x:v>
      </x:c>
      <x:c r="U367" t="n">
        <x:v>13.4</x:v>
      </x:c>
      <x:c r="V367" t="n">
        <x:f>IFERROR(J367/I367*100,0)</x:f>
        <x:v>86.56452563347084</x:v>
      </x:c>
      <x:c r="W367" t="n">
        <x:f>IFERROR(K367/J367*100,0)</x:f>
        <x:v>2.722940776038121</x:v>
      </x:c>
      <x:c r="X367" t="n">
        <x:f>IFERROR(H367/F367*100,0)</x:f>
        <x:v>6.222222222222222</x:v>
      </x:c>
      <x:c r="Y367" t="n">
        <x:f>J367-K367</x:f>
        <x:v>1429</x:v>
      </x:c>
      <x:c r="Z367" t="n">
        <x:f>MAX(0,MIN(100,(V367/100)*(1-X367/100)*(1-W367/100)*100))</x:f>
        <x:v>78.96785176455184</x:v>
      </x:c>
    </x:row>
    <x:row r="368">
      <x:c r="A368" s="12" t="n">
        <x:v>46149</x:v>
      </x:c>
      <x:c r="B368" t="str">
        <x:v>A</x:v>
      </x:c>
      <x:c r="C368" t="str">
        <x:v>Dried Mango</x:v>
      </x:c>
      <x:c r="D368" t="str">
        <x:v>Dryer 4</x:v>
      </x:c>
      <x:c r="E368" t="str">
        <x:v>Sup 1</x:v>
      </x:c>
      <x:c r="F368" t="n">
        <x:v>420</x:v>
      </x:c>
      <x:c r="G368" t="n">
        <x:v>20</x:v>
      </x:c>
      <x:c r="H368" t="n">
        <x:v>39</x:v>
      </x:c>
      <x:c r="I368" t="n">
        <x:v>1697</x:v>
      </x:c>
      <x:c r="J368" t="n">
        <x:v>1417</x:v>
      </x:c>
      <x:c r="K368" t="n">
        <x:v>46</x:v>
      </x:c>
      <x:c r="L368" t="n">
        <x:v>23</x:v>
      </x:c>
      <x:c r="M368" t="n">
        <x:v>98.3</x:v>
      </x:c>
      <x:c r="N368" t="n">
        <x:v>60.3</x:v>
      </x:c>
      <x:c r="O368" t="n">
        <x:v>64.8</x:v>
      </x:c>
      <x:c r="P368" t="n">
        <x:v>3</x:v>
      </x:c>
      <x:c r="Q368" t="str">
        <x:v>First aid</x:v>
      </x:c>
      <x:c r="R368" t="str">
        <x:v>Open</x:v>
      </x:c>
      <x:c r="S368" t="str">
        <x:v>Preventive</x:v>
      </x:c>
      <x:c r="T368" t="n">
        <x:v>0.62</x:v>
      </x:c>
      <x:c r="U368" t="n">
        <x:v>12.2</x:v>
      </x:c>
      <x:c r="V368" t="n">
        <x:f>IFERROR(J368/I368*100,0)</x:f>
        <x:v>83.50029463759576</x:v>
      </x:c>
      <x:c r="W368" t="n">
        <x:f>IFERROR(K368/J368*100,0)</x:f>
        <x:v>3.2462949894142556</x:v>
      </x:c>
      <x:c r="X368" t="n">
        <x:f>IFERROR(H368/F368*100,0)</x:f>
        <x:v>9.285714285714286</x:v>
      </x:c>
      <x:c r="Y368" t="n">
        <x:f>J368-K368</x:f>
        <x:v>1371</x:v>
      </x:c>
      <x:c r="Z368" t="n">
        <x:f>MAX(0,MIN(100,(V368/100)*(1-X368/100)*(1-W368/100)*100))</x:f>
        <x:v>73.28773465779949</x:v>
      </x:c>
    </x:row>
    <x:row r="369">
      <x:c r="A369" s="12" t="n">
        <x:v>46149</x:v>
      </x:c>
      <x:c r="B369" t="str">
        <x:v>B</x:v>
      </x:c>
      <x:c r="C369" t="str">
        <x:v>Dried Pineapple</x:v>
      </x:c>
      <x:c r="D369" t="str">
        <x:v>Dryer 2</x:v>
      </x:c>
      <x:c r="E369" t="str">
        <x:v>Sup 1</x:v>
      </x:c>
      <x:c r="F369" t="n">
        <x:v>480</x:v>
      </x:c>
      <x:c r="G369" t="n">
        <x:v>20</x:v>
      </x:c>
      <x:c r="H369" t="n">
        <x:v>8</x:v>
      </x:c>
      <x:c r="I369" t="n">
        <x:v>1641</x:v>
      </x:c>
      <x:c r="J369" t="n">
        <x:v>1585</x:v>
      </x:c>
      <x:c r="K369" t="n">
        <x:v>43</x:v>
      </x:c>
      <x:c r="L369" t="n">
        <x:v>19</x:v>
      </x:c>
      <x:c r="M369" t="n">
        <x:v>91.2</x:v>
      </x:c>
      <x:c r="N369" t="n">
        <x:v>80.6</x:v>
      </x:c>
      <x:c r="O369" t="n">
        <x:v>59.1</x:v>
      </x:c>
      <x:c r="P369" t="n">
        <x:v>3</x:v>
      </x:c>
      <x:c r="Q369" t="str">
        <x:v>No incident</x:v>
      </x:c>
      <x:c r="R369" t="str">
        <x:v>N/A</x:v>
      </x:c>
      <x:c r="S369" t="str">
        <x:v>Inspection</x:v>
      </x:c>
      <x:c r="T369" t="n">
        <x:v>1.3</x:v>
      </x:c>
      <x:c r="U369" t="n">
        <x:v>14.2</x:v>
      </x:c>
      <x:c r="V369" t="n">
        <x:f>IFERROR(J369/I369*100,0)</x:f>
        <x:v>96.58744667885436</x:v>
      </x:c>
      <x:c r="W369" t="n">
        <x:f>IFERROR(K369/J369*100,0)</x:f>
        <x:v>2.7129337539432177</x:v>
      </x:c>
      <x:c r="X369" t="n">
        <x:f>IFERROR(H369/F369*100,0)</x:f>
        <x:v>1.6666666666666667</x:v>
      </x:c>
      <x:c r="Y369" t="n">
        <x:f>J369-K369</x:f>
        <x:v>1542</x:v>
      </x:c>
      <x:c r="Z369" t="n">
        <x:f>MAX(0,MIN(100,(V369/100)*(1-X369/100)*(1-W369/100)*100))</x:f>
        <x:v>92.40097501523461</x:v>
      </x:c>
    </x:row>
    <x:row r="370">
      <x:c r="A370" s="12" t="n">
        <x:v>46149</x:v>
      </x:c>
      <x:c r="B370" t="str">
        <x:v>C</x:v>
      </x:c>
      <x:c r="C370" t="str">
        <x:v>Desiccated Coconut</x:v>
      </x:c>
      <x:c r="D370" t="str">
        <x:v>Dryer 4</x:v>
      </x:c>
      <x:c r="E370" t="str">
        <x:v>Sup 1</x:v>
      </x:c>
      <x:c r="F370" t="n">
        <x:v>420</x:v>
      </x:c>
      <x:c r="G370" t="n">
        <x:v>0</x:v>
      </x:c>
      <x:c r="H370" t="n">
        <x:v>71</x:v>
      </x:c>
      <x:c r="I370" t="n">
        <x:v>1225</x:v>
      </x:c>
      <x:c r="J370" t="n">
        <x:v>904</x:v>
      </x:c>
      <x:c r="K370" t="n">
        <x:v>21</x:v>
      </x:c>
      <x:c r="L370" t="n">
        <x:v>8</x:v>
      </x:c>
      <x:c r="M370" t="n">
        <x:v>87.9</x:v>
      </x:c>
      <x:c r="N370" t="n">
        <x:v>83.9</x:v>
      </x:c>
      <x:c r="O370" t="n">
        <x:v>69.9</x:v>
      </x:c>
      <x:c r="P370" t="n">
        <x:v>2</x:v>
      </x:c>
      <x:c r="Q370" t="str">
        <x:v>Near miss</x:v>
      </x:c>
      <x:c r="R370" t="str">
        <x:v>In progress</x:v>
      </x:c>
      <x:c r="S370" t="str">
        <x:v>Inspection</x:v>
      </x:c>
      <x:c r="T370" t="n">
        <x:v>0.5</x:v>
      </x:c>
      <x:c r="U370" t="n">
        <x:v>6.9</x:v>
      </x:c>
      <x:c r="V370" t="n">
        <x:f>IFERROR(J370/I370*100,0)</x:f>
        <x:v>73.79591836734693</x:v>
      </x:c>
      <x:c r="W370" t="n">
        <x:f>IFERROR(K370/J370*100,0)</x:f>
        <x:v>2.3230088495575223</x:v>
      </x:c>
      <x:c r="X370" t="n">
        <x:f>IFERROR(H370/F370*100,0)</x:f>
        <x:v>16.904761904761905</x:v>
      </x:c>
      <x:c r="Y370" t="n">
        <x:f>J370-K370</x:f>
        <x:v>883</x:v>
      </x:c>
      <x:c r="Z370" t="n">
        <x:f>MAX(0,MIN(100,(V370/100)*(1-X370/100)*(1-W370/100)*100))</x:f>
        <x:v>59.896404275996105</x:v>
      </x:c>
    </x:row>
    <x:row r="371">
      <x:c r="A371" s="12" t="n">
        <x:v>46150</x:v>
      </x:c>
      <x:c r="B371" t="str">
        <x:v>A</x:v>
      </x:c>
      <x:c r="C371" t="str">
        <x:v>Desiccated Coconut</x:v>
      </x:c>
      <x:c r="D371" t="str">
        <x:v>Dryer 4</x:v>
      </x:c>
      <x:c r="E371" t="str">
        <x:v>Sup 2</x:v>
      </x:c>
      <x:c r="F371" t="n">
        <x:v>480</x:v>
      </x:c>
      <x:c r="G371" t="n">
        <x:v>30</x:v>
      </x:c>
      <x:c r="H371" t="n">
        <x:v>61</x:v>
      </x:c>
      <x:c r="I371" t="n">
        <x:v>1234</x:v>
      </x:c>
      <x:c r="J371" t="n">
        <x:v>1109</x:v>
      </x:c>
      <x:c r="K371" t="n">
        <x:v>37</x:v>
      </x:c>
      <x:c r="L371" t="n">
        <x:v>17</x:v>
      </x:c>
      <x:c r="M371" t="n">
        <x:v>96.5</x:v>
      </x:c>
      <x:c r="N371" t="n">
        <x:v>83.7</x:v>
      </x:c>
      <x:c r="O371" t="n">
        <x:v>83.7</x:v>
      </x:c>
      <x:c r="P371" t="n">
        <x:v>2</x:v>
      </x:c>
      <x:c r="Q371" t="str">
        <x:v>Near miss</x:v>
      </x:c>
      <x:c r="R371" t="str">
        <x:v>Open</x:v>
      </x:c>
      <x:c r="S371" t="str">
        <x:v>Preventive</x:v>
      </x:c>
      <x:c r="T371" t="n">
        <x:v>0.64</x:v>
      </x:c>
      <x:c r="U371" t="n">
        <x:v>8.7</x:v>
      </x:c>
      <x:c r="V371" t="n">
        <x:f>IFERROR(J371/I371*100,0)</x:f>
        <x:v>89.87034035656401</x:v>
      </x:c>
      <x:c r="W371" t="n">
        <x:f>IFERROR(K371/J371*100,0)</x:f>
        <x:v>3.3363390441839496</x:v>
      </x:c>
      <x:c r="X371" t="n">
        <x:f>IFERROR(H371/F371*100,0)</x:f>
        <x:v>12.708333333333332</x:v>
      </x:c>
      <x:c r="Y371" t="n">
        <x:f>J371-K371</x:f>
        <x:v>1072</x:v>
      </x:c>
      <x:c r="Z371" t="n">
        <x:f>MAX(0,MIN(100,(V371/100)*(1-X371/100)*(1-W371/100)*100))</x:f>
        <x:v>75.83198271204753</x:v>
      </x:c>
    </x:row>
    <x:row r="372">
      <x:c r="A372" s="12" t="n">
        <x:v>46150</x:v>
      </x:c>
      <x:c r="B372" t="str">
        <x:v>B</x:v>
      </x:c>
      <x:c r="C372" t="str">
        <x:v>Dried Mango</x:v>
      </x:c>
      <x:c r="D372" t="str">
        <x:v>Dryer 4</x:v>
      </x:c>
      <x:c r="E372" t="str">
        <x:v>Sup 3</x:v>
      </x:c>
      <x:c r="F372" t="n">
        <x:v>450</x:v>
      </x:c>
      <x:c r="G372" t="n">
        <x:v>20</x:v>
      </x:c>
      <x:c r="H372" t="n">
        <x:v>42</x:v>
      </x:c>
      <x:c r="I372" t="n">
        <x:v>1680</x:v>
      </x:c>
      <x:c r="J372" t="n">
        <x:v>1393</x:v>
      </x:c>
      <x:c r="K372" t="n">
        <x:v>38</x:v>
      </x:c>
      <x:c r="L372" t="n">
        <x:v>11</x:v>
      </x:c>
      <x:c r="M372" t="n">
        <x:v>91</x:v>
      </x:c>
      <x:c r="N372" t="n">
        <x:v>84.7</x:v>
      </x:c>
      <x:c r="O372" t="n">
        <x:v>92.4</x:v>
      </x:c>
      <x:c r="P372" t="n">
        <x:v>1</x:v>
      </x:c>
      <x:c r="Q372" t="str">
        <x:v>No incident</x:v>
      </x:c>
      <x:c r="R372" t="str">
        <x:v>N/A</x:v>
      </x:c>
      <x:c r="S372" t="str">
        <x:v>Inspection</x:v>
      </x:c>
      <x:c r="T372" t="n">
        <x:v>0.91</x:v>
      </x:c>
      <x:c r="U372" t="n">
        <x:v>11.4</x:v>
      </x:c>
      <x:c r="V372" t="n">
        <x:f>IFERROR(J372/I372*100,0)</x:f>
        <x:v>82.91666666666667</x:v>
      </x:c>
      <x:c r="W372" t="n">
        <x:f>IFERROR(K372/J372*100,0)</x:f>
        <x:v>2.7279253409906676</x:v>
      </x:c>
      <x:c r="X372" t="n">
        <x:f>IFERROR(H372/F372*100,0)</x:f>
        <x:v>9.333333333333334</x:v>
      </x:c>
      <x:c r="Y372" t="n">
        <x:f>J372-K372</x:f>
        <x:v>1355</x:v>
      </x:c>
      <x:c r="Z372" t="n">
        <x:f>MAX(0,MIN(100,(V372/100)*(1-X372/100)*(1-W372/100)*100))</x:f>
        <x:v>73.12698412698413</x:v>
      </x:c>
    </x:row>
    <x:row r="373">
      <x:c r="A373" s="12" t="n">
        <x:v>46150</x:v>
      </x:c>
      <x:c r="B373" t="str">
        <x:v>C</x:v>
      </x:c>
      <x:c r="C373" t="str">
        <x:v>Desiccated Coconut</x:v>
      </x:c>
      <x:c r="D373" t="str">
        <x:v>Dryer 4</x:v>
      </x:c>
      <x:c r="E373" t="str">
        <x:v>Sup 2</x:v>
      </x:c>
      <x:c r="F373" t="n">
        <x:v>450</x:v>
      </x:c>
      <x:c r="G373" t="n">
        <x:v>40</x:v>
      </x:c>
      <x:c r="H373" t="n">
        <x:v>41</x:v>
      </x:c>
      <x:c r="I373" t="n">
        <x:v>1140</x:v>
      </x:c>
      <x:c r="J373" t="n">
        <x:v>1000</x:v>
      </x:c>
      <x:c r="K373" t="n">
        <x:v>23</x:v>
      </x:c>
      <x:c r="L373" t="n">
        <x:v>9</x:v>
      </x:c>
      <x:c r="M373" t="n">
        <x:v>94.5</x:v>
      </x:c>
      <x:c r="N373" t="n">
        <x:v>78.3</x:v>
      </x:c>
      <x:c r="O373" t="n">
        <x:v>68.4</x:v>
      </x:c>
      <x:c r="P373" t="n">
        <x:v>4</x:v>
      </x:c>
      <x:c r="Q373" t="str">
        <x:v>No incident</x:v>
      </x:c>
      <x:c r="R373" t="str">
        <x:v>N/A</x:v>
      </x:c>
      <x:c r="S373" t="str">
        <x:v>Corrective</x:v>
      </x:c>
      <x:c r="T373" t="n">
        <x:v>1.33</x:v>
      </x:c>
      <x:c r="U373" t="n">
        <x:v>8</x:v>
      </x:c>
      <x:c r="V373" t="n">
        <x:f>IFERROR(J373/I373*100,0)</x:f>
        <x:v>87.71929824561403</x:v>
      </x:c>
      <x:c r="W373" t="n">
        <x:f>IFERROR(K373/J373*100,0)</x:f>
        <x:v>2.3</x:v>
      </x:c>
      <x:c r="X373" t="n">
        <x:f>IFERROR(H373/F373*100,0)</x:f>
        <x:v>9.11111111111111</x:v>
      </x:c>
      <x:c r="Y373" t="n">
        <x:f>J373-K373</x:f>
        <x:v>977</x:v>
      </x:c>
      <x:c r="Z373" t="n">
        <x:f>MAX(0,MIN(100,(V373/100)*(1-X373/100)*(1-W373/100)*100))</x:f>
        <x:v>77.8933723196881</x:v>
      </x:c>
    </x:row>
    <x:row r="374">
      <x:c r="A374" s="12" t="n">
        <x:v>46151</x:v>
      </x:c>
      <x:c r="B374" t="str">
        <x:v>A</x:v>
      </x:c>
      <x:c r="C374" t="str">
        <x:v>Dried Mango</x:v>
      </x:c>
      <x:c r="D374" t="str">
        <x:v>Dryer 1</x:v>
      </x:c>
      <x:c r="E374" t="str">
        <x:v>Sup 3</x:v>
      </x:c>
      <x:c r="F374" t="n">
        <x:v>450</x:v>
      </x:c>
      <x:c r="G374" t="n">
        <x:v>0</x:v>
      </x:c>
      <x:c r="H374" t="n">
        <x:v>40</x:v>
      </x:c>
      <x:c r="I374" t="n">
        <x:v>1755</x:v>
      </x:c>
      <x:c r="J374" t="n">
        <x:v>1598</x:v>
      </x:c>
      <x:c r="K374" t="n">
        <x:v>72</x:v>
      </x:c>
      <x:c r="L374" t="n">
        <x:v>38</x:v>
      </x:c>
      <x:c r="M374" t="n">
        <x:v>95.4</x:v>
      </x:c>
      <x:c r="N374" t="n">
        <x:v>87.7</x:v>
      </x:c>
      <x:c r="O374" t="n">
        <x:v>92.2</x:v>
      </x:c>
      <x:c r="P374" t="n">
        <x:v>4</x:v>
      </x:c>
      <x:c r="Q374" t="str">
        <x:v>No incident</x:v>
      </x:c>
      <x:c r="R374" t="str">
        <x:v>N/A</x:v>
      </x:c>
      <x:c r="S374" t="str">
        <x:v>Corrective</x:v>
      </x:c>
      <x:c r="T374" t="n">
        <x:v>0.69</x:v>
      </x:c>
      <x:c r="U374" t="n">
        <x:v>12.9</x:v>
      </x:c>
      <x:c r="V374" t="n">
        <x:f>IFERROR(J374/I374*100,0)</x:f>
        <x:v>91.05413105413105</x:v>
      </x:c>
      <x:c r="W374" t="n">
        <x:f>IFERROR(K374/J374*100,0)</x:f>
        <x:v>4.505632040050062</x:v>
      </x:c>
      <x:c r="X374" t="n">
        <x:f>IFERROR(H374/F374*100,0)</x:f>
        <x:v>8.88888888888889</x:v>
      </x:c>
      <x:c r="Y374" t="n">
        <x:f>J374-K374</x:f>
        <x:v>1526</x:v>
      </x:c>
      <x:c r="Z374" t="n">
        <x:f>MAX(0,MIN(100,(V374/100)*(1-X374/100)*(1-W374/100)*100))</x:f>
        <x:v>79.22253877809432</x:v>
      </x:c>
    </x:row>
    <x:row r="375">
      <x:c r="A375" s="12" t="n">
        <x:v>46151</x:v>
      </x:c>
      <x:c r="B375" t="str">
        <x:v>B</x:v>
      </x:c>
      <x:c r="C375" t="str">
        <x:v>Dried Pineapple</x:v>
      </x:c>
      <x:c r="D375" t="str">
        <x:v>Dryer 1</x:v>
      </x:c>
      <x:c r="E375" t="str">
        <x:v>Sup 2</x:v>
      </x:c>
      <x:c r="F375" t="n">
        <x:v>450</x:v>
      </x:c>
      <x:c r="G375" t="n">
        <x:v>40</x:v>
      </x:c>
      <x:c r="H375" t="n">
        <x:v>48</x:v>
      </x:c>
      <x:c r="I375" t="n">
        <x:v>1710</x:v>
      </x:c>
      <x:c r="J375" t="n">
        <x:v>1513</x:v>
      </x:c>
      <x:c r="K375" t="n">
        <x:v>47</x:v>
      </x:c>
      <x:c r="L375" t="n">
        <x:v>21</x:v>
      </x:c>
      <x:c r="M375" t="n">
        <x:v>100</x:v>
      </x:c>
      <x:c r="N375" t="n">
        <x:v>78.4</x:v>
      </x:c>
      <x:c r="O375" t="n">
        <x:v>76.9</x:v>
      </x:c>
      <x:c r="P375" t="n">
        <x:v>2</x:v>
      </x:c>
      <x:c r="Q375" t="str">
        <x:v>No incident</x:v>
      </x:c>
      <x:c r="R375" t="str">
        <x:v>N/A</x:v>
      </x:c>
      <x:c r="S375" t="str">
        <x:v>Preventive</x:v>
      </x:c>
      <x:c r="T375" t="n">
        <x:v>0.5</x:v>
      </x:c>
      <x:c r="U375" t="n">
        <x:v>12.2</x:v>
      </x:c>
      <x:c r="V375" t="n">
        <x:f>IFERROR(J375/I375*100,0)</x:f>
        <x:v>88.47953216374269</x:v>
      </x:c>
      <x:c r="W375" t="n">
        <x:f>IFERROR(K375/J375*100,0)</x:f>
        <x:v>3.1064111037673494</x:v>
      </x:c>
      <x:c r="X375" t="n">
        <x:f>IFERROR(H375/F375*100,0)</x:f>
        <x:v>10.666666666666668</x:v>
      </x:c>
      <x:c r="Y375" t="n">
        <x:f>J375-K375</x:f>
        <x:v>1466</x:v>
      </x:c>
      <x:c r="Z375" t="n">
        <x:f>MAX(0,MIN(100,(V375/100)*(1-X375/100)*(1-W375/100)*100))</x:f>
        <x:v>76.58635477582845</x:v>
      </x:c>
    </x:row>
    <x:row r="376">
      <x:c r="A376" s="12" t="n">
        <x:v>46151</x:v>
      </x:c>
      <x:c r="B376" t="str">
        <x:v>C</x:v>
      </x:c>
      <x:c r="C376" t="str">
        <x:v>Desiccated Coconut</x:v>
      </x:c>
      <x:c r="D376" t="str">
        <x:v>Dryer 4</x:v>
      </x:c>
      <x:c r="E376" t="str">
        <x:v>Sup 1</x:v>
      </x:c>
      <x:c r="F376" t="n">
        <x:v>480</x:v>
      </x:c>
      <x:c r="G376" t="n">
        <x:v>20</x:v>
      </x:c>
      <x:c r="H376" t="n">
        <x:v>36</x:v>
      </x:c>
      <x:c r="I376" t="n">
        <x:v>1154</x:v>
      </x:c>
      <x:c r="J376" t="n">
        <x:v>1034</x:v>
      </x:c>
      <x:c r="K376" t="n">
        <x:v>21</x:v>
      </x:c>
      <x:c r="L376" t="n">
        <x:v>9</x:v>
      </x:c>
      <x:c r="M376" t="n">
        <x:v>95.9</x:v>
      </x:c>
      <x:c r="N376" t="n">
        <x:v>75.6</x:v>
      </x:c>
      <x:c r="O376" t="n">
        <x:v>83.6</x:v>
      </x:c>
      <x:c r="P376" t="n">
        <x:v>6</x:v>
      </x:c>
      <x:c r="Q376" t="str">
        <x:v>No incident</x:v>
      </x:c>
      <x:c r="R376" t="str">
        <x:v>N/A</x:v>
      </x:c>
      <x:c r="S376" t="str">
        <x:v>Preventive</x:v>
      </x:c>
      <x:c r="T376" t="n">
        <x:v>0.68</x:v>
      </x:c>
      <x:c r="U376" t="n">
        <x:v>8.8</x:v>
      </x:c>
      <x:c r="V376" t="n">
        <x:f>IFERROR(J376/I376*100,0)</x:f>
        <x:v>89.60138648180242</x:v>
      </x:c>
      <x:c r="W376" t="n">
        <x:f>IFERROR(K376/J376*100,0)</x:f>
        <x:v>2.0309477756286265</x:v>
      </x:c>
      <x:c r="X376" t="n">
        <x:f>IFERROR(H376/F376*100,0)</x:f>
        <x:v>7.5</x:v>
      </x:c>
      <x:c r="Y376" t="n">
        <x:f>J376-K376</x:f>
        <x:v>1013</x:v>
      </x:c>
      <x:c r="Z376" t="n">
        <x:f>MAX(0,MIN(100,(V376/100)*(1-X376/100)*(1-W376/100)*100))</x:f>
        <x:v>81.19800693240903</x:v>
      </x:c>
    </x:row>
    <x:row r="377">
      <x:c r="A377" s="12" t="n">
        <x:v>46152</x:v>
      </x:c>
      <x:c r="B377" t="str">
        <x:v>A</x:v>
      </x:c>
      <x:c r="C377" t="str">
        <x:v>Desiccated Coconut</x:v>
      </x:c>
      <x:c r="D377" t="str">
        <x:v>Dryer 3</x:v>
      </x:c>
      <x:c r="E377" t="str">
        <x:v>Sup 3</x:v>
      </x:c>
      <x:c r="F377" t="n">
        <x:v>450</x:v>
      </x:c>
      <x:c r="G377" t="n">
        <x:v>30</x:v>
      </x:c>
      <x:c r="H377" t="n">
        <x:v>75</x:v>
      </x:c>
      <x:c r="I377" t="n">
        <x:v>1203</x:v>
      </x:c>
      <x:c r="J377" t="n">
        <x:v>964</x:v>
      </x:c>
      <x:c r="K377" t="n">
        <x:v>44</x:v>
      </x:c>
      <x:c r="L377" t="n">
        <x:v>17</x:v>
      </x:c>
      <x:c r="M377" t="n">
        <x:v>87.1</x:v>
      </x:c>
      <x:c r="N377" t="n">
        <x:v>71.3</x:v>
      </x:c>
      <x:c r="O377" t="n">
        <x:v>63.3</x:v>
      </x:c>
      <x:c r="P377" t="n">
        <x:v>4</x:v>
      </x:c>
      <x:c r="Q377" t="str">
        <x:v>No incident</x:v>
      </x:c>
      <x:c r="R377" t="str">
        <x:v>N/A</x:v>
      </x:c>
      <x:c r="S377" t="str">
        <x:v>Corrective</x:v>
      </x:c>
      <x:c r="T377" t="n">
        <x:v>0.89</x:v>
      </x:c>
      <x:c r="U377" t="n">
        <x:v>7.4</x:v>
      </x:c>
      <x:c r="V377" t="n">
        <x:f>IFERROR(J377/I377*100,0)</x:f>
        <x:v>80.1330008312552</x:v>
      </x:c>
      <x:c r="W377" t="n">
        <x:f>IFERROR(K377/J377*100,0)</x:f>
        <x:v>4.564315352697095</x:v>
      </x:c>
      <x:c r="X377" t="n">
        <x:f>IFERROR(H377/F377*100,0)</x:f>
        <x:v>16.666666666666664</x:v>
      </x:c>
      <x:c r="Y377" t="n">
        <x:f>J377-K377</x:f>
        <x:v>920</x:v>
      </x:c>
      <x:c r="Z377" t="n">
        <x:f>MAX(0,MIN(100,(V377/100)*(1-X377/100)*(1-W377/100)*100))</x:f>
        <x:v>63.72956497644778</x:v>
      </x:c>
    </x:row>
    <x:row r="378">
      <x:c r="A378" s="12" t="n">
        <x:v>46152</x:v>
      </x:c>
      <x:c r="B378" t="str">
        <x:v>B</x:v>
      </x:c>
      <x:c r="C378" t="str">
        <x:v>Desiccated Coconut</x:v>
      </x:c>
      <x:c r="D378" t="str">
        <x:v>Dryer 2</x:v>
      </x:c>
      <x:c r="E378" t="str">
        <x:v>Sup 1</x:v>
      </x:c>
      <x:c r="F378" t="n">
        <x:v>450</x:v>
      </x:c>
      <x:c r="G378" t="n">
        <x:v>20</x:v>
      </x:c>
      <x:c r="H378" t="n">
        <x:v>26</x:v>
      </x:c>
      <x:c r="I378" t="n">
        <x:v>1154</x:v>
      </x:c>
      <x:c r="J378" t="n">
        <x:v>1079</x:v>
      </x:c>
      <x:c r="K378" t="n">
        <x:v>32</x:v>
      </x:c>
      <x:c r="L378" t="n">
        <x:v>15</x:v>
      </x:c>
      <x:c r="M378" t="n">
        <x:v>89.9</x:v>
      </x:c>
      <x:c r="N378" t="n">
        <x:v>56.1</x:v>
      </x:c>
      <x:c r="O378" t="n">
        <x:v>72.3</x:v>
      </x:c>
      <x:c r="P378" t="n">
        <x:v>2</x:v>
      </x:c>
      <x:c r="Q378" t="str">
        <x:v>Recordable</x:v>
      </x:c>
      <x:c r="R378" t="str">
        <x:v>In progress</x:v>
      </x:c>
      <x:c r="S378" t="str">
        <x:v>Preventive</x:v>
      </x:c>
      <x:c r="T378" t="n">
        <x:v>1.31</x:v>
      </x:c>
      <x:c r="U378" t="n">
        <x:v>9.6</x:v>
      </x:c>
      <x:c r="V378" t="n">
        <x:f>IFERROR(J378/I378*100,0)</x:f>
        <x:v>93.50086655112652</x:v>
      </x:c>
      <x:c r="W378" t="n">
        <x:f>IFERROR(K378/J378*100,0)</x:f>
        <x:v>2.9657089898053752</x:v>
      </x:c>
      <x:c r="X378" t="n">
        <x:f>IFERROR(H378/F378*100,0)</x:f>
        <x:v>5.777777777777778</x:v>
      </x:c>
      <x:c r="Y378" t="n">
        <x:f>J378-K378</x:f>
        <x:v>1047</x:v>
      </x:c>
      <x:c r="Z378" t="n">
        <x:f>MAX(0,MIN(100,(V378/100)*(1-X378/100)*(1-W378/100)*100))</x:f>
        <x:v>85.48584633160023</x:v>
      </x:c>
    </x:row>
    <x:row r="379">
      <x:c r="A379" s="12" t="n">
        <x:v>46152</x:v>
      </x:c>
      <x:c r="B379" t="str">
        <x:v>C</x:v>
      </x:c>
      <x:c r="C379" t="str">
        <x:v>Dried Pineapple</x:v>
      </x:c>
      <x:c r="D379" t="str">
        <x:v>Dryer 4</x:v>
      </x:c>
      <x:c r="E379" t="str">
        <x:v>Sup 1</x:v>
      </x:c>
      <x:c r="F379" t="n">
        <x:v>420</x:v>
      </x:c>
      <x:c r="G379" t="n">
        <x:v>20</x:v>
      </x:c>
      <x:c r="H379" t="n">
        <x:v>41</x:v>
      </x:c>
      <x:c r="I379" t="n">
        <x:v>1805</x:v>
      </x:c>
      <x:c r="J379" t="n">
        <x:v>1581</x:v>
      </x:c>
      <x:c r="K379" t="n">
        <x:v>57</x:v>
      </x:c>
      <x:c r="L379" t="n">
        <x:v>33</x:v>
      </x:c>
      <x:c r="M379" t="n">
        <x:v>90.2</x:v>
      </x:c>
      <x:c r="N379" t="n">
        <x:v>68.7</x:v>
      </x:c>
      <x:c r="O379" t="n">
        <x:v>75</x:v>
      </x:c>
      <x:c r="P379" t="n">
        <x:v>2</x:v>
      </x:c>
      <x:c r="Q379" t="str">
        <x:v>Near miss</x:v>
      </x:c>
      <x:c r="R379" t="str">
        <x:v>In progress</x:v>
      </x:c>
      <x:c r="S379" t="str">
        <x:v>Inspection</x:v>
      </x:c>
      <x:c r="T379" t="n">
        <x:v>1.35</x:v>
      </x:c>
      <x:c r="U379" t="n">
        <x:v>12.7</x:v>
      </x:c>
      <x:c r="V379" t="n">
        <x:f>IFERROR(J379/I379*100,0)</x:f>
        <x:v>87.59002770083103</x:v>
      </x:c>
      <x:c r="W379" t="n">
        <x:f>IFERROR(K379/J379*100,0)</x:f>
        <x:v>3.6053130929791273</x:v>
      </x:c>
      <x:c r="X379" t="n">
        <x:f>IFERROR(H379/F379*100,0)</x:f>
        <x:v>9.761904761904763</x:v>
      </x:c>
      <x:c r="Y379" t="n">
        <x:f>J379-K379</x:f>
        <x:v>1524</x:v>
      </x:c>
      <x:c r="Z379" t="n">
        <x:f>MAX(0,MIN(100,(V379/100)*(1-X379/100)*(1-W379/100)*100))</x:f>
        <x:v>76.18994855559954</x:v>
      </x:c>
    </x:row>
    <x:row r="380">
      <x:c r="A380" s="12" t="n">
        <x:v>46153</x:v>
      </x:c>
      <x:c r="B380" t="str">
        <x:v>A</x:v>
      </x:c>
      <x:c r="C380" t="str">
        <x:v>Dried Pineapple</x:v>
      </x:c>
      <x:c r="D380" t="str">
        <x:v>Dryer 1</x:v>
      </x:c>
      <x:c r="E380" t="str">
        <x:v>Sup 2</x:v>
      </x:c>
      <x:c r="F380" t="n">
        <x:v>420</x:v>
      </x:c>
      <x:c r="G380" t="n">
        <x:v>0</x:v>
      </x:c>
      <x:c r="H380" t="n">
        <x:v>32</x:v>
      </x:c>
      <x:c r="I380" t="n">
        <x:v>1771</x:v>
      </x:c>
      <x:c r="J380" t="n">
        <x:v>1523</x:v>
      </x:c>
      <x:c r="K380" t="n">
        <x:v>41</x:v>
      </x:c>
      <x:c r="L380" t="n">
        <x:v>23</x:v>
      </x:c>
      <x:c r="M380" t="n">
        <x:v>89.2</x:v>
      </x:c>
      <x:c r="N380" t="n">
        <x:v>69</x:v>
      </x:c>
      <x:c r="O380" t="n">
        <x:v>81.5</x:v>
      </x:c>
      <x:c r="P380" t="n">
        <x:v>1</x:v>
      </x:c>
      <x:c r="Q380" t="str">
        <x:v>No incident</x:v>
      </x:c>
      <x:c r="R380" t="str">
        <x:v>N/A</x:v>
      </x:c>
      <x:c r="S380" t="str">
        <x:v>Preventive</x:v>
      </x:c>
      <x:c r="T380" t="n">
        <x:v>0.69</x:v>
      </x:c>
      <x:c r="U380" t="n">
        <x:v>13</x:v>
      </x:c>
      <x:c r="V380" t="n">
        <x:f>IFERROR(J380/I380*100,0)</x:f>
        <x:v>85.9966120835686</x:v>
      </x:c>
      <x:c r="W380" t="n">
        <x:f>IFERROR(K380/J380*100,0)</x:f>
        <x:v>2.6920551543007223</x:v>
      </x:c>
      <x:c r="X380" t="n">
        <x:f>IFERROR(H380/F380*100,0)</x:f>
        <x:v>7.6190476190476195</x:v>
      </x:c>
      <x:c r="Y380" t="n">
        <x:f>J380-K380</x:f>
        <x:v>1482</x:v>
      </x:c>
      <x:c r="Z380" t="n">
        <x:f>MAX(0,MIN(100,(V380/100)*(1-X380/100)*(1-W380/100)*100))</x:f>
        <x:v>77.30579979027185</x:v>
      </x:c>
    </x:row>
    <x:row r="381">
      <x:c r="A381" s="12" t="n">
        <x:v>46153</x:v>
      </x:c>
      <x:c r="B381" t="str">
        <x:v>B</x:v>
      </x:c>
      <x:c r="C381" t="str">
        <x:v>Desiccated Coconut</x:v>
      </x:c>
      <x:c r="D381" t="str">
        <x:v>Dryer 4</x:v>
      </x:c>
      <x:c r="E381" t="str">
        <x:v>Sup 1</x:v>
      </x:c>
      <x:c r="F381" t="n">
        <x:v>450</x:v>
      </x:c>
      <x:c r="G381" t="n">
        <x:v>20</x:v>
      </x:c>
      <x:c r="H381" t="n">
        <x:v>63</x:v>
      </x:c>
      <x:c r="I381" t="n">
        <x:v>1155</x:v>
      </x:c>
      <x:c r="J381" t="n">
        <x:v>894</x:v>
      </x:c>
      <x:c r="K381" t="n">
        <x:v>16</x:v>
      </x:c>
      <x:c r="L381" t="n">
        <x:v>7</x:v>
      </x:c>
      <x:c r="M381" t="n">
        <x:v>95</x:v>
      </x:c>
      <x:c r="N381" t="n">
        <x:v>89.6</x:v>
      </x:c>
      <x:c r="O381" t="n">
        <x:v>81</x:v>
      </x:c>
      <x:c r="P381" t="n">
        <x:v>4</x:v>
      </x:c>
      <x:c r="Q381" t="str">
        <x:v>No incident</x:v>
      </x:c>
      <x:c r="R381" t="str">
        <x:v>N/A</x:v>
      </x:c>
      <x:c r="S381" t="str">
        <x:v>Inspection</x:v>
      </x:c>
      <x:c r="T381" t="n">
        <x:v>0.63</x:v>
      </x:c>
      <x:c r="U381" t="n">
        <x:v>7.9</x:v>
      </x:c>
      <x:c r="V381" t="n">
        <x:f>IFERROR(J381/I381*100,0)</x:f>
        <x:v>77.40259740259741</x:v>
      </x:c>
      <x:c r="W381" t="n">
        <x:f>IFERROR(K381/J381*100,0)</x:f>
        <x:v>1.7897091722595078</x:v>
      </x:c>
      <x:c r="X381" t="n">
        <x:f>IFERROR(H381/F381*100,0)</x:f>
        <x:v>14.000000000000002</x:v>
      </x:c>
      <x:c r="Y381" t="n">
        <x:f>J381-K381</x:f>
        <x:v>878</x:v>
      </x:c>
      <x:c r="Z381" t="n">
        <x:f>MAX(0,MIN(100,(V381/100)*(1-X381/100)*(1-W381/100)*100))</x:f>
        <x:v>65.37489177489178</x:v>
      </x:c>
    </x:row>
    <x:row r="382">
      <x:c r="A382" s="12" t="n">
        <x:v>46153</x:v>
      </x:c>
      <x:c r="B382" t="str">
        <x:v>C</x:v>
      </x:c>
      <x:c r="C382" t="str">
        <x:v>Dried Pineapple</x:v>
      </x:c>
      <x:c r="D382" t="str">
        <x:v>Dryer 2</x:v>
      </x:c>
      <x:c r="E382" t="str">
        <x:v>Sup 3</x:v>
      </x:c>
      <x:c r="F382" t="n">
        <x:v>480</x:v>
      </x:c>
      <x:c r="G382" t="n">
        <x:v>30</x:v>
      </x:c>
      <x:c r="H382" t="n">
        <x:v>38</x:v>
      </x:c>
      <x:c r="I382" t="n">
        <x:v>1795</x:v>
      </x:c>
      <x:c r="J382" t="n">
        <x:v>1610</x:v>
      </x:c>
      <x:c r="K382" t="n">
        <x:v>41</x:v>
      </x:c>
      <x:c r="L382" t="n">
        <x:v>20</x:v>
      </x:c>
      <x:c r="M382" t="n">
        <x:v>87.6</x:v>
      </x:c>
      <x:c r="N382" t="n">
        <x:v>81.1</x:v>
      </x:c>
      <x:c r="O382" t="n">
        <x:v>80.4</x:v>
      </x:c>
      <x:c r="P382" t="n">
        <x:v>3</x:v>
      </x:c>
      <x:c r="Q382" t="str">
        <x:v>No incident</x:v>
      </x:c>
      <x:c r="R382" t="str">
        <x:v>N/A</x:v>
      </x:c>
      <x:c r="S382" t="str">
        <x:v>Preventive</x:v>
      </x:c>
      <x:c r="T382" t="n">
        <x:v>0.65</x:v>
      </x:c>
      <x:c r="U382" t="n">
        <x:v>14.5</x:v>
      </x:c>
      <x:c r="V382" t="n">
        <x:f>IFERROR(J382/I382*100,0)</x:f>
        <x:v>89.69359331476323</x:v>
      </x:c>
      <x:c r="W382" t="n">
        <x:f>IFERROR(K382/J382*100,0)</x:f>
        <x:v>2.546583850931677</x:v>
      </x:c>
      <x:c r="X382" t="n">
        <x:f>IFERROR(H382/F382*100,0)</x:f>
        <x:v>7.916666666666666</x:v>
      </x:c>
      <x:c r="Y382" t="n">
        <x:f>J382-K382</x:f>
        <x:v>1569</x:v>
      </x:c>
      <x:c r="Z382" t="n">
        <x:f>MAX(0,MIN(100,(V382/100)*(1-X382/100)*(1-W382/100)*100))</x:f>
        <x:v>80.48955431754877</x:v>
      </x:c>
    </x:row>
    <x:row r="383">
      <x:c r="A383" s="12" t="n">
        <x:v>46154</x:v>
      </x:c>
      <x:c r="B383" t="str">
        <x:v>A</x:v>
      </x:c>
      <x:c r="C383" t="str">
        <x:v>Dried Mango</x:v>
      </x:c>
      <x:c r="D383" t="str">
        <x:v>Dryer 2</x:v>
      </x:c>
      <x:c r="E383" t="str">
        <x:v>Sup 1</x:v>
      </x:c>
      <x:c r="F383" t="n">
        <x:v>420</x:v>
      </x:c>
      <x:c r="G383" t="n">
        <x:v>40</x:v>
      </x:c>
      <x:c r="H383" t="n">
        <x:v>24</x:v>
      </x:c>
      <x:c r="I383" t="n">
        <x:v>1652</x:v>
      </x:c>
      <x:c r="J383" t="n">
        <x:v>1398</x:v>
      </x:c>
      <x:c r="K383" t="n">
        <x:v>42</x:v>
      </x:c>
      <x:c r="L383" t="n">
        <x:v>11</x:v>
      </x:c>
      <x:c r="M383" t="n">
        <x:v>95.1</x:v>
      </x:c>
      <x:c r="N383" t="n">
        <x:v>73.7</x:v>
      </x:c>
      <x:c r="O383" t="n">
        <x:v>70.5</x:v>
      </x:c>
      <x:c r="P383" t="n">
        <x:v>3</x:v>
      </x:c>
      <x:c r="Q383" t="str">
        <x:v>No incident</x:v>
      </x:c>
      <x:c r="R383" t="str">
        <x:v>N/A</x:v>
      </x:c>
      <x:c r="S383" t="str">
        <x:v>Corrective</x:v>
      </x:c>
      <x:c r="T383" t="n">
        <x:v>1.15</x:v>
      </x:c>
      <x:c r="U383" t="n">
        <x:v>12.2</x:v>
      </x:c>
      <x:c r="V383" t="n">
        <x:f>IFERROR(J383/I383*100,0)</x:f>
        <x:v>84.62469733656174</x:v>
      </x:c>
      <x:c r="W383" t="n">
        <x:f>IFERROR(K383/J383*100,0)</x:f>
        <x:v>3.004291845493562</x:v>
      </x:c>
      <x:c r="X383" t="n">
        <x:f>IFERROR(H383/F383*100,0)</x:f>
        <x:v>5.714285714285714</x:v>
      </x:c>
      <x:c r="Y383" t="n">
        <x:f>J383-K383</x:f>
        <x:v>1356</x:v>
      </x:c>
      <x:c r="Z383" t="n">
        <x:f>MAX(0,MIN(100,(V383/100)*(1-X383/100)*(1-W383/100)*100))</x:f>
        <x:v>77.39190591490832</x:v>
      </x:c>
    </x:row>
    <x:row r="384">
      <x:c r="A384" s="12" t="n">
        <x:v>46154</x:v>
      </x:c>
      <x:c r="B384" t="str">
        <x:v>B</x:v>
      </x:c>
      <x:c r="C384" t="str">
        <x:v>Desiccated Coconut</x:v>
      </x:c>
      <x:c r="D384" t="str">
        <x:v>Dryer 3</x:v>
      </x:c>
      <x:c r="E384" t="str">
        <x:v>Sup 3</x:v>
      </x:c>
      <x:c r="F384" t="n">
        <x:v>420</x:v>
      </x:c>
      <x:c r="G384" t="n">
        <x:v>30</x:v>
      </x:c>
      <x:c r="H384" t="n">
        <x:v>61</x:v>
      </x:c>
      <x:c r="I384" t="n">
        <x:v>1278</x:v>
      </x:c>
      <x:c r="J384" t="n">
        <x:v>1009</x:v>
      </x:c>
      <x:c r="K384" t="n">
        <x:v>46</x:v>
      </x:c>
      <x:c r="L384" t="n">
        <x:v>19</x:v>
      </x:c>
      <x:c r="M384" t="n">
        <x:v>92.8</x:v>
      </x:c>
      <x:c r="N384" t="n">
        <x:v>88.5</x:v>
      </x:c>
      <x:c r="O384" t="n">
        <x:v>77.1</x:v>
      </x:c>
      <x:c r="P384" t="n">
        <x:v>2</x:v>
      </x:c>
      <x:c r="Q384" t="str">
        <x:v>No incident</x:v>
      </x:c>
      <x:c r="R384" t="str">
        <x:v>N/A</x:v>
      </x:c>
      <x:c r="S384" t="str">
        <x:v>Inspection</x:v>
      </x:c>
      <x:c r="T384" t="n">
        <x:v>1.11</x:v>
      </x:c>
      <x:c r="U384" t="n">
        <x:v>9.1</x:v>
      </x:c>
      <x:c r="V384" t="n">
        <x:f>IFERROR(J384/I384*100,0)</x:f>
        <x:v>78.95148669796556</x:v>
      </x:c>
      <x:c r="W384" t="n">
        <x:f>IFERROR(K384/J384*100,0)</x:f>
        <x:v>4.558969276511397</x:v>
      </x:c>
      <x:c r="X384" t="n">
        <x:f>IFERROR(H384/F384*100,0)</x:f>
        <x:v>14.523809523809526</x:v>
      </x:c>
      <x:c r="Y384" t="n">
        <x:f>J384-K384</x:f>
        <x:v>963</x:v>
      </x:c>
      <x:c r="Z384" t="n">
        <x:f>MAX(0,MIN(100,(V384/100)*(1-X384/100)*(1-W384/100)*100))</x:f>
        <x:v>64.40811535881959</x:v>
      </x:c>
    </x:row>
    <x:row r="385">
      <x:c r="A385" s="12" t="n">
        <x:v>46154</x:v>
      </x:c>
      <x:c r="B385" t="str">
        <x:v>C</x:v>
      </x:c>
      <x:c r="C385" t="str">
        <x:v>Dried Mango</x:v>
      </x:c>
      <x:c r="D385" t="str">
        <x:v>Dryer 3</x:v>
      </x:c>
      <x:c r="E385" t="str">
        <x:v>Sup 2</x:v>
      </x:c>
      <x:c r="F385" t="n">
        <x:v>420</x:v>
      </x:c>
      <x:c r="G385" t="n">
        <x:v>0</x:v>
      </x:c>
      <x:c r="H385" t="n">
        <x:v>53</x:v>
      </x:c>
      <x:c r="I385" t="n">
        <x:v>1526</x:v>
      </x:c>
      <x:c r="J385" t="n">
        <x:v>1259</x:v>
      </x:c>
      <x:c r="K385" t="n">
        <x:v>62</x:v>
      </x:c>
      <x:c r="L385" t="n">
        <x:v>26</x:v>
      </x:c>
      <x:c r="M385" t="n">
        <x:v>91.3</x:v>
      </x:c>
      <x:c r="N385" t="n">
        <x:v>73.1</x:v>
      </x:c>
      <x:c r="O385" t="n">
        <x:v>78</x:v>
      </x:c>
      <x:c r="P385" t="n">
        <x:v>2</x:v>
      </x:c>
      <x:c r="Q385" t="str">
        <x:v>No incident</x:v>
      </x:c>
      <x:c r="R385" t="str">
        <x:v>N/A</x:v>
      </x:c>
      <x:c r="S385" t="str">
        <x:v>Corrective</x:v>
      </x:c>
      <x:c r="T385" t="n">
        <x:v>0.92</x:v>
      </x:c>
      <x:c r="U385" t="n">
        <x:v>10.9</x:v>
      </x:c>
      <x:c r="V385" t="n">
        <x:f>IFERROR(J385/I385*100,0)</x:f>
        <x:v>82.5032765399738</x:v>
      </x:c>
      <x:c r="W385" t="n">
        <x:f>IFERROR(K385/J385*100,0)</x:f>
        <x:v>4.924543288324067</x:v>
      </x:c>
      <x:c r="X385" t="n">
        <x:f>IFERROR(H385/F385*100,0)</x:f>
        <x:v>12.619047619047619</x:v>
      </x:c>
      <x:c r="Y385" t="n">
        <x:f>J385-K385</x:f>
        <x:v>1197</x:v>
      </x:c>
      <x:c r="Z385" t="n">
        <x:f>MAX(0,MIN(100,(V385/100)*(1-X385/100)*(1-W385/100)*100))</x:f>
        <x:v>68.5419397116645</x:v>
      </x:c>
    </x:row>
    <x:row r="386">
      <x:c r="A386" s="12" t="n">
        <x:v>46155</x:v>
      </x:c>
      <x:c r="B386" t="str">
        <x:v>A</x:v>
      </x:c>
      <x:c r="C386" t="str">
        <x:v>Dried Mango</x:v>
      </x:c>
      <x:c r="D386" t="str">
        <x:v>Dryer 4</x:v>
      </x:c>
      <x:c r="E386" t="str">
        <x:v>Sup 1</x:v>
      </x:c>
      <x:c r="F386" t="n">
        <x:v>450</x:v>
      </x:c>
      <x:c r="G386" t="n">
        <x:v>0</x:v>
      </x:c>
      <x:c r="H386" t="n">
        <x:v>63</x:v>
      </x:c>
      <x:c r="I386" t="n">
        <x:v>1753</x:v>
      </x:c>
      <x:c r="J386" t="n">
        <x:v>1438</x:v>
      </x:c>
      <x:c r="K386" t="n">
        <x:v>47</x:v>
      </x:c>
      <x:c r="L386" t="n">
        <x:v>23</x:v>
      </x:c>
      <x:c r="M386" t="n">
        <x:v>81.3</x:v>
      </x:c>
      <x:c r="N386" t="n">
        <x:v>85.3</x:v>
      </x:c>
      <x:c r="O386" t="n">
        <x:v>80.4</x:v>
      </x:c>
      <x:c r="P386" t="n">
        <x:v>3</x:v>
      </x:c>
      <x:c r="Q386" t="str">
        <x:v>No incident</x:v>
      </x:c>
      <x:c r="R386" t="str">
        <x:v>N/A</x:v>
      </x:c>
      <x:c r="S386" t="str">
        <x:v>Corrective</x:v>
      </x:c>
      <x:c r="T386" t="n">
        <x:v>1.52</x:v>
      </x:c>
      <x:c r="U386" t="n">
        <x:v>11.9</x:v>
      </x:c>
      <x:c r="V386" t="n">
        <x:f>IFERROR(J386/I386*100,0)</x:f>
        <x:v>82.03080433542499</x:v>
      </x:c>
      <x:c r="W386" t="n">
        <x:f>IFERROR(K386/J386*100,0)</x:f>
        <x:v>3.2684283727399164</x:v>
      </x:c>
      <x:c r="X386" t="n">
        <x:f>IFERROR(H386/F386*100,0)</x:f>
        <x:v>14.000000000000002</x:v>
      </x:c>
      <x:c r="Y386" t="n">
        <x:f>J386-K386</x:f>
        <x:v>1391</x:v>
      </x:c>
      <x:c r="Z386" t="n">
        <x:f>MAX(0,MIN(100,(V386/100)*(1-X386/100)*(1-W386/100)*100))</x:f>
        <x:v>68.2407301768397</x:v>
      </x:c>
    </x:row>
    <x:row r="387">
      <x:c r="A387" s="12" t="n">
        <x:v>46155</x:v>
      </x:c>
      <x:c r="B387" t="str">
        <x:v>B</x:v>
      </x:c>
      <x:c r="C387" t="str">
        <x:v>Dried Mango</x:v>
      </x:c>
      <x:c r="D387" t="str">
        <x:v>Dryer 4</x:v>
      </x:c>
      <x:c r="E387" t="str">
        <x:v>Sup 1</x:v>
      </x:c>
      <x:c r="F387" t="n">
        <x:v>420</x:v>
      </x:c>
      <x:c r="G387" t="n">
        <x:v>20</x:v>
      </x:c>
      <x:c r="H387" t="n">
        <x:v>57</x:v>
      </x:c>
      <x:c r="I387" t="n">
        <x:v>1577</x:v>
      </x:c>
      <x:c r="J387" t="n">
        <x:v>1327</x:v>
      </x:c>
      <x:c r="K387" t="n">
        <x:v>37</x:v>
      </x:c>
      <x:c r="L387" t="n">
        <x:v>12</x:v>
      </x:c>
      <x:c r="M387" t="n">
        <x:v>90.8</x:v>
      </x:c>
      <x:c r="N387" t="n">
        <x:v>79.5</x:v>
      </x:c>
      <x:c r="O387" t="n">
        <x:v>88.8</x:v>
      </x:c>
      <x:c r="P387" t="n">
        <x:v>3</x:v>
      </x:c>
      <x:c r="Q387" t="str">
        <x:v>No incident</x:v>
      </x:c>
      <x:c r="R387" t="str">
        <x:v>N/A</x:v>
      </x:c>
      <x:c r="S387" t="str">
        <x:v>Inspection</x:v>
      </x:c>
      <x:c r="T387" t="n">
        <x:v>0.81</x:v>
      </x:c>
      <x:c r="U387" t="n">
        <x:v>11.2</x:v>
      </x:c>
      <x:c r="V387" t="n">
        <x:f>IFERROR(J387/I387*100,0)</x:f>
        <x:v>84.14711477488903</x:v>
      </x:c>
      <x:c r="W387" t="n">
        <x:f>IFERROR(K387/J387*100,0)</x:f>
        <x:v>2.7882441597588548</x:v>
      </x:c>
      <x:c r="X387" t="n">
        <x:f>IFERROR(H387/F387*100,0)</x:f>
        <x:v>13.571428571428571</x:v>
      </x:c>
      <x:c r="Y387" t="n">
        <x:f>J387-K387</x:f>
        <x:v>1290</x:v>
      </x:c>
      <x:c r="Z387" t="n">
        <x:f>MAX(0,MIN(100,(V387/100)*(1-X387/100)*(1-W387/100)*100))</x:f>
        <x:v>70.69933870821632</x:v>
      </x:c>
    </x:row>
    <x:row r="388">
      <x:c r="A388" s="12" t="n">
        <x:v>46155</x:v>
      </x:c>
      <x:c r="B388" t="str">
        <x:v>C</x:v>
      </x:c>
      <x:c r="C388" t="str">
        <x:v>Desiccated Coconut</x:v>
      </x:c>
      <x:c r="D388" t="str">
        <x:v>Dryer 1</x:v>
      </x:c>
      <x:c r="E388" t="str">
        <x:v>Sup 2</x:v>
      </x:c>
      <x:c r="F388" t="n">
        <x:v>420</x:v>
      </x:c>
      <x:c r="G388" t="n">
        <x:v>0</x:v>
      </x:c>
      <x:c r="H388" t="n">
        <x:v>38</x:v>
      </x:c>
      <x:c r="I388" t="n">
        <x:v>1146</x:v>
      </x:c>
      <x:c r="J388" t="n">
        <x:v>1082</x:v>
      </x:c>
      <x:c r="K388" t="n">
        <x:v>39</x:v>
      </x:c>
      <x:c r="L388" t="n">
        <x:v>20</x:v>
      </x:c>
      <x:c r="M388" t="n">
        <x:v>84.3</x:v>
      </x:c>
      <x:c r="N388" t="n">
        <x:v>66.4</x:v>
      </x:c>
      <x:c r="O388" t="n">
        <x:v>70</x:v>
      </x:c>
      <x:c r="P388" t="n">
        <x:v>5</x:v>
      </x:c>
      <x:c r="Q388" t="str">
        <x:v>No incident</x:v>
      </x:c>
      <x:c r="R388" t="str">
        <x:v>N/A</x:v>
      </x:c>
      <x:c r="S388" t="str">
        <x:v>Preventive</x:v>
      </x:c>
      <x:c r="T388" t="n">
        <x:v>0.69</x:v>
      </x:c>
      <x:c r="U388" t="n">
        <x:v>8.5</x:v>
      </x:c>
      <x:c r="V388" t="n">
        <x:f>IFERROR(J388/I388*100,0)</x:f>
        <x:v>94.4153577661431</x:v>
      </x:c>
      <x:c r="W388" t="n">
        <x:f>IFERROR(K388/J388*100,0)</x:f>
        <x:v>3.6044362292051755</x:v>
      </x:c>
      <x:c r="X388" t="n">
        <x:f>IFERROR(H388/F388*100,0)</x:f>
        <x:v>9.047619047619047</x:v>
      </x:c>
      <x:c r="Y388" t="n">
        <x:f>J388-K388</x:f>
        <x:v>1043</x:v>
      </x:c>
      <x:c r="Z388" t="n">
        <x:f>MAX(0,MIN(100,(V388/100)*(1-X388/100)*(1-W388/100)*100))</x:f>
        <x:v>82.77777777777777</x:v>
      </x:c>
    </x:row>
    <x:row r="389">
      <x:c r="A389" s="12" t="n">
        <x:v>46156</x:v>
      </x:c>
      <x:c r="B389" t="str">
        <x:v>A</x:v>
      </x:c>
      <x:c r="C389" t="str">
        <x:v>Dried Mango</x:v>
      </x:c>
      <x:c r="D389" t="str">
        <x:v>Dryer 4</x:v>
      </x:c>
      <x:c r="E389" t="str">
        <x:v>Sup 1</x:v>
      </x:c>
      <x:c r="F389" t="n">
        <x:v>450</x:v>
      </x:c>
      <x:c r="G389" t="n">
        <x:v>30</x:v>
      </x:c>
      <x:c r="H389" t="n">
        <x:v>31</x:v>
      </x:c>
      <x:c r="I389" t="n">
        <x:v>1568</x:v>
      </x:c>
      <x:c r="J389" t="n">
        <x:v>1492</x:v>
      </x:c>
      <x:c r="K389" t="n">
        <x:v>47</x:v>
      </x:c>
      <x:c r="L389" t="n">
        <x:v>32</x:v>
      </x:c>
      <x:c r="M389" t="n">
        <x:v>93.6</x:v>
      </x:c>
      <x:c r="N389" t="n">
        <x:v>92.7</x:v>
      </x:c>
      <x:c r="O389" t="n">
        <x:v>61.2</x:v>
      </x:c>
      <x:c r="P389" t="n">
        <x:v>3</x:v>
      </x:c>
      <x:c r="Q389" t="str">
        <x:v>Near miss</x:v>
      </x:c>
      <x:c r="R389" t="str">
        <x:v>In progress</x:v>
      </x:c>
      <x:c r="S389" t="str">
        <x:v>Preventive</x:v>
      </x:c>
      <x:c r="T389" t="n">
        <x:v>1.09</x:v>
      </x:c>
      <x:c r="U389" t="n">
        <x:v>11.3</x:v>
      </x:c>
      <x:c r="V389" t="n">
        <x:f>IFERROR(J389/I389*100,0)</x:f>
        <x:v>95.1530612244898</x:v>
      </x:c>
      <x:c r="W389" t="n">
        <x:f>IFERROR(K389/J389*100,0)</x:f>
        <x:v>3.1501340482573728</x:v>
      </x:c>
      <x:c r="X389" t="n">
        <x:f>IFERROR(H389/F389*100,0)</x:f>
        <x:v>6.888888888888889</x:v>
      </x:c>
      <x:c r="Y389" t="n">
        <x:f>J389-K389</x:f>
        <x:v>1445</x:v>
      </x:c>
      <x:c r="Z389" t="n">
        <x:f>MAX(0,MIN(100,(V389/100)*(1-X389/100)*(1-W389/100)*100))</x:f>
        <x:v>85.80711451247166</x:v>
      </x:c>
    </x:row>
    <x:row r="390">
      <x:c r="A390" s="12" t="n">
        <x:v>46156</x:v>
      </x:c>
      <x:c r="B390" t="str">
        <x:v>B</x:v>
      </x:c>
      <x:c r="C390" t="str">
        <x:v>Desiccated Coconut</x:v>
      </x:c>
      <x:c r="D390" t="str">
        <x:v>Dryer 1</x:v>
      </x:c>
      <x:c r="E390" t="str">
        <x:v>Sup 3</x:v>
      </x:c>
      <x:c r="F390" t="n">
        <x:v>420</x:v>
      </x:c>
      <x:c r="G390" t="n">
        <x:v>0</x:v>
      </x:c>
      <x:c r="H390" t="n">
        <x:v>50</x:v>
      </x:c>
      <x:c r="I390" t="n">
        <x:v>1182</x:v>
      </x:c>
      <x:c r="J390" t="n">
        <x:v>1057</x:v>
      </x:c>
      <x:c r="K390" t="n">
        <x:v>19</x:v>
      </x:c>
      <x:c r="L390" t="n">
        <x:v>9</x:v>
      </x:c>
      <x:c r="M390" t="n">
        <x:v>94.5</x:v>
      </x:c>
      <x:c r="N390" t="n">
        <x:v>79.8</x:v>
      </x:c>
      <x:c r="O390" t="n">
        <x:v>71.4</x:v>
      </x:c>
      <x:c r="P390" t="n">
        <x:v>7</x:v>
      </x:c>
      <x:c r="Q390" t="str">
        <x:v>No incident</x:v>
      </x:c>
      <x:c r="R390" t="str">
        <x:v>N/A</x:v>
      </x:c>
      <x:c r="S390" t="str">
        <x:v>Preventive</x:v>
      </x:c>
      <x:c r="T390" t="n">
        <x:v>1.09</x:v>
      </x:c>
      <x:c r="U390" t="n">
        <x:v>9.6</x:v>
      </x:c>
      <x:c r="V390" t="n">
        <x:f>IFERROR(J390/I390*100,0)</x:f>
        <x:v>89.42470389170897</x:v>
      </x:c>
      <x:c r="W390" t="n">
        <x:f>IFERROR(K390/J390*100,0)</x:f>
        <x:v>1.7975402081362346</x:v>
      </x:c>
      <x:c r="X390" t="n">
        <x:f>IFERROR(H390/F390*100,0)</x:f>
        <x:v>11.904761904761903</x:v>
      </x:c>
      <x:c r="Y390" t="n">
        <x:f>J390-K390</x:f>
        <x:v>1038</x:v>
      </x:c>
      <x:c r="Z390" t="n">
        <x:f>MAX(0,MIN(100,(V390/100)*(1-X390/100)*(1-W390/100)*100))</x:f>
        <x:v>77.3628233019096</x:v>
      </x:c>
    </x:row>
    <x:row r="391">
      <x:c r="A391" s="12" t="n">
        <x:v>46156</x:v>
      </x:c>
      <x:c r="B391" t="str">
        <x:v>C</x:v>
      </x:c>
      <x:c r="C391" t="str">
        <x:v>Dried Mango</x:v>
      </x:c>
      <x:c r="D391" t="str">
        <x:v>Dryer 1</x:v>
      </x:c>
      <x:c r="E391" t="str">
        <x:v>Sup 3</x:v>
      </x:c>
      <x:c r="F391" t="n">
        <x:v>480</x:v>
      </x:c>
      <x:c r="G391" t="n">
        <x:v>40</x:v>
      </x:c>
      <x:c r="H391" t="n">
        <x:v>53</x:v>
      </x:c>
      <x:c r="I391" t="n">
        <x:v>1748</x:v>
      </x:c>
      <x:c r="J391" t="n">
        <x:v>1560</x:v>
      </x:c>
      <x:c r="K391" t="n">
        <x:v>43</x:v>
      </x:c>
      <x:c r="L391" t="n">
        <x:v>21</x:v>
      </x:c>
      <x:c r="M391" t="n">
        <x:v>92.6</x:v>
      </x:c>
      <x:c r="N391" t="n">
        <x:v>76.3</x:v>
      </x:c>
      <x:c r="O391" t="n">
        <x:v>79.6</x:v>
      </x:c>
      <x:c r="P391" t="n">
        <x:v>3</x:v>
      </x:c>
      <x:c r="Q391" t="str">
        <x:v>No incident</x:v>
      </x:c>
      <x:c r="R391" t="str">
        <x:v>N/A</x:v>
      </x:c>
      <x:c r="S391" t="str">
        <x:v>Inspection</x:v>
      </x:c>
      <x:c r="T391" t="n">
        <x:v>1</x:v>
      </x:c>
      <x:c r="U391" t="n">
        <x:v>14.3</x:v>
      </x:c>
      <x:c r="V391" t="n">
        <x:f>IFERROR(J391/I391*100,0)</x:f>
        <x:v>89.24485125858124</x:v>
      </x:c>
      <x:c r="W391" t="n">
        <x:f>IFERROR(K391/J391*100,0)</x:f>
        <x:v>2.7564102564102564</x:v>
      </x:c>
      <x:c r="X391" t="n">
        <x:f>IFERROR(H391/F391*100,0)</x:f>
        <x:v>11.041666666666666</x:v>
      </x:c>
      <x:c r="Y391" t="n">
        <x:f>J391-K391</x:f>
        <x:v>1517</x:v>
      </x:c>
      <x:c r="Z391" t="n">
        <x:f>MAX(0,MIN(100,(V391/100)*(1-X391/100)*(1-W391/100)*100))</x:f>
        <x:v>77.20239797864225</x:v>
      </x:c>
    </x:row>
    <x:row r="392">
      <x:c r="A392" s="12" t="n">
        <x:v>46157</x:v>
      </x:c>
      <x:c r="B392" t="str">
        <x:v>A</x:v>
      </x:c>
      <x:c r="C392" t="str">
        <x:v>Dried Pineapple</x:v>
      </x:c>
      <x:c r="D392" t="str">
        <x:v>Dryer 2</x:v>
      </x:c>
      <x:c r="E392" t="str">
        <x:v>Sup 1</x:v>
      </x:c>
      <x:c r="F392" t="n">
        <x:v>480</x:v>
      </x:c>
      <x:c r="G392" t="n">
        <x:v>0</x:v>
      </x:c>
      <x:c r="H392" t="n">
        <x:v>42</x:v>
      </x:c>
      <x:c r="I392" t="n">
        <x:v>1765</x:v>
      </x:c>
      <x:c r="J392" t="n">
        <x:v>1602</x:v>
      </x:c>
      <x:c r="K392" t="n">
        <x:v>53</x:v>
      </x:c>
      <x:c r="L392" t="n">
        <x:v>17</x:v>
      </x:c>
      <x:c r="M392" t="n">
        <x:v>87.4</x:v>
      </x:c>
      <x:c r="N392" t="n">
        <x:v>78.4</x:v>
      </x:c>
      <x:c r="O392" t="n">
        <x:v>74.4</x:v>
      </x:c>
      <x:c r="P392" t="n">
        <x:v>2</x:v>
      </x:c>
      <x:c r="Q392" t="str">
        <x:v>Near miss</x:v>
      </x:c>
      <x:c r="R392" t="str">
        <x:v>In progress</x:v>
      </x:c>
      <x:c r="S392" t="str">
        <x:v>Corrective</x:v>
      </x:c>
      <x:c r="T392" t="n">
        <x:v>1.62</x:v>
      </x:c>
      <x:c r="U392" t="n">
        <x:v>13</x:v>
      </x:c>
      <x:c r="V392" t="n">
        <x:f>IFERROR(J392/I392*100,0)</x:f>
        <x:v>90.76487252124646</x:v>
      </x:c>
      <x:c r="W392" t="n">
        <x:f>IFERROR(K392/J392*100,0)</x:f>
        <x:v>3.3083645443196</x:v>
      </x:c>
      <x:c r="X392" t="n">
        <x:f>IFERROR(H392/F392*100,0)</x:f>
        <x:v>8.75</x:v>
      </x:c>
      <x:c r="Y392" t="n">
        <x:f>J392-K392</x:f>
        <x:v>1549</x:v>
      </x:c>
      <x:c r="Z392" t="n">
        <x:f>MAX(0,MIN(100,(V392/100)*(1-X392/100)*(1-W392/100)*100))</x:f>
        <x:v>80.08286118980172</x:v>
      </x:c>
    </x:row>
    <x:row r="393">
      <x:c r="A393" s="12" t="n">
        <x:v>46157</x:v>
      </x:c>
      <x:c r="B393" t="str">
        <x:v>B</x:v>
      </x:c>
      <x:c r="C393" t="str">
        <x:v>Dried Pineapple</x:v>
      </x:c>
      <x:c r="D393" t="str">
        <x:v>Dryer 1</x:v>
      </x:c>
      <x:c r="E393" t="str">
        <x:v>Sup 2</x:v>
      </x:c>
      <x:c r="F393" t="n">
        <x:v>450</x:v>
      </x:c>
      <x:c r="G393" t="n">
        <x:v>30</x:v>
      </x:c>
      <x:c r="H393" t="n">
        <x:v>58</x:v>
      </x:c>
      <x:c r="I393" t="n">
        <x:v>1810</x:v>
      </x:c>
      <x:c r="J393" t="n">
        <x:v>1458</x:v>
      </x:c>
      <x:c r="K393" t="n">
        <x:v>34</x:v>
      </x:c>
      <x:c r="L393" t="n">
        <x:v>15</x:v>
      </x:c>
      <x:c r="M393" t="n">
        <x:v>89.4</x:v>
      </x:c>
      <x:c r="N393" t="n">
        <x:v>77.1</x:v>
      </x:c>
      <x:c r="O393" t="n">
        <x:v>68.8</x:v>
      </x:c>
      <x:c r="P393" t="n">
        <x:v>3</x:v>
      </x:c>
      <x:c r="Q393" t="str">
        <x:v>No incident</x:v>
      </x:c>
      <x:c r="R393" t="str">
        <x:v>N/A</x:v>
      </x:c>
      <x:c r="S393" t="str">
        <x:v>Corrective</x:v>
      </x:c>
      <x:c r="T393" t="n">
        <x:v>1.47</x:v>
      </x:c>
      <x:c r="U393" t="n">
        <x:v>12.5</x:v>
      </x:c>
      <x:c r="V393" t="n">
        <x:f>IFERROR(J393/I393*100,0)</x:f>
        <x:v>80.5524861878453</x:v>
      </x:c>
      <x:c r="W393" t="n">
        <x:f>IFERROR(K393/J393*100,0)</x:f>
        <x:v>2.3319615912208507</x:v>
      </x:c>
      <x:c r="X393" t="n">
        <x:f>IFERROR(H393/F393*100,0)</x:f>
        <x:v>12.88888888888889</x:v>
      </x:c>
      <x:c r="Y393" t="n">
        <x:f>J393-K393</x:f>
        <x:v>1424</x:v>
      </x:c>
      <x:c r="Z393" t="n">
        <x:f>MAX(0,MIN(100,(V393/100)*(1-X393/100)*(1-W393/100)*100))</x:f>
        <x:v>68.53382443216698</x:v>
      </x:c>
    </x:row>
    <x:row r="394">
      <x:c r="A394" s="12" t="n">
        <x:v>46157</x:v>
      </x:c>
      <x:c r="B394" t="str">
        <x:v>C</x:v>
      </x:c>
      <x:c r="C394" t="str">
        <x:v>Dried Pineapple</x:v>
      </x:c>
      <x:c r="D394" t="str">
        <x:v>Dryer 1</x:v>
      </x:c>
      <x:c r="E394" t="str">
        <x:v>Sup 3</x:v>
      </x:c>
      <x:c r="F394" t="n">
        <x:v>480</x:v>
      </x:c>
      <x:c r="G394" t="n">
        <x:v>30</x:v>
      </x:c>
      <x:c r="H394" t="n">
        <x:v>40</x:v>
      </x:c>
      <x:c r="I394" t="n">
        <x:v>1680</x:v>
      </x:c>
      <x:c r="J394" t="n">
        <x:v>1565</x:v>
      </x:c>
      <x:c r="K394" t="n">
        <x:v>40</x:v>
      </x:c>
      <x:c r="L394" t="n">
        <x:v>14</x:v>
      </x:c>
      <x:c r="M394" t="n">
        <x:v>91.2</x:v>
      </x:c>
      <x:c r="N394" t="n">
        <x:v>76.4</x:v>
      </x:c>
      <x:c r="O394" t="n">
        <x:v>73.8</x:v>
      </x:c>
      <x:c r="P394" t="n">
        <x:v>5</x:v>
      </x:c>
      <x:c r="Q394" t="str">
        <x:v>Near miss</x:v>
      </x:c>
      <x:c r="R394" t="str">
        <x:v>Closed</x:v>
      </x:c>
      <x:c r="S394" t="str">
        <x:v>Inspection</x:v>
      </x:c>
      <x:c r="T394" t="n">
        <x:v>0.5</x:v>
      </x:c>
      <x:c r="U394" t="n">
        <x:v>14</x:v>
      </x:c>
      <x:c r="V394" t="n">
        <x:f>IFERROR(J394/I394*100,0)</x:f>
        <x:v>93.15476190476191</x:v>
      </x:c>
      <x:c r="W394" t="n">
        <x:f>IFERROR(K394/J394*100,0)</x:f>
        <x:v>2.5559105431309903</x:v>
      </x:c>
      <x:c r="X394" t="n">
        <x:f>IFERROR(H394/F394*100,0)</x:f>
        <x:v>8.333333333333332</x:v>
      </x:c>
      <x:c r="Y394" t="n">
        <x:f>J394-K394</x:f>
        <x:v>1525</x:v>
      </x:c>
      <x:c r="Z394" t="n">
        <x:f>MAX(0,MIN(100,(V394/100)*(1-X394/100)*(1-W394/100)*100))</x:f>
        <x:v>83.2093253968254</x:v>
      </x:c>
    </x:row>
    <x:row r="395">
      <x:c r="A395" s="12" t="n">
        <x:v>46158</x:v>
      </x:c>
      <x:c r="B395" t="str">
        <x:v>A</x:v>
      </x:c>
      <x:c r="C395" t="str">
        <x:v>Dried Pineapple</x:v>
      </x:c>
      <x:c r="D395" t="str">
        <x:v>Dryer 1</x:v>
      </x:c>
      <x:c r="E395" t="str">
        <x:v>Sup 3</x:v>
      </x:c>
      <x:c r="F395" t="n">
        <x:v>480</x:v>
      </x:c>
      <x:c r="G395" t="n">
        <x:v>40</x:v>
      </x:c>
      <x:c r="H395" t="n">
        <x:v>50</x:v>
      </x:c>
      <x:c r="I395" t="n">
        <x:v>1841</x:v>
      </x:c>
      <x:c r="J395" t="n">
        <x:v>1438</x:v>
      </x:c>
      <x:c r="K395" t="n">
        <x:v>44</x:v>
      </x:c>
      <x:c r="L395" t="n">
        <x:v>23</x:v>
      </x:c>
      <x:c r="M395" t="n">
        <x:v>86.7</x:v>
      </x:c>
      <x:c r="N395" t="n">
        <x:v>84.4</x:v>
      </x:c>
      <x:c r="O395" t="n">
        <x:v>71.2</x:v>
      </x:c>
      <x:c r="P395" t="n">
        <x:v>4</x:v>
      </x:c>
      <x:c r="Q395" t="str">
        <x:v>No incident</x:v>
      </x:c>
      <x:c r="R395" t="str">
        <x:v>N/A</x:v>
      </x:c>
      <x:c r="S395" t="str">
        <x:v>Preventive</x:v>
      </x:c>
      <x:c r="T395" t="n">
        <x:v>1.17</x:v>
      </x:c>
      <x:c r="U395" t="n">
        <x:v>12.8</x:v>
      </x:c>
      <x:c r="V395" t="n">
        <x:f>IFERROR(J395/I395*100,0)</x:f>
        <x:v>78.10972297664313</x:v>
      </x:c>
      <x:c r="W395" t="n">
        <x:f>IFERROR(K395/J395*100,0)</x:f>
        <x:v>3.05980528511822</x:v>
      </x:c>
      <x:c r="X395" t="n">
        <x:f>IFERROR(H395/F395*100,0)</x:f>
        <x:v>10.416666666666668</x:v>
      </x:c>
      <x:c r="Y395" t="n">
        <x:f>J395-K395</x:f>
        <x:v>1394</x:v>
      </x:c>
      <x:c r="Z395" t="n">
        <x:f>MAX(0,MIN(100,(V395/100)*(1-X395/100)*(1-W395/100)*100))</x:f>
        <x:v>67.83224696722795</x:v>
      </x:c>
    </x:row>
    <x:row r="396">
      <x:c r="A396" s="12" t="n">
        <x:v>46158</x:v>
      </x:c>
      <x:c r="B396" t="str">
        <x:v>B</x:v>
      </x:c>
      <x:c r="C396" t="str">
        <x:v>Dried Pineapple</x:v>
      </x:c>
      <x:c r="D396" t="str">
        <x:v>Dryer 1</x:v>
      </x:c>
      <x:c r="E396" t="str">
        <x:v>Sup 3</x:v>
      </x:c>
      <x:c r="F396" t="n">
        <x:v>450</x:v>
      </x:c>
      <x:c r="G396" t="n">
        <x:v>30</x:v>
      </x:c>
      <x:c r="H396" t="n">
        <x:v>39</x:v>
      </x:c>
      <x:c r="I396" t="n">
        <x:v>1634</x:v>
      </x:c>
      <x:c r="J396" t="n">
        <x:v>1363</x:v>
      </x:c>
      <x:c r="K396" t="n">
        <x:v>46</x:v>
      </x:c>
      <x:c r="L396" t="n">
        <x:v>10</x:v>
      </x:c>
      <x:c r="M396" t="n">
        <x:v>96.9</x:v>
      </x:c>
      <x:c r="N396" t="n">
        <x:v>73.3</x:v>
      </x:c>
      <x:c r="O396" t="n">
        <x:v>74.9</x:v>
      </x:c>
      <x:c r="P396" t="n">
        <x:v>2</x:v>
      </x:c>
      <x:c r="Q396" t="str">
        <x:v>No incident</x:v>
      </x:c>
      <x:c r="R396" t="str">
        <x:v>N/A</x:v>
      </x:c>
      <x:c r="S396" t="str">
        <x:v>Preventive</x:v>
      </x:c>
      <x:c r="T396" t="n">
        <x:v>0.7</x:v>
      </x:c>
      <x:c r="U396" t="n">
        <x:v>10.3</x:v>
      </x:c>
      <x:c r="V396" t="n">
        <x:f>IFERROR(J396/I396*100,0)</x:f>
        <x:v>83.41493268053856</x:v>
      </x:c>
      <x:c r="W396" t="n">
        <x:f>IFERROR(K396/J396*100,0)</x:f>
        <x:v>3.374908290535583</x:v>
      </x:c>
      <x:c r="X396" t="n">
        <x:f>IFERROR(H396/F396*100,0)</x:f>
        <x:v>8.666666666666668</x:v>
      </x:c>
      <x:c r="Y396" t="n">
        <x:f>J396-K396</x:f>
        <x:v>1317</x:v>
      </x:c>
      <x:c r="Z396" t="n">
        <x:f>MAX(0,MIN(100,(V396/100)*(1-X396/100)*(1-W396/100)*100))</x:f>
        <x:v>73.61444308445533</x:v>
      </x:c>
    </x:row>
    <x:row r="397">
      <x:c r="A397" s="12" t="n">
        <x:v>46158</x:v>
      </x:c>
      <x:c r="B397" t="str">
        <x:v>C</x:v>
      </x:c>
      <x:c r="C397" t="str">
        <x:v>Desiccated Coconut</x:v>
      </x:c>
      <x:c r="D397" t="str">
        <x:v>Dryer 2</x:v>
      </x:c>
      <x:c r="E397" t="str">
        <x:v>Sup 2</x:v>
      </x:c>
      <x:c r="F397" t="n">
        <x:v>450</x:v>
      </x:c>
      <x:c r="G397" t="n">
        <x:v>30</x:v>
      </x:c>
      <x:c r="H397" t="n">
        <x:v>51</x:v>
      </x:c>
      <x:c r="I397" t="n">
        <x:v>1236</x:v>
      </x:c>
      <x:c r="J397" t="n">
        <x:v>1113</x:v>
      </x:c>
      <x:c r="K397" t="n">
        <x:v>30</x:v>
      </x:c>
      <x:c r="L397" t="n">
        <x:v>11</x:v>
      </x:c>
      <x:c r="M397" t="n">
        <x:v>82.3</x:v>
      </x:c>
      <x:c r="N397" t="n">
        <x:v>67.3</x:v>
      </x:c>
      <x:c r="O397" t="n">
        <x:v>80.8</x:v>
      </x:c>
      <x:c r="P397" t="n">
        <x:v>3</x:v>
      </x:c>
      <x:c r="Q397" t="str">
        <x:v>No incident</x:v>
      </x:c>
      <x:c r="R397" t="str">
        <x:v>N/A</x:v>
      </x:c>
      <x:c r="S397" t="str">
        <x:v>Inspection</x:v>
      </x:c>
      <x:c r="T397" t="n">
        <x:v>0.52</x:v>
      </x:c>
      <x:c r="U397" t="n">
        <x:v>8.9</x:v>
      </x:c>
      <x:c r="V397" t="n">
        <x:f>IFERROR(J397/I397*100,0)</x:f>
        <x:v>90.0485436893204</x:v>
      </x:c>
      <x:c r="W397" t="n">
        <x:f>IFERROR(K397/J397*100,0)</x:f>
        <x:v>2.6954177897574128</x:v>
      </x:c>
      <x:c r="X397" t="n">
        <x:f>IFERROR(H397/F397*100,0)</x:f>
        <x:v>11.333333333333332</x:v>
      </x:c>
      <x:c r="Y397" t="n">
        <x:f>J397-K397</x:f>
        <x:v>1083</x:v>
      </x:c>
      <x:c r="Z397" t="n">
        <x:f>MAX(0,MIN(100,(V397/100)*(1-X397/100)*(1-W397/100)*100))</x:f>
        <x:v>77.69093851132686</x:v>
      </x:c>
    </x:row>
    <x:row r="398">
      <x:c r="A398" s="12" t="n">
        <x:v>46159</x:v>
      </x:c>
      <x:c r="B398" t="str">
        <x:v>A</x:v>
      </x:c>
      <x:c r="C398" t="str">
        <x:v>Desiccated Coconut</x:v>
      </x:c>
      <x:c r="D398" t="str">
        <x:v>Dryer 4</x:v>
      </x:c>
      <x:c r="E398" t="str">
        <x:v>Sup 1</x:v>
      </x:c>
      <x:c r="F398" t="n">
        <x:v>480</x:v>
      </x:c>
      <x:c r="G398" t="n">
        <x:v>40</x:v>
      </x:c>
      <x:c r="H398" t="n">
        <x:v>33</x:v>
      </x:c>
      <x:c r="I398" t="n">
        <x:v>1150</x:v>
      </x:c>
      <x:c r="J398" t="n">
        <x:v>1039</x:v>
      </x:c>
      <x:c r="K398" t="n">
        <x:v>36</x:v>
      </x:c>
      <x:c r="L398" t="n">
        <x:v>9</x:v>
      </x:c>
      <x:c r="M398" t="n">
        <x:v>90.4</x:v>
      </x:c>
      <x:c r="N398" t="n">
        <x:v>79</x:v>
      </x:c>
      <x:c r="O398" t="n">
        <x:v>88.3</x:v>
      </x:c>
      <x:c r="P398" t="n">
        <x:v>2</x:v>
      </x:c>
      <x:c r="Q398" t="str">
        <x:v>No incident</x:v>
      </x:c>
      <x:c r="R398" t="str">
        <x:v>N/A</x:v>
      </x:c>
      <x:c r="S398" t="str">
        <x:v>Corrective</x:v>
      </x:c>
      <x:c r="T398" t="n">
        <x:v>1.4</x:v>
      </x:c>
      <x:c r="U398" t="n">
        <x:v>8</x:v>
      </x:c>
      <x:c r="V398" t="n">
        <x:f>IFERROR(J398/I398*100,0)</x:f>
        <x:v>90.34782608695652</x:v>
      </x:c>
      <x:c r="W398" t="n">
        <x:f>IFERROR(K398/J398*100,0)</x:f>
        <x:v>3.4648700673724733</x:v>
      </x:c>
      <x:c r="X398" t="n">
        <x:f>IFERROR(H398/F398*100,0)</x:f>
        <x:v>6.875000000000001</x:v>
      </x:c>
      <x:c r="Y398" t="n">
        <x:f>J398-K398</x:f>
        <x:v>1003</x:v>
      </x:c>
      <x:c r="Z398" t="n">
        <x:f>MAX(0,MIN(100,(V398/100)*(1-X398/100)*(1-W398/100)*100))</x:f>
        <x:v>81.22119565217392</x:v>
      </x:c>
    </x:row>
    <x:row r="399">
      <x:c r="A399" s="12" t="n">
        <x:v>46159</x:v>
      </x:c>
      <x:c r="B399" t="str">
        <x:v>B</x:v>
      </x:c>
      <x:c r="C399" t="str">
        <x:v>Dried Mango</x:v>
      </x:c>
      <x:c r="D399" t="str">
        <x:v>Dryer 2</x:v>
      </x:c>
      <x:c r="E399" t="str">
        <x:v>Sup 2</x:v>
      </x:c>
      <x:c r="F399" t="n">
        <x:v>480</x:v>
      </x:c>
      <x:c r="G399" t="n">
        <x:v>20</x:v>
      </x:c>
      <x:c r="H399" t="n">
        <x:v>50</x:v>
      </x:c>
      <x:c r="I399" t="n">
        <x:v>1748</x:v>
      </x:c>
      <x:c r="J399" t="n">
        <x:v>1417</x:v>
      </x:c>
      <x:c r="K399" t="n">
        <x:v>52</x:v>
      </x:c>
      <x:c r="L399" t="n">
        <x:v>14</x:v>
      </x:c>
      <x:c r="M399" t="n">
        <x:v>96.9</x:v>
      </x:c>
      <x:c r="N399" t="n">
        <x:v>77.8</x:v>
      </x:c>
      <x:c r="O399" t="n">
        <x:v>68</x:v>
      </x:c>
      <x:c r="P399" t="n">
        <x:v>4</x:v>
      </x:c>
      <x:c r="Q399" t="str">
        <x:v>No incident</x:v>
      </x:c>
      <x:c r="R399" t="str">
        <x:v>N/A</x:v>
      </x:c>
      <x:c r="S399" t="str">
        <x:v>Corrective</x:v>
      </x:c>
      <x:c r="T399" t="n">
        <x:v>1.41</x:v>
      </x:c>
      <x:c r="U399" t="n">
        <x:v>13</x:v>
      </x:c>
      <x:c r="V399" t="n">
        <x:f>IFERROR(J399/I399*100,0)</x:f>
        <x:v>81.06407322654462</x:v>
      </x:c>
      <x:c r="W399" t="n">
        <x:f>IFERROR(K399/J399*100,0)</x:f>
        <x:v>3.669724770642202</x:v>
      </x:c>
      <x:c r="X399" t="n">
        <x:f>IFERROR(H399/F399*100,0)</x:f>
        <x:v>10.416666666666668</x:v>
      </x:c>
      <x:c r="Y399" t="n">
        <x:f>J399-K399</x:f>
        <x:v>1365</x:v>
      </x:c>
      <x:c r="Z399" t="n">
        <x:f>MAX(0,MIN(100,(V399/100)*(1-X399/100)*(1-W399/100)*100))</x:f>
        <x:v>69.9549485125858</x:v>
      </x:c>
    </x:row>
    <x:row r="400">
      <x:c r="A400" s="12" t="n">
        <x:v>46159</x:v>
      </x:c>
      <x:c r="B400" t="str">
        <x:v>C</x:v>
      </x:c>
      <x:c r="C400" t="str">
        <x:v>Dried Pineapple</x:v>
      </x:c>
      <x:c r="D400" t="str">
        <x:v>Dryer 1</x:v>
      </x:c>
      <x:c r="E400" t="str">
        <x:v>Sup 1</x:v>
      </x:c>
      <x:c r="F400" t="n">
        <x:v>480</x:v>
      </x:c>
      <x:c r="G400" t="n">
        <x:v>20</x:v>
      </x:c>
      <x:c r="H400" t="n">
        <x:v>29</x:v>
      </x:c>
      <x:c r="I400" t="n">
        <x:v>1692</x:v>
      </x:c>
      <x:c r="J400" t="n">
        <x:v>1613</x:v>
      </x:c>
      <x:c r="K400" t="n">
        <x:v>46</x:v>
      </x:c>
      <x:c r="L400" t="n">
        <x:v>30</x:v>
      </x:c>
      <x:c r="M400" t="n">
        <x:v>86.5</x:v>
      </x:c>
      <x:c r="N400" t="n">
        <x:v>69.4</x:v>
      </x:c>
      <x:c r="O400" t="n">
        <x:v>78.3</x:v>
      </x:c>
      <x:c r="P400" t="n">
        <x:v>2</x:v>
      </x:c>
      <x:c r="Q400" t="str">
        <x:v>No incident</x:v>
      </x:c>
      <x:c r="R400" t="str">
        <x:v>N/A</x:v>
      </x:c>
      <x:c r="S400" t="str">
        <x:v>Inspection</x:v>
      </x:c>
      <x:c r="T400" t="n">
        <x:v>1.29</x:v>
      </x:c>
      <x:c r="U400" t="n">
        <x:v>12.5</x:v>
      </x:c>
      <x:c r="V400" t="n">
        <x:f>IFERROR(J400/I400*100,0)</x:f>
        <x:v>95.33096926713948</x:v>
      </x:c>
      <x:c r="W400" t="n">
        <x:f>IFERROR(K400/J400*100,0)</x:f>
        <x:v>2.8518288902665843</x:v>
      </x:c>
      <x:c r="X400" t="n">
        <x:f>IFERROR(H400/F400*100,0)</x:f>
        <x:v>6.041666666666667</x:v>
      </x:c>
      <x:c r="Y400" t="n">
        <x:f>J400-K400</x:f>
        <x:v>1567</x:v>
      </x:c>
      <x:c r="Z400" t="n">
        <x:f>MAX(0,MIN(100,(V400/100)*(1-X400/100)*(1-W400/100)*100))</x:f>
        <x:v>87.0169671000788</x:v>
      </x:c>
    </x:row>
    <x:row r="401">
      <x:c r="A401" s="12" t="n">
        <x:v>46160</x:v>
      </x:c>
      <x:c r="B401" t="str">
        <x:v>A</x:v>
      </x:c>
      <x:c r="C401" t="str">
        <x:v>Dried Mango</x:v>
      </x:c>
      <x:c r="D401" t="str">
        <x:v>Dryer 4</x:v>
      </x:c>
      <x:c r="E401" t="str">
        <x:v>Sup 2</x:v>
      </x:c>
      <x:c r="F401" t="n">
        <x:v>450</x:v>
      </x:c>
      <x:c r="G401" t="n">
        <x:v>40</x:v>
      </x:c>
      <x:c r="H401" t="n">
        <x:v>47</x:v>
      </x:c>
      <x:c r="I401" t="n">
        <x:v>1713</x:v>
      </x:c>
      <x:c r="J401" t="n">
        <x:v>1537</x:v>
      </x:c>
      <x:c r="K401" t="n">
        <x:v>51</x:v>
      </x:c>
      <x:c r="L401" t="n">
        <x:v>16</x:v>
      </x:c>
      <x:c r="M401" t="n">
        <x:v>100</x:v>
      </x:c>
      <x:c r="N401" t="n">
        <x:v>83</x:v>
      </x:c>
      <x:c r="O401" t="n">
        <x:v>68.5</x:v>
      </x:c>
      <x:c r="P401" t="n">
        <x:v>4</x:v>
      </x:c>
      <x:c r="Q401" t="str">
        <x:v>No incident</x:v>
      </x:c>
      <x:c r="R401" t="str">
        <x:v>N/A</x:v>
      </x:c>
      <x:c r="S401" t="str">
        <x:v>Corrective</x:v>
      </x:c>
      <x:c r="T401" t="n">
        <x:v>1.52</x:v>
      </x:c>
      <x:c r="U401" t="n">
        <x:v>14</x:v>
      </x:c>
      <x:c r="V401" t="n">
        <x:f>IFERROR(J401/I401*100,0)</x:f>
        <x:v>89.72562755399883</x:v>
      </x:c>
      <x:c r="W401" t="n">
        <x:f>IFERROR(K401/J401*100,0)</x:f>
        <x:v>3.318152244632401</x:v>
      </x:c>
      <x:c r="X401" t="n">
        <x:f>IFERROR(H401/F401*100,0)</x:f>
        <x:v>10.444444444444445</x:v>
      </x:c>
      <x:c r="Y401" t="n">
        <x:f>J401-K401</x:f>
        <x:v>1486</x:v>
      </x:c>
      <x:c r="Z401" t="n">
        <x:f>MAX(0,MIN(100,(V401/100)*(1-X401/100)*(1-W401/100)*100))</x:f>
        <x:v>77.68800674580008</x:v>
      </x:c>
    </x:row>
    <x:row r="402">
      <x:c r="A402" s="12" t="n">
        <x:v>46160</x:v>
      </x:c>
      <x:c r="B402" t="str">
        <x:v>B</x:v>
      </x:c>
      <x:c r="C402" t="str">
        <x:v>Dried Mango</x:v>
      </x:c>
      <x:c r="D402" t="str">
        <x:v>Dryer 3</x:v>
      </x:c>
      <x:c r="E402" t="str">
        <x:v>Sup 3</x:v>
      </x:c>
      <x:c r="F402" t="n">
        <x:v>450</x:v>
      </x:c>
      <x:c r="G402" t="n">
        <x:v>40</x:v>
      </x:c>
      <x:c r="H402" t="n">
        <x:v>68</x:v>
      </x:c>
      <x:c r="I402" t="n">
        <x:v>1625</x:v>
      </x:c>
      <x:c r="J402" t="n">
        <x:v>1307</x:v>
      </x:c>
      <x:c r="K402" t="n">
        <x:v>56</x:v>
      </x:c>
      <x:c r="L402" t="n">
        <x:v>14</x:v>
      </x:c>
      <x:c r="M402" t="n">
        <x:v>100</x:v>
      </x:c>
      <x:c r="N402" t="n">
        <x:v>69.3</x:v>
      </x:c>
      <x:c r="O402" t="n">
        <x:v>77.9</x:v>
      </x:c>
      <x:c r="P402" t="n">
        <x:v>3</x:v>
      </x:c>
      <x:c r="Q402" t="str">
        <x:v>No incident</x:v>
      </x:c>
      <x:c r="R402" t="str">
        <x:v>N/A</x:v>
      </x:c>
      <x:c r="S402" t="str">
        <x:v>Preventive</x:v>
      </x:c>
      <x:c r="T402" t="n">
        <x:v>1.07</x:v>
      </x:c>
      <x:c r="U402" t="n">
        <x:v>10</x:v>
      </x:c>
      <x:c r="V402" t="n">
        <x:f>IFERROR(J402/I402*100,0)</x:f>
        <x:v>80.43076923076923</x:v>
      </x:c>
      <x:c r="W402" t="n">
        <x:f>IFERROR(K402/J402*100,0)</x:f>
        <x:v>4.284621270084163</x:v>
      </x:c>
      <x:c r="X402" t="n">
        <x:f>IFERROR(H402/F402*100,0)</x:f>
        <x:v>15.11111111111111</x:v>
      </x:c>
      <x:c r="Y402" t="n">
        <x:f>J402-K402</x:f>
        <x:v>1251</x:v>
      </x:c>
      <x:c r="Z402" t="n">
        <x:f>MAX(0,MIN(100,(V402/100)*(1-X402/100)*(1-W402/100)*100))</x:f>
        <x:v>65.35138461538462</x:v>
      </x:c>
    </x:row>
    <x:row r="403">
      <x:c r="A403" s="12" t="n">
        <x:v>46160</x:v>
      </x:c>
      <x:c r="B403" t="str">
        <x:v>C</x:v>
      </x:c>
      <x:c r="C403" t="str">
        <x:v>Dried Pineapple</x:v>
      </x:c>
      <x:c r="D403" t="str">
        <x:v>Dryer 1</x:v>
      </x:c>
      <x:c r="E403" t="str">
        <x:v>Sup 3</x:v>
      </x:c>
      <x:c r="F403" t="n">
        <x:v>420</x:v>
      </x:c>
      <x:c r="G403" t="n">
        <x:v>20</x:v>
      </x:c>
      <x:c r="H403" t="n">
        <x:v>46</x:v>
      </x:c>
      <x:c r="I403" t="n">
        <x:v>1715</x:v>
      </x:c>
      <x:c r="J403" t="n">
        <x:v>1523</x:v>
      </x:c>
      <x:c r="K403" t="n">
        <x:v>52</x:v>
      </x:c>
      <x:c r="L403" t="n">
        <x:v>31</x:v>
      </x:c>
      <x:c r="M403" t="n">
        <x:v>92.3</x:v>
      </x:c>
      <x:c r="N403" t="n">
        <x:v>66.3</x:v>
      </x:c>
      <x:c r="O403" t="n">
        <x:v>94.8</x:v>
      </x:c>
      <x:c r="P403" t="n">
        <x:v>2</x:v>
      </x:c>
      <x:c r="Q403" t="str">
        <x:v>No incident</x:v>
      </x:c>
      <x:c r="R403" t="str">
        <x:v>N/A</x:v>
      </x:c>
      <x:c r="S403" t="str">
        <x:v>Corrective</x:v>
      </x:c>
      <x:c r="T403" t="n">
        <x:v>1.38</x:v>
      </x:c>
      <x:c r="U403" t="n">
        <x:v>13.3</x:v>
      </x:c>
      <x:c r="V403" t="n">
        <x:f>IFERROR(J403/I403*100,0)</x:f>
        <x:v>88.80466472303206</x:v>
      </x:c>
      <x:c r="W403" t="n">
        <x:f>IFERROR(K403/J403*100,0)</x:f>
        <x:v>3.4143138542350626</x:v>
      </x:c>
      <x:c r="X403" t="n">
        <x:f>IFERROR(H403/F403*100,0)</x:f>
        <x:v>10.952380952380953</x:v>
      </x:c>
      <x:c r="Y403" t="n">
        <x:f>J403-K403</x:f>
        <x:v>1471</x:v>
      </x:c>
      <x:c r="Z403" t="n">
        <x:f>MAX(0,MIN(100,(V403/100)*(1-X403/100)*(1-W403/100)*100))</x:f>
        <x:v>76.37845342218519</x:v>
      </x:c>
    </x:row>
    <x:row r="404">
      <x:c r="A404" s="12" t="n">
        <x:v>46161</x:v>
      </x:c>
      <x:c r="B404" t="str">
        <x:v>A</x:v>
      </x:c>
      <x:c r="C404" t="str">
        <x:v>Dried Pineapple</x:v>
      </x:c>
      <x:c r="D404" t="str">
        <x:v>Dryer 1</x:v>
      </x:c>
      <x:c r="E404" t="str">
        <x:v>Sup 2</x:v>
      </x:c>
      <x:c r="F404" t="n">
        <x:v>480</x:v>
      </x:c>
      <x:c r="G404" t="n">
        <x:v>20</x:v>
      </x:c>
      <x:c r="H404" t="n">
        <x:v>32</x:v>
      </x:c>
      <x:c r="I404" t="n">
        <x:v>1764</x:v>
      </x:c>
      <x:c r="J404" t="n">
        <x:v>1660</x:v>
      </x:c>
      <x:c r="K404" t="n">
        <x:v>65</x:v>
      </x:c>
      <x:c r="L404" t="n">
        <x:v>38</x:v>
      </x:c>
      <x:c r="M404" t="n">
        <x:v>96.5</x:v>
      </x:c>
      <x:c r="N404" t="n">
        <x:v>84.9</x:v>
      </x:c>
      <x:c r="O404" t="n">
        <x:v>68.9</x:v>
      </x:c>
      <x:c r="P404" t="n">
        <x:v>3</x:v>
      </x:c>
      <x:c r="Q404" t="str">
        <x:v>No incident</x:v>
      </x:c>
      <x:c r="R404" t="str">
        <x:v>N/A</x:v>
      </x:c>
      <x:c r="S404" t="str">
        <x:v>Inspection</x:v>
      </x:c>
      <x:c r="T404" t="n">
        <x:v>0.5</x:v>
      </x:c>
      <x:c r="U404" t="n">
        <x:v>13.9</x:v>
      </x:c>
      <x:c r="V404" t="n">
        <x:f>IFERROR(J404/I404*100,0)</x:f>
        <x:v>94.10430839002267</x:v>
      </x:c>
      <x:c r="W404" t="n">
        <x:f>IFERROR(K404/J404*100,0)</x:f>
        <x:v>3.91566265060241</x:v>
      </x:c>
      <x:c r="X404" t="n">
        <x:f>IFERROR(H404/F404*100,0)</x:f>
        <x:v>6.666666666666667</x:v>
      </x:c>
      <x:c r="Y404" t="n">
        <x:f>J404-K404</x:f>
        <x:v>1595</x:v>
      </x:c>
      <x:c r="Z404" t="n">
        <x:f>MAX(0,MIN(100,(V404/100)*(1-X404/100)*(1-W404/100)*100))</x:f>
        <x:v>84.39153439153438</x:v>
      </x:c>
    </x:row>
    <x:row r="405">
      <x:c r="A405" s="12" t="n">
        <x:v>46161</x:v>
      </x:c>
      <x:c r="B405" t="str">
        <x:v>B</x:v>
      </x:c>
      <x:c r="C405" t="str">
        <x:v>Desiccated Coconut</x:v>
      </x:c>
      <x:c r="D405" t="str">
        <x:v>Dryer 3</x:v>
      </x:c>
      <x:c r="E405" t="str">
        <x:v>Sup 3</x:v>
      </x:c>
      <x:c r="F405" t="n">
        <x:v>450</x:v>
      </x:c>
      <x:c r="G405" t="n">
        <x:v>40</x:v>
      </x:c>
      <x:c r="H405" t="n">
        <x:v>49</x:v>
      </x:c>
      <x:c r="I405" t="n">
        <x:v>1153</x:v>
      </x:c>
      <x:c r="J405" t="n">
        <x:v>1019</x:v>
      </x:c>
      <x:c r="K405" t="n">
        <x:v>43</x:v>
      </x:c>
      <x:c r="L405" t="n">
        <x:v>25</x:v>
      </x:c>
      <x:c r="M405" t="n">
        <x:v>96.5</x:v>
      </x:c>
      <x:c r="N405" t="n">
        <x:v>79.9</x:v>
      </x:c>
      <x:c r="O405" t="n">
        <x:v>77.7</x:v>
      </x:c>
      <x:c r="P405" t="n">
        <x:v>5</x:v>
      </x:c>
      <x:c r="Q405" t="str">
        <x:v>No incident</x:v>
      </x:c>
      <x:c r="R405" t="str">
        <x:v>N/A</x:v>
      </x:c>
      <x:c r="S405" t="str">
        <x:v>Inspection</x:v>
      </x:c>
      <x:c r="T405" t="n">
        <x:v>1.27</x:v>
      </x:c>
      <x:c r="U405" t="n">
        <x:v>8.5</x:v>
      </x:c>
      <x:c r="V405" t="n">
        <x:f>IFERROR(J405/I405*100,0)</x:f>
        <x:v>88.37814397224632</x:v>
      </x:c>
      <x:c r="W405" t="n">
        <x:f>IFERROR(K405/J405*100,0)</x:f>
        <x:v>4.2198233562316</x:v>
      </x:c>
      <x:c r="X405" t="n">
        <x:f>IFERROR(H405/F405*100,0)</x:f>
        <x:v>10.888888888888888</x:v>
      </x:c>
      <x:c r="Y405" t="n">
        <x:f>J405-K405</x:f>
        <x:v>976</x:v>
      </x:c>
      <x:c r="Z405" t="n">
        <x:f>MAX(0,MIN(100,(V405/100)*(1-X405/100)*(1-W405/100)*100))</x:f>
        <x:v>75.4314349041149</x:v>
      </x:c>
    </x:row>
    <x:row r="406">
      <x:c r="A406" s="12" t="n">
        <x:v>46161</x:v>
      </x:c>
      <x:c r="B406" t="str">
        <x:v>C</x:v>
      </x:c>
      <x:c r="C406" t="str">
        <x:v>Desiccated Coconut</x:v>
      </x:c>
      <x:c r="D406" t="str">
        <x:v>Dryer 1</x:v>
      </x:c>
      <x:c r="E406" t="str">
        <x:v>Sup 3</x:v>
      </x:c>
      <x:c r="F406" t="n">
        <x:v>450</x:v>
      </x:c>
      <x:c r="G406" t="n">
        <x:v>20</x:v>
      </x:c>
      <x:c r="H406" t="n">
        <x:v>27</x:v>
      </x:c>
      <x:c r="I406" t="n">
        <x:v>1118</x:v>
      </x:c>
      <x:c r="J406" t="n">
        <x:v>1035</x:v>
      </x:c>
      <x:c r="K406" t="n">
        <x:v>35</x:v>
      </x:c>
      <x:c r="L406" t="n">
        <x:v>12</x:v>
      </x:c>
      <x:c r="M406" t="n">
        <x:v>90</x:v>
      </x:c>
      <x:c r="N406" t="n">
        <x:v>74.6</x:v>
      </x:c>
      <x:c r="O406" t="n">
        <x:v>90.2</x:v>
      </x:c>
      <x:c r="P406" t="n">
        <x:v>1</x:v>
      </x:c>
      <x:c r="Q406" t="str">
        <x:v>No incident</x:v>
      </x:c>
      <x:c r="R406" t="str">
        <x:v>N/A</x:v>
      </x:c>
      <x:c r="S406" t="str">
        <x:v>Inspection</x:v>
      </x:c>
      <x:c r="T406" t="n">
        <x:v>0.96</x:v>
      </x:c>
      <x:c r="U406" t="n">
        <x:v>8.7</x:v>
      </x:c>
      <x:c r="V406" t="n">
        <x:f>IFERROR(J406/I406*100,0)</x:f>
        <x:v>92.57602862254025</x:v>
      </x:c>
      <x:c r="W406" t="n">
        <x:f>IFERROR(K406/J406*100,0)</x:f>
        <x:v>3.3816425120772946</x:v>
      </x:c>
      <x:c r="X406" t="n">
        <x:f>IFERROR(H406/F406*100,0)</x:f>
        <x:v>6</x:v>
      </x:c>
      <x:c r="Y406" t="n">
        <x:f>J406-K406</x:f>
        <x:v>1000</x:v>
      </x:c>
      <x:c r="Z406" t="n">
        <x:f>MAX(0,MIN(100,(V406/100)*(1-X406/100)*(1-W406/100)*100))</x:f>
        <x:v>84.07871198568871</x:v>
      </x:c>
    </x:row>
    <x:row r="407">
      <x:c r="A407" s="12" t="n">
        <x:v>46162</x:v>
      </x:c>
      <x:c r="B407" t="str">
        <x:v>A</x:v>
      </x:c>
      <x:c r="C407" t="str">
        <x:v>Dried Pineapple</x:v>
      </x:c>
      <x:c r="D407" t="str">
        <x:v>Dryer 3</x:v>
      </x:c>
      <x:c r="E407" t="str">
        <x:v>Sup 1</x:v>
      </x:c>
      <x:c r="F407" t="n">
        <x:v>480</x:v>
      </x:c>
      <x:c r="G407" t="n">
        <x:v>30</x:v>
      </x:c>
      <x:c r="H407" t="n">
        <x:v>48</x:v>
      </x:c>
      <x:c r="I407" t="n">
        <x:v>1646</x:v>
      </x:c>
      <x:c r="J407" t="n">
        <x:v>1365</x:v>
      </x:c>
      <x:c r="K407" t="n">
        <x:v>46</x:v>
      </x:c>
      <x:c r="L407" t="n">
        <x:v>14</x:v>
      </x:c>
      <x:c r="M407" t="n">
        <x:v>93.8</x:v>
      </x:c>
      <x:c r="N407" t="n">
        <x:v>76.4</x:v>
      </x:c>
      <x:c r="O407" t="n">
        <x:v>76.2</x:v>
      </x:c>
      <x:c r="P407" t="n">
        <x:v>3</x:v>
      </x:c>
      <x:c r="Q407" t="str">
        <x:v>Near miss</x:v>
      </x:c>
      <x:c r="R407" t="str">
        <x:v>Closed</x:v>
      </x:c>
      <x:c r="S407" t="str">
        <x:v>Corrective</x:v>
      </x:c>
      <x:c r="T407" t="n">
        <x:v>1.05</x:v>
      </x:c>
      <x:c r="U407" t="n">
        <x:v>11.7</x:v>
      </x:c>
      <x:c r="V407" t="n">
        <x:f>IFERROR(J407/I407*100,0)</x:f>
        <x:v>82.92831105710815</x:v>
      </x:c>
      <x:c r="W407" t="n">
        <x:f>IFERROR(K407/J407*100,0)</x:f>
        <x:v>3.36996336996337</x:v>
      </x:c>
      <x:c r="X407" t="n">
        <x:f>IFERROR(H407/F407*100,0)</x:f>
        <x:v>10</x:v>
      </x:c>
      <x:c r="Y407" t="n">
        <x:f>J407-K407</x:f>
        <x:v>1319</x:v>
      </x:c>
      <x:c r="Z407" t="n">
        <x:f>MAX(0,MIN(100,(V407/100)*(1-X407/100)*(1-W407/100)*100))</x:f>
        <x:v>72.12029161603888</x:v>
      </x:c>
    </x:row>
    <x:row r="408">
      <x:c r="A408" s="12" t="n">
        <x:v>46162</x:v>
      </x:c>
      <x:c r="B408" t="str">
        <x:v>B</x:v>
      </x:c>
      <x:c r="C408" t="str">
        <x:v>Desiccated Coconut</x:v>
      </x:c>
      <x:c r="D408" t="str">
        <x:v>Dryer 1</x:v>
      </x:c>
      <x:c r="E408" t="str">
        <x:v>Sup 2</x:v>
      </x:c>
      <x:c r="F408" t="n">
        <x:v>480</x:v>
      </x:c>
      <x:c r="G408" t="n">
        <x:v>30</x:v>
      </x:c>
      <x:c r="H408" t="n">
        <x:v>25</x:v>
      </x:c>
      <x:c r="I408" t="n">
        <x:v>1288</x:v>
      </x:c>
      <x:c r="J408" t="n">
        <x:v>1095</x:v>
      </x:c>
      <x:c r="K408" t="n">
        <x:v>40</x:v>
      </x:c>
      <x:c r="L408" t="n">
        <x:v>14</x:v>
      </x:c>
      <x:c r="M408" t="n">
        <x:v>93.9</x:v>
      </x:c>
      <x:c r="N408" t="n">
        <x:v>79.3</x:v>
      </x:c>
      <x:c r="O408" t="n">
        <x:v>77.4</x:v>
      </x:c>
      <x:c r="P408" t="n">
        <x:v>3</x:v>
      </x:c>
      <x:c r="Q408" t="str">
        <x:v>No incident</x:v>
      </x:c>
      <x:c r="R408" t="str">
        <x:v>N/A</x:v>
      </x:c>
      <x:c r="S408" t="str">
        <x:v>Inspection</x:v>
      </x:c>
      <x:c r="T408" t="n">
        <x:v>0.84</x:v>
      </x:c>
      <x:c r="U408" t="n">
        <x:v>8.5</x:v>
      </x:c>
      <x:c r="V408" t="n">
        <x:f>IFERROR(J408/I408*100,0)</x:f>
        <x:v>85.01552795031056</x:v>
      </x:c>
      <x:c r="W408" t="n">
        <x:f>IFERROR(K408/J408*100,0)</x:f>
        <x:v>3.65296803652968</x:v>
      </x:c>
      <x:c r="X408" t="n">
        <x:f>IFERROR(H408/F408*100,0)</x:f>
        <x:v>5.208333333333334</x:v>
      </x:c>
      <x:c r="Y408" t="n">
        <x:f>J408-K408</x:f>
        <x:v>1055</x:v>
      </x:c>
      <x:c r="Z408" t="n">
        <x:f>MAX(0,MIN(100,(V408/100)*(1-X408/100)*(1-W408/100)*100))</x:f>
        <x:v>77.64379528985506</x:v>
      </x:c>
    </x:row>
    <x:row r="409">
      <x:c r="A409" s="12" t="n">
        <x:v>46162</x:v>
      </x:c>
      <x:c r="B409" t="str">
        <x:v>C</x:v>
      </x:c>
      <x:c r="C409" t="str">
        <x:v>Dried Mango</x:v>
      </x:c>
      <x:c r="D409" t="str">
        <x:v>Dryer 2</x:v>
      </x:c>
      <x:c r="E409" t="str">
        <x:v>Sup 2</x:v>
      </x:c>
      <x:c r="F409" t="n">
        <x:v>480</x:v>
      </x:c>
      <x:c r="G409" t="n">
        <x:v>30</x:v>
      </x:c>
      <x:c r="H409" t="n">
        <x:v>49</x:v>
      </x:c>
      <x:c r="I409" t="n">
        <x:v>1731</x:v>
      </x:c>
      <x:c r="J409" t="n">
        <x:v>1522</x:v>
      </x:c>
      <x:c r="K409" t="n">
        <x:v>52</x:v>
      </x:c>
      <x:c r="L409" t="n">
        <x:v>23</x:v>
      </x:c>
      <x:c r="M409" t="n">
        <x:v>88.6</x:v>
      </x:c>
      <x:c r="N409" t="n">
        <x:v>75.3</x:v>
      </x:c>
      <x:c r="O409" t="n">
        <x:v>66</x:v>
      </x:c>
      <x:c r="P409" t="n">
        <x:v>4</x:v>
      </x:c>
      <x:c r="Q409" t="str">
        <x:v>Near miss</x:v>
      </x:c>
      <x:c r="R409" t="str">
        <x:v>Closed</x:v>
      </x:c>
      <x:c r="S409" t="str">
        <x:v>Corrective</x:v>
      </x:c>
      <x:c r="T409" t="n">
        <x:v>2.09</x:v>
      </x:c>
      <x:c r="U409" t="n">
        <x:v>12.5</x:v>
      </x:c>
      <x:c r="V409" t="n">
        <x:f>IFERROR(J409/I409*100,0)</x:f>
        <x:v>87.92605430387059</x:v>
      </x:c>
      <x:c r="W409" t="n">
        <x:f>IFERROR(K409/J409*100,0)</x:f>
        <x:v>3.416557161629435</x:v>
      </x:c>
      <x:c r="X409" t="n">
        <x:f>IFERROR(H409/F409*100,0)</x:f>
        <x:v>10.208333333333334</x:v>
      </x:c>
      <x:c r="Y409" t="n">
        <x:f>J409-K409</x:f>
        <x:v>1470</x:v>
      </x:c>
      <x:c r="Z409" t="n">
        <x:f>MAX(0,MIN(100,(V409/100)*(1-X409/100)*(1-W409/100)*100))</x:f>
        <x:v>76.25288850375506</x:v>
      </x:c>
    </x:row>
    <x:row r="410">
      <x:c r="A410" s="12" t="n">
        <x:v>46163</x:v>
      </x:c>
      <x:c r="B410" t="str">
        <x:v>A</x:v>
      </x:c>
      <x:c r="C410" t="str">
        <x:v>Desiccated Coconut</x:v>
      </x:c>
      <x:c r="D410" t="str">
        <x:v>Dryer 4</x:v>
      </x:c>
      <x:c r="E410" t="str">
        <x:v>Sup 3</x:v>
      </x:c>
      <x:c r="F410" t="n">
        <x:v>480</x:v>
      </x:c>
      <x:c r="G410" t="n">
        <x:v>20</x:v>
      </x:c>
      <x:c r="H410" t="n">
        <x:v>64</x:v>
      </x:c>
      <x:c r="I410" t="n">
        <x:v>1125</x:v>
      </x:c>
      <x:c r="J410" t="n">
        <x:v>890</x:v>
      </x:c>
      <x:c r="K410" t="n">
        <x:v>21</x:v>
      </x:c>
      <x:c r="L410" t="n">
        <x:v>14</x:v>
      </x:c>
      <x:c r="M410" t="n">
        <x:v>95.5</x:v>
      </x:c>
      <x:c r="N410" t="n">
        <x:v>68.7</x:v>
      </x:c>
      <x:c r="O410" t="n">
        <x:v>77.5</x:v>
      </x:c>
      <x:c r="P410" t="n">
        <x:v>5</x:v>
      </x:c>
      <x:c r="Q410" t="str">
        <x:v>No incident</x:v>
      </x:c>
      <x:c r="R410" t="str">
        <x:v>N/A</x:v>
      </x:c>
      <x:c r="S410" t="str">
        <x:v>Inspection</x:v>
      </x:c>
      <x:c r="T410" t="n">
        <x:v>1.24</x:v>
      </x:c>
      <x:c r="U410" t="n">
        <x:v>6.8</x:v>
      </x:c>
      <x:c r="V410" t="n">
        <x:f>IFERROR(J410/I410*100,0)</x:f>
        <x:v>79.11111111111111</x:v>
      </x:c>
      <x:c r="W410" t="n">
        <x:f>IFERROR(K410/J410*100,0)</x:f>
        <x:v>2.359550561797753</x:v>
      </x:c>
      <x:c r="X410" t="n">
        <x:f>IFERROR(H410/F410*100,0)</x:f>
        <x:v>13.333333333333334</x:v>
      </x:c>
      <x:c r="Y410" t="n">
        <x:f>J410-K410</x:f>
        <x:v>869</x:v>
      </x:c>
      <x:c r="Z410" t="n">
        <x:f>MAX(0,MIN(100,(V410/100)*(1-X410/100)*(1-W410/100)*100))</x:f>
        <x:v>66.94518518518518</x:v>
      </x:c>
    </x:row>
    <x:row r="411">
      <x:c r="A411" s="12" t="n">
        <x:v>46163</x:v>
      </x:c>
      <x:c r="B411" t="str">
        <x:v>B</x:v>
      </x:c>
      <x:c r="C411" t="str">
        <x:v>Dried Mango</x:v>
      </x:c>
      <x:c r="D411" t="str">
        <x:v>Dryer 4</x:v>
      </x:c>
      <x:c r="E411" t="str">
        <x:v>Sup 1</x:v>
      </x:c>
      <x:c r="F411" t="n">
        <x:v>420</x:v>
      </x:c>
      <x:c r="G411" t="n">
        <x:v>30</x:v>
      </x:c>
      <x:c r="H411" t="n">
        <x:v>56</x:v>
      </x:c>
      <x:c r="I411" t="n">
        <x:v>1603</x:v>
      </x:c>
      <x:c r="J411" t="n">
        <x:v>1251</x:v>
      </x:c>
      <x:c r="K411" t="n">
        <x:v>37</x:v>
      </x:c>
      <x:c r="L411" t="n">
        <x:v>12</x:v>
      </x:c>
      <x:c r="M411" t="n">
        <x:v>83.5</x:v>
      </x:c>
      <x:c r="N411" t="n">
        <x:v>80.4</x:v>
      </x:c>
      <x:c r="O411" t="n">
        <x:v>78.2</x:v>
      </x:c>
      <x:c r="P411" t="n">
        <x:v>4</x:v>
      </x:c>
      <x:c r="Q411" t="str">
        <x:v>First aid</x:v>
      </x:c>
      <x:c r="R411" t="str">
        <x:v>Open</x:v>
      </x:c>
      <x:c r="S411" t="str">
        <x:v>Inspection</x:v>
      </x:c>
      <x:c r="T411" t="n">
        <x:v>0.73</x:v>
      </x:c>
      <x:c r="U411" t="n">
        <x:v>10.1</x:v>
      </x:c>
      <x:c r="V411" t="n">
        <x:f>IFERROR(J411/I411*100,0)</x:f>
        <x:v>78.04117280099813</x:v>
      </x:c>
      <x:c r="W411" t="n">
        <x:f>IFERROR(K411/J411*100,0)</x:f>
        <x:v>2.9576338928856916</x:v>
      </x:c>
      <x:c r="X411" t="n">
        <x:f>IFERROR(H411/F411*100,0)</x:f>
        <x:v>13.333333333333334</x:v>
      </x:c>
      <x:c r="Y411" t="n">
        <x:f>J411-K411</x:f>
        <x:v>1214</x:v>
      </x:c>
      <x:c r="Z411" t="n">
        <x:f>MAX(0,MIN(100,(V411/100)*(1-X411/100)*(1-W411/100)*100))</x:f>
        <x:v>65.6352672073196</x:v>
      </x:c>
    </x:row>
    <x:row r="412">
      <x:c r="A412" s="12" t="n">
        <x:v>46163</x:v>
      </x:c>
      <x:c r="B412" t="str">
        <x:v>C</x:v>
      </x:c>
      <x:c r="C412" t="str">
        <x:v>Dried Pineapple</x:v>
      </x:c>
      <x:c r="D412" t="str">
        <x:v>Dryer 3</x:v>
      </x:c>
      <x:c r="E412" t="str">
        <x:v>Sup 1</x:v>
      </x:c>
      <x:c r="F412" t="n">
        <x:v>420</x:v>
      </x:c>
      <x:c r="G412" t="n">
        <x:v>30</x:v>
      </x:c>
      <x:c r="H412" t="n">
        <x:v>99</x:v>
      </x:c>
      <x:c r="I412" t="n">
        <x:v>1856</x:v>
      </x:c>
      <x:c r="J412" t="n">
        <x:v>1380</x:v>
      </x:c>
      <x:c r="K412" t="n">
        <x:v>63</x:v>
      </x:c>
      <x:c r="L412" t="n">
        <x:v>19</x:v>
      </x:c>
      <x:c r="M412" t="n">
        <x:v>88.6</x:v>
      </x:c>
      <x:c r="N412" t="n">
        <x:v>72.1</x:v>
      </x:c>
      <x:c r="O412" t="n">
        <x:v>66.5</x:v>
      </x:c>
      <x:c r="P412" t="n">
        <x:v>6</x:v>
      </x:c>
      <x:c r="Q412" t="str">
        <x:v>No incident</x:v>
      </x:c>
      <x:c r="R412" t="str">
        <x:v>N/A</x:v>
      </x:c>
      <x:c r="S412" t="str">
        <x:v>Inspection</x:v>
      </x:c>
      <x:c r="T412" t="n">
        <x:v>1.03</x:v>
      </x:c>
      <x:c r="U412" t="n">
        <x:v>12.7</x:v>
      </x:c>
      <x:c r="V412" t="n">
        <x:f>IFERROR(J412/I412*100,0)</x:f>
        <x:v>74.35344827586206</x:v>
      </x:c>
      <x:c r="W412" t="n">
        <x:f>IFERROR(K412/J412*100,0)</x:f>
        <x:v>4.565217391304348</x:v>
      </x:c>
      <x:c r="X412" t="n">
        <x:f>IFERROR(H412/F412*100,0)</x:f>
        <x:v>23.57142857142857</x:v>
      </x:c>
      <x:c r="Y412" t="n">
        <x:f>J412-K412</x:f>
        <x:v>1317</x:v>
      </x:c>
      <x:c r="Z412" t="n">
        <x:f>MAX(0,MIN(100,(V412/100)*(1-X412/100)*(1-W412/100)*100))</x:f>
        <x:v>54.2329895320197</x:v>
      </x:c>
    </x:row>
    <x:row r="413">
      <x:c r="A413" s="12" t="n">
        <x:v>46164</x:v>
      </x:c>
      <x:c r="B413" t="str">
        <x:v>A</x:v>
      </x:c>
      <x:c r="C413" t="str">
        <x:v>Desiccated Coconut</x:v>
      </x:c>
      <x:c r="D413" t="str">
        <x:v>Dryer 3</x:v>
      </x:c>
      <x:c r="E413" t="str">
        <x:v>Sup 2</x:v>
      </x:c>
      <x:c r="F413" t="n">
        <x:v>480</x:v>
      </x:c>
      <x:c r="G413" t="n">
        <x:v>20</x:v>
      </x:c>
      <x:c r="H413" t="n">
        <x:v>59</x:v>
      </x:c>
      <x:c r="I413" t="n">
        <x:v>1158</x:v>
      </x:c>
      <x:c r="J413" t="n">
        <x:v>953</x:v>
      </x:c>
      <x:c r="K413" t="n">
        <x:v>41</x:v>
      </x:c>
      <x:c r="L413" t="n">
        <x:v>18</x:v>
      </x:c>
      <x:c r="M413" t="n">
        <x:v>89.6</x:v>
      </x:c>
      <x:c r="N413" t="n">
        <x:v>86.5</x:v>
      </x:c>
      <x:c r="O413" t="n">
        <x:v>68.4</x:v>
      </x:c>
      <x:c r="P413" t="n">
        <x:v>1</x:v>
      </x:c>
      <x:c r="Q413" t="str">
        <x:v>Near miss</x:v>
      </x:c>
      <x:c r="R413" t="str">
        <x:v>Closed</x:v>
      </x:c>
      <x:c r="S413" t="str">
        <x:v>Inspection</x:v>
      </x:c>
      <x:c r="T413" t="n">
        <x:v>0.52</x:v>
      </x:c>
      <x:c r="U413" t="n">
        <x:v>7.7</x:v>
      </x:c>
      <x:c r="V413" t="n">
        <x:f>IFERROR(J413/I413*100,0)</x:f>
        <x:v>82.29706390328153</x:v>
      </x:c>
      <x:c r="W413" t="n">
        <x:f>IFERROR(K413/J413*100,0)</x:f>
        <x:v>4.3022035676810075</x:v>
      </x:c>
      <x:c r="X413" t="n">
        <x:f>IFERROR(H413/F413*100,0)</x:f>
        <x:v>12.291666666666666</x:v>
      </x:c>
      <x:c r="Y413" t="n">
        <x:f>J413-K413</x:f>
        <x:v>912</x:v>
      </x:c>
      <x:c r="Z413" t="n">
        <x:f>MAX(0,MIN(100,(V413/100)*(1-X413/100)*(1-W413/100)*100))</x:f>
        <x:v>69.07599309153713</x:v>
      </x:c>
    </x:row>
    <x:row r="414">
      <x:c r="A414" s="12" t="n">
        <x:v>46164</x:v>
      </x:c>
      <x:c r="B414" t="str">
        <x:v>B</x:v>
      </x:c>
      <x:c r="C414" t="str">
        <x:v>Desiccated Coconut</x:v>
      </x:c>
      <x:c r="D414" t="str">
        <x:v>Dryer 1</x:v>
      </x:c>
      <x:c r="E414" t="str">
        <x:v>Sup 3</x:v>
      </x:c>
      <x:c r="F414" t="n">
        <x:v>480</x:v>
      </x:c>
      <x:c r="G414" t="n">
        <x:v>0</x:v>
      </x:c>
      <x:c r="H414" t="n">
        <x:v>20</x:v>
      </x:c>
      <x:c r="I414" t="n">
        <x:v>1255</x:v>
      </x:c>
      <x:c r="J414" t="n">
        <x:v>1140</x:v>
      </x:c>
      <x:c r="K414" t="n">
        <x:v>41</x:v>
      </x:c>
      <x:c r="L414" t="n">
        <x:v>19</x:v>
      </x:c>
      <x:c r="M414" t="n">
        <x:v>89.8</x:v>
      </x:c>
      <x:c r="N414" t="n">
        <x:v>73.9</x:v>
      </x:c>
      <x:c r="O414" t="n">
        <x:v>72.9</x:v>
      </x:c>
      <x:c r="P414" t="n">
        <x:v>2</x:v>
      </x:c>
      <x:c r="Q414" t="str">
        <x:v>No incident</x:v>
      </x:c>
      <x:c r="R414" t="str">
        <x:v>N/A</x:v>
      </x:c>
      <x:c r="S414" t="str">
        <x:v>Preventive</x:v>
      </x:c>
      <x:c r="T414" t="n">
        <x:v>0.5</x:v>
      </x:c>
      <x:c r="U414" t="n">
        <x:v>9.7</x:v>
      </x:c>
      <x:c r="V414" t="n">
        <x:f>IFERROR(J414/I414*100,0)</x:f>
        <x:v>90.83665338645417</x:v>
      </x:c>
      <x:c r="W414" t="n">
        <x:f>IFERROR(K414/J414*100,0)</x:f>
        <x:v>3.5964912280701755</x:v>
      </x:c>
      <x:c r="X414" t="n">
        <x:f>IFERROR(H414/F414*100,0)</x:f>
        <x:v>4.166666666666666</x:v>
      </x:c>
      <x:c r="Y414" t="n">
        <x:f>J414-K414</x:f>
        <x:v>1099</x:v>
      </x:c>
      <x:c r="Z414" t="n">
        <x:f>MAX(0,MIN(100,(V414/100)*(1-X414/100)*(1-W414/100)*100))</x:f>
        <x:v>83.92098273572375</x:v>
      </x:c>
    </x:row>
    <x:row r="415">
      <x:c r="A415" s="12" t="n">
        <x:v>46164</x:v>
      </x:c>
      <x:c r="B415" t="str">
        <x:v>C</x:v>
      </x:c>
      <x:c r="C415" t="str">
        <x:v>Dried Mango</x:v>
      </x:c>
      <x:c r="D415" t="str">
        <x:v>Dryer 1</x:v>
      </x:c>
      <x:c r="E415" t="str">
        <x:v>Sup 3</x:v>
      </x:c>
      <x:c r="F415" t="n">
        <x:v>480</x:v>
      </x:c>
      <x:c r="G415" t="n">
        <x:v>20</x:v>
      </x:c>
      <x:c r="H415" t="n">
        <x:v>71</x:v>
      </x:c>
      <x:c r="I415" t="n">
        <x:v>1724</x:v>
      </x:c>
      <x:c r="J415" t="n">
        <x:v>1353</x:v>
      </x:c>
      <x:c r="K415" t="n">
        <x:v>43</x:v>
      </x:c>
      <x:c r="L415" t="n">
        <x:v>10</x:v>
      </x:c>
      <x:c r="M415" t="n">
        <x:v>86.1</x:v>
      </x:c>
      <x:c r="N415" t="n">
        <x:v>87.7</x:v>
      </x:c>
      <x:c r="O415" t="n">
        <x:v>72.6</x:v>
      </x:c>
      <x:c r="P415" t="n">
        <x:v>5</x:v>
      </x:c>
      <x:c r="Q415" t="str">
        <x:v>No incident</x:v>
      </x:c>
      <x:c r="R415" t="str">
        <x:v>N/A</x:v>
      </x:c>
      <x:c r="S415" t="str">
        <x:v>Corrective</x:v>
      </x:c>
      <x:c r="T415" t="n">
        <x:v>1.69</x:v>
      </x:c>
      <x:c r="U415" t="n">
        <x:v>10.7</x:v>
      </x:c>
      <x:c r="V415" t="n">
        <x:f>IFERROR(J415/I415*100,0)</x:f>
        <x:v>78.48027842227378</x:v>
      </x:c>
      <x:c r="W415" t="n">
        <x:f>IFERROR(K415/J415*100,0)</x:f>
        <x:v>3.1781226903178124</x:v>
      </x:c>
      <x:c r="X415" t="n">
        <x:f>IFERROR(H415/F415*100,0)</x:f>
        <x:v>14.791666666666666</x:v>
      </x:c>
      <x:c r="Y415" t="n">
        <x:f>J415-K415</x:f>
        <x:v>1310</x:v>
      </x:c>
      <x:c r="Z415" t="n">
        <x:f>MAX(0,MIN(100,(V415/100)*(1-X415/100)*(1-W415/100)*100))</x:f>
        <x:v>64.74647138437743</x:v>
      </x:c>
    </x:row>
    <x:row r="416">
      <x:c r="A416" s="12" t="n">
        <x:v>46165</x:v>
      </x:c>
      <x:c r="B416" t="str">
        <x:v>A</x:v>
      </x:c>
      <x:c r="C416" t="str">
        <x:v>Dried Pineapple</x:v>
      </x:c>
      <x:c r="D416" t="str">
        <x:v>Dryer 2</x:v>
      </x:c>
      <x:c r="E416" t="str">
        <x:v>Sup 3</x:v>
      </x:c>
      <x:c r="F416" t="n">
        <x:v>480</x:v>
      </x:c>
      <x:c r="G416" t="n">
        <x:v>30</x:v>
      </x:c>
      <x:c r="H416" t="n">
        <x:v>54</x:v>
      </x:c>
      <x:c r="I416" t="n">
        <x:v>1843</x:v>
      </x:c>
      <x:c r="J416" t="n">
        <x:v>1631</x:v>
      </x:c>
      <x:c r="K416" t="n">
        <x:v>46</x:v>
      </x:c>
      <x:c r="L416" t="n">
        <x:v>25</x:v>
      </x:c>
      <x:c r="M416" t="n">
        <x:v>86.6</x:v>
      </x:c>
      <x:c r="N416" t="n">
        <x:v>59.2</x:v>
      </x:c>
      <x:c r="O416" t="n">
        <x:v>77.4</x:v>
      </x:c>
      <x:c r="P416" t="n">
        <x:v>3</x:v>
      </x:c>
      <x:c r="Q416" t="str">
        <x:v>No incident</x:v>
      </x:c>
      <x:c r="R416" t="str">
        <x:v>N/A</x:v>
      </x:c>
      <x:c r="S416" t="str">
        <x:v>Corrective</x:v>
      </x:c>
      <x:c r="T416" t="n">
        <x:v>0.74</x:v>
      </x:c>
      <x:c r="U416" t="n">
        <x:v>14.2</x:v>
      </x:c>
      <x:c r="V416" t="n">
        <x:f>IFERROR(J416/I416*100,0)</x:f>
        <x:v>88.49701573521432</x:v>
      </x:c>
      <x:c r="W416" t="n">
        <x:f>IFERROR(K416/J416*100,0)</x:f>
        <x:v>2.8203556100551808</x:v>
      </x:c>
      <x:c r="X416" t="n">
        <x:f>IFERROR(H416/F416*100,0)</x:f>
        <x:v>11.25</x:v>
      </x:c>
      <x:c r="Y416" t="n">
        <x:f>J416-K416</x:f>
        <x:v>1585</x:v>
      </x:c>
      <x:c r="Z416" t="n">
        <x:f>MAX(0,MIN(100,(V416/100)*(1-X416/100)*(1-W416/100)*100))</x:f>
        <x:v>76.32596310363537</x:v>
      </x:c>
    </x:row>
    <x:row r="417">
      <x:c r="A417" s="12" t="n">
        <x:v>46165</x:v>
      </x:c>
      <x:c r="B417" t="str">
        <x:v>B</x:v>
      </x:c>
      <x:c r="C417" t="str">
        <x:v>Desiccated Coconut</x:v>
      </x:c>
      <x:c r="D417" t="str">
        <x:v>Dryer 3</x:v>
      </x:c>
      <x:c r="E417" t="str">
        <x:v>Sup 1</x:v>
      </x:c>
      <x:c r="F417" t="n">
        <x:v>450</x:v>
      </x:c>
      <x:c r="G417" t="n">
        <x:v>0</x:v>
      </x:c>
      <x:c r="H417" t="n">
        <x:v>56</x:v>
      </x:c>
      <x:c r="I417" t="n">
        <x:v>1139</x:v>
      </x:c>
      <x:c r="J417" t="n">
        <x:v>978</x:v>
      </x:c>
      <x:c r="K417" t="n">
        <x:v>30</x:v>
      </x:c>
      <x:c r="L417" t="n">
        <x:v>12</x:v>
      </x:c>
      <x:c r="M417" t="n">
        <x:v>88.1</x:v>
      </x:c>
      <x:c r="N417" t="n">
        <x:v>86.4</x:v>
      </x:c>
      <x:c r="O417" t="n">
        <x:v>68.3</x:v>
      </x:c>
      <x:c r="P417" t="n">
        <x:v>1</x:v>
      </x:c>
      <x:c r="Q417" t="str">
        <x:v>No incident</x:v>
      </x:c>
      <x:c r="R417" t="str">
        <x:v>N/A</x:v>
      </x:c>
      <x:c r="S417" t="str">
        <x:v>Corrective</x:v>
      </x:c>
      <x:c r="T417" t="n">
        <x:v>0.86</x:v>
      </x:c>
      <x:c r="U417" t="n">
        <x:v>8.9</x:v>
      </x:c>
      <x:c r="V417" t="n">
        <x:f>IFERROR(J417/I417*100,0)</x:f>
        <x:v>85.86479367866549</x:v>
      </x:c>
      <x:c r="W417" t="n">
        <x:f>IFERROR(K417/J417*100,0)</x:f>
        <x:v>3.067484662576687</x:v>
      </x:c>
      <x:c r="X417" t="n">
        <x:f>IFERROR(H417/F417*100,0)</x:f>
        <x:v>12.444444444444445</x:v>
      </x:c>
      <x:c r="Y417" t="n">
        <x:f>J417-K417</x:f>
        <x:v>948</x:v>
      </x:c>
      <x:c r="Z417" t="n">
        <x:f>MAX(0,MIN(100,(V417/100)*(1-X417/100)*(1-W417/100)*100))</x:f>
        <x:v>72.8732806555458</x:v>
      </x:c>
    </x:row>
    <x:row r="418">
      <x:c r="A418" s="12" t="n">
        <x:v>46165</x:v>
      </x:c>
      <x:c r="B418" t="str">
        <x:v>C</x:v>
      </x:c>
      <x:c r="C418" t="str">
        <x:v>Desiccated Coconut</x:v>
      </x:c>
      <x:c r="D418" t="str">
        <x:v>Dryer 1</x:v>
      </x:c>
      <x:c r="E418" t="str">
        <x:v>Sup 2</x:v>
      </x:c>
      <x:c r="F418" t="n">
        <x:v>420</x:v>
      </x:c>
      <x:c r="G418" t="n">
        <x:v>30</x:v>
      </x:c>
      <x:c r="H418" t="n">
        <x:v>36</x:v>
      </x:c>
      <x:c r="I418" t="n">
        <x:v>1233</x:v>
      </x:c>
      <x:c r="J418" t="n">
        <x:v>1084</x:v>
      </x:c>
      <x:c r="K418" t="n">
        <x:v>21</x:v>
      </x:c>
      <x:c r="L418" t="n">
        <x:v>7</x:v>
      </x:c>
      <x:c r="M418" t="n">
        <x:v>82.4</x:v>
      </x:c>
      <x:c r="N418" t="n">
        <x:v>65</x:v>
      </x:c>
      <x:c r="O418" t="n">
        <x:v>81.2</x:v>
      </x:c>
      <x:c r="P418" t="n">
        <x:v>5</x:v>
      </x:c>
      <x:c r="Q418" t="str">
        <x:v>No incident</x:v>
      </x:c>
      <x:c r="R418" t="str">
        <x:v>N/A</x:v>
      </x:c>
      <x:c r="S418" t="str">
        <x:v>Preventive</x:v>
      </x:c>
      <x:c r="T418" t="n">
        <x:v>0.5</x:v>
      </x:c>
      <x:c r="U418" t="n">
        <x:v>8.8</x:v>
      </x:c>
      <x:c r="V418" t="n">
        <x:f>IFERROR(J418/I418*100,0)</x:f>
        <x:v>87.91565287915653</x:v>
      </x:c>
      <x:c r="W418" t="n">
        <x:f>IFERROR(K418/J418*100,0)</x:f>
        <x:v>1.9372693726937271</x:v>
      </x:c>
      <x:c r="X418" t="n">
        <x:f>IFERROR(H418/F418*100,0)</x:f>
        <x:v>8.571428571428571</x:v>
      </x:c>
      <x:c r="Y418" t="n">
        <x:f>J418-K418</x:f>
        <x:v>1063</x:v>
      </x:c>
      <x:c r="Z418" t="n">
        <x:f>MAX(0,MIN(100,(V418/100)*(1-X418/100)*(1-W418/100)*100))</x:f>
        <x:v>78.82284787394276</x:v>
      </x:c>
    </x:row>
    <x:row r="419">
      <x:c r="A419" s="12" t="n">
        <x:v>46166</x:v>
      </x:c>
      <x:c r="B419" t="str">
        <x:v>A</x:v>
      </x:c>
      <x:c r="C419" t="str">
        <x:v>Dried Mango</x:v>
      </x:c>
      <x:c r="D419" t="str">
        <x:v>Dryer 1</x:v>
      </x:c>
      <x:c r="E419" t="str">
        <x:v>Sup 2</x:v>
      </x:c>
      <x:c r="F419" t="n">
        <x:v>450</x:v>
      </x:c>
      <x:c r="G419" t="n">
        <x:v>0</x:v>
      </x:c>
      <x:c r="H419" t="n">
        <x:v>37</x:v>
      </x:c>
      <x:c r="I419" t="n">
        <x:v>1654</x:v>
      </x:c>
      <x:c r="J419" t="n">
        <x:v>1465</x:v>
      </x:c>
      <x:c r="K419" t="n">
        <x:v>41</x:v>
      </x:c>
      <x:c r="L419" t="n">
        <x:v>8</x:v>
      </x:c>
      <x:c r="M419" t="n">
        <x:v>85.4</x:v>
      </x:c>
      <x:c r="N419" t="n">
        <x:v>79.6</x:v>
      </x:c>
      <x:c r="O419" t="n">
        <x:v>76.9</x:v>
      </x:c>
      <x:c r="P419" t="n">
        <x:v>2</x:v>
      </x:c>
      <x:c r="Q419" t="str">
        <x:v>Near miss</x:v>
      </x:c>
      <x:c r="R419" t="str">
        <x:v>In progress</x:v>
      </x:c>
      <x:c r="S419" t="str">
        <x:v>Inspection</x:v>
      </x:c>
      <x:c r="T419" t="n">
        <x:v>0.52</x:v>
      </x:c>
      <x:c r="U419" t="n">
        <x:v>12.8</x:v>
      </x:c>
      <x:c r="V419" t="n">
        <x:f>IFERROR(J419/I419*100,0)</x:f>
        <x:v>88.57315598548972</x:v>
      </x:c>
      <x:c r="W419" t="n">
        <x:f>IFERROR(K419/J419*100,0)</x:f>
        <x:v>2.7986348122866893</x:v>
      </x:c>
      <x:c r="X419" t="n">
        <x:f>IFERROR(H419/F419*100,0)</x:f>
        <x:v>8.222222222222223</x:v>
      </x:c>
      <x:c r="Y419" t="n">
        <x:f>J419-K419</x:f>
        <x:v>1424</x:v>
      </x:c>
      <x:c r="Z419" t="n">
        <x:f>MAX(0,MIN(100,(V419/100)*(1-X419/100)*(1-W419/100)*100))</x:f>
        <x:v>79.0154507591025</x:v>
      </x:c>
    </x:row>
    <x:row r="420">
      <x:c r="A420" s="12" t="n">
        <x:v>46166</x:v>
      </x:c>
      <x:c r="B420" t="str">
        <x:v>B</x:v>
      </x:c>
      <x:c r="C420" t="str">
        <x:v>Dried Pineapple</x:v>
      </x:c>
      <x:c r="D420" t="str">
        <x:v>Dryer 2</x:v>
      </x:c>
      <x:c r="E420" t="str">
        <x:v>Sup 3</x:v>
      </x:c>
      <x:c r="F420" t="n">
        <x:v>450</x:v>
      </x:c>
      <x:c r="G420" t="n">
        <x:v>30</x:v>
      </x:c>
      <x:c r="H420" t="n">
        <x:v>37</x:v>
      </x:c>
      <x:c r="I420" t="n">
        <x:v>1873</x:v>
      </x:c>
      <x:c r="J420" t="n">
        <x:v>1534</x:v>
      </x:c>
      <x:c r="K420" t="n">
        <x:v>60</x:v>
      </x:c>
      <x:c r="L420" t="n">
        <x:v>37</x:v>
      </x:c>
      <x:c r="M420" t="n">
        <x:v>100</x:v>
      </x:c>
      <x:c r="N420" t="n">
        <x:v>87</x:v>
      </x:c>
      <x:c r="O420" t="n">
        <x:v>79.6</x:v>
      </x:c>
      <x:c r="P420" t="n">
        <x:v>4</x:v>
      </x:c>
      <x:c r="Q420" t="str">
        <x:v>No incident</x:v>
      </x:c>
      <x:c r="R420" t="str">
        <x:v>N/A</x:v>
      </x:c>
      <x:c r="S420" t="str">
        <x:v>Inspection</x:v>
      </x:c>
      <x:c r="T420" t="n">
        <x:v>0.5</x:v>
      </x:c>
      <x:c r="U420" t="n">
        <x:v>13.6</x:v>
      </x:c>
      <x:c r="V420" t="n">
        <x:f>IFERROR(J420/I420*100,0)</x:f>
        <x:v>81.9006940736786</x:v>
      </x:c>
      <x:c r="W420" t="n">
        <x:f>IFERROR(K420/J420*100,0)</x:f>
        <x:v>3.911342894393742</x:v>
      </x:c>
      <x:c r="X420" t="n">
        <x:f>IFERROR(H420/F420*100,0)</x:f>
        <x:v>8.222222222222223</x:v>
      </x:c>
      <x:c r="Y420" t="n">
        <x:f>J420-K420</x:f>
        <x:v>1474</x:v>
      </x:c>
      <x:c r="Z420" t="n">
        <x:f>MAX(0,MIN(100,(V420/100)*(1-X420/100)*(1-W420/100)*100))</x:f>
        <x:v>72.22661208993296</x:v>
      </x:c>
    </x:row>
    <x:row r="421">
      <x:c r="A421" s="12" t="n">
        <x:v>46166</x:v>
      </x:c>
      <x:c r="B421" t="str">
        <x:v>C</x:v>
      </x:c>
      <x:c r="C421" t="str">
        <x:v>Desiccated Coconut</x:v>
      </x:c>
      <x:c r="D421" t="str">
        <x:v>Dryer 4</x:v>
      </x:c>
      <x:c r="E421" t="str">
        <x:v>Sup 2</x:v>
      </x:c>
      <x:c r="F421" t="n">
        <x:v>450</x:v>
      </x:c>
      <x:c r="G421" t="n">
        <x:v>0</x:v>
      </x:c>
      <x:c r="H421" t="n">
        <x:v>62</x:v>
      </x:c>
      <x:c r="I421" t="n">
        <x:v>1275</x:v>
      </x:c>
      <x:c r="J421" t="n">
        <x:v>1063</x:v>
      </x:c>
      <x:c r="K421" t="n">
        <x:v>27</x:v>
      </x:c>
      <x:c r="L421" t="n">
        <x:v>16</x:v>
      </x:c>
      <x:c r="M421" t="n">
        <x:v>87.5</x:v>
      </x:c>
      <x:c r="N421" t="n">
        <x:v>63.2</x:v>
      </x:c>
      <x:c r="O421" t="n">
        <x:v>67.9</x:v>
      </x:c>
      <x:c r="P421" t="n">
        <x:v>5</x:v>
      </x:c>
      <x:c r="Q421" t="str">
        <x:v>No incident</x:v>
      </x:c>
      <x:c r="R421" t="str">
        <x:v>N/A</x:v>
      </x:c>
      <x:c r="S421" t="str">
        <x:v>Preventive</x:v>
      </x:c>
      <x:c r="T421" t="n">
        <x:v>0.5</x:v>
      </x:c>
      <x:c r="U421" t="n">
        <x:v>8.7</x:v>
      </x:c>
      <x:c r="V421" t="n">
        <x:f>IFERROR(J421/I421*100,0)</x:f>
        <x:v>83.37254901960785</x:v>
      </x:c>
      <x:c r="W421" t="n">
        <x:f>IFERROR(K421/J421*100,0)</x:f>
        <x:v>2.539981185324553</x:v>
      </x:c>
      <x:c r="X421" t="n">
        <x:f>IFERROR(H421/F421*100,0)</x:f>
        <x:v>13.777777777777779</x:v>
      </x:c>
      <x:c r="Y421" t="n">
        <x:f>J421-K421</x:f>
        <x:v>1036</x:v>
      </x:c>
      <x:c r="Z421" t="n">
        <x:f>MAX(0,MIN(100,(V421/100)*(1-X421/100)*(1-W421/100)*100))</x:f>
        <x:v>70.05978213507625</x:v>
      </x:c>
    </x:row>
    <x:row r="422">
      <x:c r="A422" s="12" t="n">
        <x:v>46167</x:v>
      </x:c>
      <x:c r="B422" t="str">
        <x:v>A</x:v>
      </x:c>
      <x:c r="C422" t="str">
        <x:v>Desiccated Coconut</x:v>
      </x:c>
      <x:c r="D422" t="str">
        <x:v>Dryer 2</x:v>
      </x:c>
      <x:c r="E422" t="str">
        <x:v>Sup 2</x:v>
      </x:c>
      <x:c r="F422" t="n">
        <x:v>450</x:v>
      </x:c>
      <x:c r="G422" t="n">
        <x:v>40</x:v>
      </x:c>
      <x:c r="H422" t="n">
        <x:v>28</x:v>
      </x:c>
      <x:c r="I422" t="n">
        <x:v>1159</x:v>
      </x:c>
      <x:c r="J422" t="n">
        <x:v>1116</x:v>
      </x:c>
      <x:c r="K422" t="n">
        <x:v>22</x:v>
      </x:c>
      <x:c r="L422" t="n">
        <x:v>9</x:v>
      </x:c>
      <x:c r="M422" t="n">
        <x:v>89.5</x:v>
      </x:c>
      <x:c r="N422" t="n">
        <x:v>94.3</x:v>
      </x:c>
      <x:c r="O422" t="n">
        <x:v>69.7</x:v>
      </x:c>
      <x:c r="P422" t="n">
        <x:v>3</x:v>
      </x:c>
      <x:c r="Q422" t="str">
        <x:v>No incident</x:v>
      </x:c>
      <x:c r="R422" t="str">
        <x:v>N/A</x:v>
      </x:c>
      <x:c r="S422" t="str">
        <x:v>Preventive</x:v>
      </x:c>
      <x:c r="T422" t="n">
        <x:v>0.5</x:v>
      </x:c>
      <x:c r="U422" t="n">
        <x:v>9.3</x:v>
      </x:c>
      <x:c r="V422" t="n">
        <x:f>IFERROR(J422/I422*100,0)</x:f>
        <x:v>96.28990509059534</x:v>
      </x:c>
      <x:c r="W422" t="n">
        <x:f>IFERROR(K422/J422*100,0)</x:f>
        <x:v>1.971326164874552</x:v>
      </x:c>
      <x:c r="X422" t="n">
        <x:f>IFERROR(H422/F422*100,0)</x:f>
        <x:v>6.222222222222222</x:v>
      </x:c>
      <x:c r="Y422" t="n">
        <x:f>J422-K422</x:f>
        <x:v>1094</x:v>
      </x:c>
      <x:c r="Z422" t="n">
        <x:f>MAX(0,MIN(100,(V422/100)*(1-X422/100)*(1-W422/100)*100))</x:f>
        <x:v>88.5184546064615</x:v>
      </x:c>
    </x:row>
    <x:row r="423">
      <x:c r="A423" s="12" t="n">
        <x:v>46167</x:v>
      </x:c>
      <x:c r="B423" t="str">
        <x:v>B</x:v>
      </x:c>
      <x:c r="C423" t="str">
        <x:v>Desiccated Coconut</x:v>
      </x:c>
      <x:c r="D423" t="str">
        <x:v>Dryer 3</x:v>
      </x:c>
      <x:c r="E423" t="str">
        <x:v>Sup 1</x:v>
      </x:c>
      <x:c r="F423" t="n">
        <x:v>450</x:v>
      </x:c>
      <x:c r="G423" t="n">
        <x:v>30</x:v>
      </x:c>
      <x:c r="H423" t="n">
        <x:v>56</x:v>
      </x:c>
      <x:c r="I423" t="n">
        <x:v>1257</x:v>
      </x:c>
      <x:c r="J423" t="n">
        <x:v>1056</x:v>
      </x:c>
      <x:c r="K423" t="n">
        <x:v>47</x:v>
      </x:c>
      <x:c r="L423" t="n">
        <x:v>13</x:v>
      </x:c>
      <x:c r="M423" t="n">
        <x:v>89.2</x:v>
      </x:c>
      <x:c r="N423" t="n">
        <x:v>83.5</x:v>
      </x:c>
      <x:c r="O423" t="n">
        <x:v>58.1</x:v>
      </x:c>
      <x:c r="P423" t="n">
        <x:v>2</x:v>
      </x:c>
      <x:c r="Q423" t="str">
        <x:v>No incident</x:v>
      </x:c>
      <x:c r="R423" t="str">
        <x:v>N/A</x:v>
      </x:c>
      <x:c r="S423" t="str">
        <x:v>Corrective</x:v>
      </x:c>
      <x:c r="T423" t="n">
        <x:v>1.18</x:v>
      </x:c>
      <x:c r="U423" t="n">
        <x:v>9.5</x:v>
      </x:c>
      <x:c r="V423" t="n">
        <x:f>IFERROR(J423/I423*100,0)</x:f>
        <x:v>84.00954653937947</x:v>
      </x:c>
      <x:c r="W423" t="n">
        <x:f>IFERROR(K423/J423*100,0)</x:f>
        <x:v>4.450757575757576</x:v>
      </x:c>
      <x:c r="X423" t="n">
        <x:f>IFERROR(H423/F423*100,0)</x:f>
        <x:v>12.444444444444445</x:v>
      </x:c>
      <x:c r="Y423" t="n">
        <x:f>J423-K423</x:f>
        <x:v>1009</x:v>
      </x:c>
      <x:c r="Z423" t="n">
        <x:f>MAX(0,MIN(100,(V423/100)*(1-X423/100)*(1-W423/100)*100))</x:f>
        <x:v>70.28126933616193</x:v>
      </x:c>
    </x:row>
    <x:row r="424">
      <x:c r="A424" s="12" t="n">
        <x:v>46167</x:v>
      </x:c>
      <x:c r="B424" t="str">
        <x:v>C</x:v>
      </x:c>
      <x:c r="C424" t="str">
        <x:v>Dried Pineapple</x:v>
      </x:c>
      <x:c r="D424" t="str">
        <x:v>Dryer 3</x:v>
      </x:c>
      <x:c r="E424" t="str">
        <x:v>Sup 2</x:v>
      </x:c>
      <x:c r="F424" t="n">
        <x:v>420</x:v>
      </x:c>
      <x:c r="G424" t="n">
        <x:v>20</x:v>
      </x:c>
      <x:c r="H424" t="n">
        <x:v>51</x:v>
      </x:c>
      <x:c r="I424" t="n">
        <x:v>1639</x:v>
      </x:c>
      <x:c r="J424" t="n">
        <x:v>1300</x:v>
      </x:c>
      <x:c r="K424" t="n">
        <x:v>68</x:v>
      </x:c>
      <x:c r="L424" t="n">
        <x:v>37</x:v>
      </x:c>
      <x:c r="M424" t="n">
        <x:v>85.4</x:v>
      </x:c>
      <x:c r="N424" t="n">
        <x:v>79.4</x:v>
      </x:c>
      <x:c r="O424" t="n">
        <x:v>84.5</x:v>
      </x:c>
      <x:c r="P424" t="n">
        <x:v>6</x:v>
      </x:c>
      <x:c r="Q424" t="str">
        <x:v>Near miss</x:v>
      </x:c>
      <x:c r="R424" t="str">
        <x:v>Closed</x:v>
      </x:c>
      <x:c r="S424" t="str">
        <x:v>Corrective</x:v>
      </x:c>
      <x:c r="T424" t="n">
        <x:v>1.95</x:v>
      </x:c>
      <x:c r="U424" t="n">
        <x:v>10.5</x:v>
      </x:c>
      <x:c r="V424" t="n">
        <x:f>IFERROR(J424/I424*100,0)</x:f>
        <x:v>79.31665649786454</x:v>
      </x:c>
      <x:c r="W424" t="n">
        <x:f>IFERROR(K424/J424*100,0)</x:f>
        <x:v>5.230769230769231</x:v>
      </x:c>
      <x:c r="X424" t="n">
        <x:f>IFERROR(H424/F424*100,0)</x:f>
        <x:v>12.142857142857142</x:v>
      </x:c>
      <x:c r="Y424" t="n">
        <x:f>J424-K424</x:f>
        <x:v>1232</x:v>
      </x:c>
      <x:c r="Z424" t="n">
        <x:f>MAX(0,MIN(100,(V424/100)*(1-X424/100)*(1-W424/100)*100))</x:f>
        <x:v>66.04026845637584</x:v>
      </x:c>
    </x:row>
    <x:row r="425">
      <x:c r="A425" s="12" t="n">
        <x:v>46168</x:v>
      </x:c>
      <x:c r="B425" t="str">
        <x:v>A</x:v>
      </x:c>
      <x:c r="C425" t="str">
        <x:v>Dried Mango</x:v>
      </x:c>
      <x:c r="D425" t="str">
        <x:v>Dryer 1</x:v>
      </x:c>
      <x:c r="E425" t="str">
        <x:v>Sup 3</x:v>
      </x:c>
      <x:c r="F425" t="n">
        <x:v>480</x:v>
      </x:c>
      <x:c r="G425" t="n">
        <x:v>20</x:v>
      </x:c>
      <x:c r="H425" t="n">
        <x:v>46</x:v>
      </x:c>
      <x:c r="I425" t="n">
        <x:v>1536</x:v>
      </x:c>
      <x:c r="J425" t="n">
        <x:v>1317</x:v>
      </x:c>
      <x:c r="K425" t="n">
        <x:v>49</x:v>
      </x:c>
      <x:c r="L425" t="n">
        <x:v>24</x:v>
      </x:c>
      <x:c r="M425" t="n">
        <x:v>93.6</x:v>
      </x:c>
      <x:c r="N425" t="n">
        <x:v>88.5</x:v>
      </x:c>
      <x:c r="O425" t="n">
        <x:v>82.9</x:v>
      </x:c>
      <x:c r="P425" t="n">
        <x:v>3</x:v>
      </x:c>
      <x:c r="Q425" t="str">
        <x:v>No incident</x:v>
      </x:c>
      <x:c r="R425" t="str">
        <x:v>N/A</x:v>
      </x:c>
      <x:c r="S425" t="str">
        <x:v>Corrective</x:v>
      </x:c>
      <x:c r="T425" t="n">
        <x:v>1.13</x:v>
      </x:c>
      <x:c r="U425" t="n">
        <x:v>11.4</x:v>
      </x:c>
      <x:c r="V425" t="n">
        <x:f>IFERROR(J425/I425*100,0)</x:f>
        <x:v>85.7421875</x:v>
      </x:c>
      <x:c r="W425" t="n">
        <x:f>IFERROR(K425/J425*100,0)</x:f>
        <x:v>3.7205770690964313</x:v>
      </x:c>
      <x:c r="X425" t="n">
        <x:f>IFERROR(H425/F425*100,0)</x:f>
        <x:v>9.583333333333334</x:v>
      </x:c>
      <x:c r="Y425" t="n">
        <x:f>J425-K425</x:f>
        <x:v>1268</x:v>
      </x:c>
      <x:c r="Z425" t="n">
        <x:f>MAX(0,MIN(100,(V425/100)*(1-X425/100)*(1-W425/100)*100))</x:f>
        <x:v>74.64084201388889</x:v>
      </x:c>
    </x:row>
    <x:row r="426">
      <x:c r="A426" s="12" t="n">
        <x:v>46168</x:v>
      </x:c>
      <x:c r="B426" t="str">
        <x:v>B</x:v>
      </x:c>
      <x:c r="C426" t="str">
        <x:v>Desiccated Coconut</x:v>
      </x:c>
      <x:c r="D426" t="str">
        <x:v>Dryer 4</x:v>
      </x:c>
      <x:c r="E426" t="str">
        <x:v>Sup 1</x:v>
      </x:c>
      <x:c r="F426" t="n">
        <x:v>480</x:v>
      </x:c>
      <x:c r="G426" t="n">
        <x:v>0</x:v>
      </x:c>
      <x:c r="H426" t="n">
        <x:v>63</x:v>
      </x:c>
      <x:c r="I426" t="n">
        <x:v>1106</x:v>
      </x:c>
      <x:c r="J426" t="n">
        <x:v>967</x:v>
      </x:c>
      <x:c r="K426" t="n">
        <x:v>34</x:v>
      </x:c>
      <x:c r="L426" t="n">
        <x:v>10</x:v>
      </x:c>
      <x:c r="M426" t="n">
        <x:v>83.6</x:v>
      </x:c>
      <x:c r="N426" t="n">
        <x:v>88.1</x:v>
      </x:c>
      <x:c r="O426" t="n">
        <x:v>76.4</x:v>
      </x:c>
      <x:c r="P426" t="n">
        <x:v>3</x:v>
      </x:c>
      <x:c r="Q426" t="str">
        <x:v>No incident</x:v>
      </x:c>
      <x:c r="R426" t="str">
        <x:v>N/A</x:v>
      </x:c>
      <x:c r="S426" t="str">
        <x:v>Preventive</x:v>
      </x:c>
      <x:c r="T426" t="n">
        <x:v>1.09</x:v>
      </x:c>
      <x:c r="U426" t="n">
        <x:v>8.3</x:v>
      </x:c>
      <x:c r="V426" t="n">
        <x:f>IFERROR(J426/I426*100,0)</x:f>
        <x:v>87.43218806509945</x:v>
      </x:c>
      <x:c r="W426" t="n">
        <x:f>IFERROR(K426/J426*100,0)</x:f>
        <x:v>3.5160289555325748</x:v>
      </x:c>
      <x:c r="X426" t="n">
        <x:f>IFERROR(H426/F426*100,0)</x:f>
        <x:v>13.125</x:v>
      </x:c>
      <x:c r="Y426" t="n">
        <x:f>J426-K426</x:f>
        <x:v>933</x:v>
      </x:c>
      <x:c r="Z426" t="n">
        <x:f>MAX(0,MIN(100,(V426/100)*(1-X426/100)*(1-W426/100)*100))</x:f>
        <x:v>73.28605334538878</x:v>
      </x:c>
    </x:row>
    <x:row r="427">
      <x:c r="A427" s="12" t="n">
        <x:v>46168</x:v>
      </x:c>
      <x:c r="B427" t="str">
        <x:v>C</x:v>
      </x:c>
      <x:c r="C427" t="str">
        <x:v>Dried Mango</x:v>
      </x:c>
      <x:c r="D427" t="str">
        <x:v>Dryer 4</x:v>
      </x:c>
      <x:c r="E427" t="str">
        <x:v>Sup 3</x:v>
      </x:c>
      <x:c r="F427" t="n">
        <x:v>450</x:v>
      </x:c>
      <x:c r="G427" t="n">
        <x:v>40</x:v>
      </x:c>
      <x:c r="H427" t="n">
        <x:v>27</x:v>
      </x:c>
      <x:c r="I427" t="n">
        <x:v>1775</x:v>
      </x:c>
      <x:c r="J427" t="n">
        <x:v>1640</x:v>
      </x:c>
      <x:c r="K427" t="n">
        <x:v>50</x:v>
      </x:c>
      <x:c r="L427" t="n">
        <x:v>18</x:v>
      </x:c>
      <x:c r="M427" t="n">
        <x:v>86.7</x:v>
      </x:c>
      <x:c r="N427" t="n">
        <x:v>63.9</x:v>
      </x:c>
      <x:c r="O427" t="n">
        <x:v>82.4</x:v>
      </x:c>
      <x:c r="P427" t="n">
        <x:v>1</x:v>
      </x:c>
      <x:c r="Q427" t="str">
        <x:v>No incident</x:v>
      </x:c>
      <x:c r="R427" t="str">
        <x:v>N/A</x:v>
      </x:c>
      <x:c r="S427" t="str">
        <x:v>Corrective</x:v>
      </x:c>
      <x:c r="T427" t="n">
        <x:v>1.56</x:v>
      </x:c>
      <x:c r="U427" t="n">
        <x:v>13</x:v>
      </x:c>
      <x:c r="V427" t="n">
        <x:f>IFERROR(J427/I427*100,0)</x:f>
        <x:v>92.3943661971831</x:v>
      </x:c>
      <x:c r="W427" t="n">
        <x:f>IFERROR(K427/J427*100,0)</x:f>
        <x:v>3.048780487804878</x:v>
      </x:c>
      <x:c r="X427" t="n">
        <x:f>IFERROR(H427/F427*100,0)</x:f>
        <x:v>6</x:v>
      </x:c>
      <x:c r="Y427" t="n">
        <x:f>J427-K427</x:f>
        <x:v>1590</x:v>
      </x:c>
      <x:c r="Z427" t="n">
        <x:f>MAX(0,MIN(100,(V427/100)*(1-X427/100)*(1-W427/100)*100))</x:f>
        <x:v>84.20281690140845</x:v>
      </x:c>
    </x:row>
    <x:row r="428">
      <x:c r="A428" s="12" t="n">
        <x:v>46169</x:v>
      </x:c>
      <x:c r="B428" t="str">
        <x:v>A</x:v>
      </x:c>
      <x:c r="C428" t="str">
        <x:v>Dried Pineapple</x:v>
      </x:c>
      <x:c r="D428" t="str">
        <x:v>Dryer 3</x:v>
      </x:c>
      <x:c r="E428" t="str">
        <x:v>Sup 1</x:v>
      </x:c>
      <x:c r="F428" t="n">
        <x:v>480</x:v>
      </x:c>
      <x:c r="G428" t="n">
        <x:v>40</x:v>
      </x:c>
      <x:c r="H428" t="n">
        <x:v>37</x:v>
      </x:c>
      <x:c r="I428" t="n">
        <x:v>1777</x:v>
      </x:c>
      <x:c r="J428" t="n">
        <x:v>1442</x:v>
      </x:c>
      <x:c r="K428" t="n">
        <x:v>76</x:v>
      </x:c>
      <x:c r="L428" t="n">
        <x:v>20</x:v>
      </x:c>
      <x:c r="M428" t="n">
        <x:v>94.7</x:v>
      </x:c>
      <x:c r="N428" t="n">
        <x:v>73.1</x:v>
      </x:c>
      <x:c r="O428" t="n">
        <x:v>73.6</x:v>
      </x:c>
      <x:c r="P428" t="n">
        <x:v>1</x:v>
      </x:c>
      <x:c r="Q428" t="str">
        <x:v>No incident</x:v>
      </x:c>
      <x:c r="R428" t="str">
        <x:v>N/A</x:v>
      </x:c>
      <x:c r="S428" t="str">
        <x:v>Inspection</x:v>
      </x:c>
      <x:c r="T428" t="n">
        <x:v>0.86</x:v>
      </x:c>
      <x:c r="U428" t="n">
        <x:v>12.2</x:v>
      </x:c>
      <x:c r="V428" t="n">
        <x:f>IFERROR(J428/I428*100,0)</x:f>
        <x:v>81.1480022509848</x:v>
      </x:c>
      <x:c r="W428" t="n">
        <x:f>IFERROR(K428/J428*100,0)</x:f>
        <x:v>5.270457697642163</x:v>
      </x:c>
      <x:c r="X428" t="n">
        <x:f>IFERROR(H428/F428*100,0)</x:f>
        <x:v>7.708333333333334</x:v>
      </x:c>
      <x:c r="Y428" t="n">
        <x:f>J428-K428</x:f>
        <x:v>1366</x:v>
      </x:c>
      <x:c r="Z428" t="n">
        <x:f>MAX(0,MIN(100,(V428/100)*(1-X428/100)*(1-W428/100)*100))</x:f>
        <x:v>70.94564809604202</x:v>
      </x:c>
    </x:row>
    <x:row r="429">
      <x:c r="A429" s="12" t="n">
        <x:v>46169</x:v>
      </x:c>
      <x:c r="B429" t="str">
        <x:v>B</x:v>
      </x:c>
      <x:c r="C429" t="str">
        <x:v>Dried Mango</x:v>
      </x:c>
      <x:c r="D429" t="str">
        <x:v>Dryer 3</x:v>
      </x:c>
      <x:c r="E429" t="str">
        <x:v>Sup 2</x:v>
      </x:c>
      <x:c r="F429" t="n">
        <x:v>420</x:v>
      </x:c>
      <x:c r="G429" t="n">
        <x:v>0</x:v>
      </x:c>
      <x:c r="H429" t="n">
        <x:v>31</x:v>
      </x:c>
      <x:c r="I429" t="n">
        <x:v>1742</x:v>
      </x:c>
      <x:c r="J429" t="n">
        <x:v>1518</x:v>
      </x:c>
      <x:c r="K429" t="n">
        <x:v>79</x:v>
      </x:c>
      <x:c r="L429" t="n">
        <x:v>52</x:v>
      </x:c>
      <x:c r="M429" t="n">
        <x:v>91.6</x:v>
      </x:c>
      <x:c r="N429" t="n">
        <x:v>65.6</x:v>
      </x:c>
      <x:c r="O429" t="n">
        <x:v>82</x:v>
      </x:c>
      <x:c r="P429" t="n">
        <x:v>7</x:v>
      </x:c>
      <x:c r="Q429" t="str">
        <x:v>No incident</x:v>
      </x:c>
      <x:c r="R429" t="str">
        <x:v>N/A</x:v>
      </x:c>
      <x:c r="S429" t="str">
        <x:v>Inspection</x:v>
      </x:c>
      <x:c r="T429" t="n">
        <x:v>0.5</x:v>
      </x:c>
      <x:c r="U429" t="n">
        <x:v>12.2</x:v>
      </x:c>
      <x:c r="V429" t="n">
        <x:f>IFERROR(J429/I429*100,0)</x:f>
        <x:v>87.14121699196326</x:v>
      </x:c>
      <x:c r="W429" t="n">
        <x:f>IFERROR(K429/J429*100,0)</x:f>
        <x:v>5.204216073781291</x:v>
      </x:c>
      <x:c r="X429" t="n">
        <x:f>IFERROR(H429/F429*100,0)</x:f>
        <x:v>7.380952380952381</x:v>
      </x:c>
      <x:c r="Y429" t="n">
        <x:f>J429-K429</x:f>
        <x:v>1439</x:v>
      </x:c>
      <x:c r="Z429" t="n">
        <x:f>MAX(0,MIN(100,(V429/100)*(1-X429/100)*(1-W429/100)*100))</x:f>
        <x:v>76.50907550161283</x:v>
      </x:c>
    </x:row>
    <x:row r="430">
      <x:c r="A430" s="12" t="n">
        <x:v>46169</x:v>
      </x:c>
      <x:c r="B430" t="str">
        <x:v>C</x:v>
      </x:c>
      <x:c r="C430" t="str">
        <x:v>Dried Mango</x:v>
      </x:c>
      <x:c r="D430" t="str">
        <x:v>Dryer 2</x:v>
      </x:c>
      <x:c r="E430" t="str">
        <x:v>Sup 2</x:v>
      </x:c>
      <x:c r="F430" t="n">
        <x:v>480</x:v>
      </x:c>
      <x:c r="G430" t="n">
        <x:v>20</x:v>
      </x:c>
      <x:c r="H430" t="n">
        <x:v>47</x:v>
      </x:c>
      <x:c r="I430" t="n">
        <x:v>1585</x:v>
      </x:c>
      <x:c r="J430" t="n">
        <x:v>1353</x:v>
      </x:c>
      <x:c r="K430" t="n">
        <x:v>56</x:v>
      </x:c>
      <x:c r="L430" t="n">
        <x:v>30</x:v>
      </x:c>
      <x:c r="M430" t="n">
        <x:v>89.7</x:v>
      </x:c>
      <x:c r="N430" t="n">
        <x:v>73</x:v>
      </x:c>
      <x:c r="O430" t="n">
        <x:v>67.7</x:v>
      </x:c>
      <x:c r="P430" t="n">
        <x:v>4</x:v>
      </x:c>
      <x:c r="Q430" t="str">
        <x:v>No incident</x:v>
      </x:c>
      <x:c r="R430" t="str">
        <x:v>N/A</x:v>
      </x:c>
      <x:c r="S430" t="str">
        <x:v>Corrective</x:v>
      </x:c>
      <x:c r="T430" t="n">
        <x:v>1.47</x:v>
      </x:c>
      <x:c r="U430" t="n">
        <x:v>10.8</x:v>
      </x:c>
      <x:c r="V430" t="n">
        <x:f>IFERROR(J430/I430*100,0)</x:f>
        <x:v>85.3627760252366</x:v>
      </x:c>
      <x:c r="W430" t="n">
        <x:f>IFERROR(K430/J430*100,0)</x:f>
        <x:v>4.138950480413895</x:v>
      </x:c>
      <x:c r="X430" t="n">
        <x:f>IFERROR(H430/F430*100,0)</x:f>
        <x:v>9.791666666666666</x:v>
      </x:c>
      <x:c r="Y430" t="n">
        <x:f>J430-K430</x:f>
        <x:v>1297</x:v>
      </x:c>
      <x:c r="Z430" t="n">
        <x:f>MAX(0,MIN(100,(V430/100)*(1-X430/100)*(1-W430/100)*100))</x:f>
        <x:v>73.8171661409043</x:v>
      </x:c>
    </x:row>
    <x:row r="431">
      <x:c r="A431" s="12" t="n">
        <x:v>46170</x:v>
      </x:c>
      <x:c r="B431" t="str">
        <x:v>A</x:v>
      </x:c>
      <x:c r="C431" t="str">
        <x:v>Dried Mango</x:v>
      </x:c>
      <x:c r="D431" t="str">
        <x:v>Dryer 1</x:v>
      </x:c>
      <x:c r="E431" t="str">
        <x:v>Sup 3</x:v>
      </x:c>
      <x:c r="F431" t="n">
        <x:v>480</x:v>
      </x:c>
      <x:c r="G431" t="n">
        <x:v>40</x:v>
      </x:c>
      <x:c r="H431" t="n">
        <x:v>37</x:v>
      </x:c>
      <x:c r="I431" t="n">
        <x:v>1712</x:v>
      </x:c>
      <x:c r="J431" t="n">
        <x:v>1523</x:v>
      </x:c>
      <x:c r="K431" t="n">
        <x:v>57</x:v>
      </x:c>
      <x:c r="L431" t="n">
        <x:v>35</x:v>
      </x:c>
      <x:c r="M431" t="n">
        <x:v>87.5</x:v>
      </x:c>
      <x:c r="N431" t="n">
        <x:v>88.2</x:v>
      </x:c>
      <x:c r="O431" t="n">
        <x:v>73.1</x:v>
      </x:c>
      <x:c r="P431" t="n">
        <x:v>3</x:v>
      </x:c>
      <x:c r="Q431" t="str">
        <x:v>No incident</x:v>
      </x:c>
      <x:c r="R431" t="str">
        <x:v>N/A</x:v>
      </x:c>
      <x:c r="S431" t="str">
        <x:v>Corrective</x:v>
      </x:c>
      <x:c r="T431" t="n">
        <x:v>1.36</x:v>
      </x:c>
      <x:c r="U431" t="n">
        <x:v>13.1</x:v>
      </x:c>
      <x:c r="V431" t="n">
        <x:f>IFERROR(J431/I431*100,0)</x:f>
        <x:v>88.96028037383178</x:v>
      </x:c>
      <x:c r="W431" t="n">
        <x:f>IFERROR(K431/J431*100,0)</x:f>
        <x:v>3.742613263296126</x:v>
      </x:c>
      <x:c r="X431" t="n">
        <x:f>IFERROR(H431/F431*100,0)</x:f>
        <x:v>7.708333333333334</x:v>
      </x:c>
      <x:c r="Y431" t="n">
        <x:f>J431-K431</x:f>
        <x:v>1466</x:v>
      </x:c>
      <x:c r="Z431" t="n">
        <x:f>MAX(0,MIN(100,(V431/100)*(1-X431/100)*(1-W431/100)*100))</x:f>
        <x:v>79.0301304517134</x:v>
      </x:c>
    </x:row>
    <x:row r="432">
      <x:c r="A432" s="12" t="n">
        <x:v>46170</x:v>
      </x:c>
      <x:c r="B432" t="str">
        <x:v>B</x:v>
      </x:c>
      <x:c r="C432" t="str">
        <x:v>Dried Mango</x:v>
      </x:c>
      <x:c r="D432" t="str">
        <x:v>Dryer 3</x:v>
      </x:c>
      <x:c r="E432" t="str">
        <x:v>Sup 3</x:v>
      </x:c>
      <x:c r="F432" t="n">
        <x:v>450</x:v>
      </x:c>
      <x:c r="G432" t="n">
        <x:v>20</x:v>
      </x:c>
      <x:c r="H432" t="n">
        <x:v>59</x:v>
      </x:c>
      <x:c r="I432" t="n">
        <x:v>1540</x:v>
      </x:c>
      <x:c r="J432" t="n">
        <x:v>1350</x:v>
      </x:c>
      <x:c r="K432" t="n">
        <x:v>77</x:v>
      </x:c>
      <x:c r="L432" t="n">
        <x:v>50</x:v>
      </x:c>
      <x:c r="M432" t="n">
        <x:v>90.8</x:v>
      </x:c>
      <x:c r="N432" t="n">
        <x:v>74.5</x:v>
      </x:c>
      <x:c r="O432" t="n">
        <x:v>71.6</x:v>
      </x:c>
      <x:c r="P432" t="n">
        <x:v>2</x:v>
      </x:c>
      <x:c r="Q432" t="str">
        <x:v>Near miss</x:v>
      </x:c>
      <x:c r="R432" t="str">
        <x:v>Closed</x:v>
      </x:c>
      <x:c r="S432" t="str">
        <x:v>Corrective</x:v>
      </x:c>
      <x:c r="T432" t="n">
        <x:v>0.93</x:v>
      </x:c>
      <x:c r="U432" t="n">
        <x:v>12.1</x:v>
      </x:c>
      <x:c r="V432" t="n">
        <x:f>IFERROR(J432/I432*100,0)</x:f>
        <x:v>87.66233766233766</x:v>
      </x:c>
      <x:c r="W432" t="n">
        <x:f>IFERROR(K432/J432*100,0)</x:f>
        <x:v>5.703703703703704</x:v>
      </x:c>
      <x:c r="X432" t="n">
        <x:f>IFERROR(H432/F432*100,0)</x:f>
        <x:v>13.111111111111112</x:v>
      </x:c>
      <x:c r="Y432" t="n">
        <x:f>J432-K432</x:f>
        <x:v>1273</x:v>
      </x:c>
      <x:c r="Z432" t="n">
        <x:f>MAX(0,MIN(100,(V432/100)*(1-X432/100)*(1-W432/100)*100))</x:f>
        <x:v>71.82438672438673</x:v>
      </x:c>
    </x:row>
    <x:row r="433">
      <x:c r="A433" s="12" t="n">
        <x:v>46170</x:v>
      </x:c>
      <x:c r="B433" t="str">
        <x:v>C</x:v>
      </x:c>
      <x:c r="C433" t="str">
        <x:v>Dried Pineapple</x:v>
      </x:c>
      <x:c r="D433" t="str">
        <x:v>Dryer 4</x:v>
      </x:c>
      <x:c r="E433" t="str">
        <x:v>Sup 3</x:v>
      </x:c>
      <x:c r="F433" t="n">
        <x:v>450</x:v>
      </x:c>
      <x:c r="G433" t="n">
        <x:v>20</x:v>
      </x:c>
      <x:c r="H433" t="n">
        <x:v>60</x:v>
      </x:c>
      <x:c r="I433" t="n">
        <x:v>1686</x:v>
      </x:c>
      <x:c r="J433" t="n">
        <x:v>1407</x:v>
      </x:c>
      <x:c r="K433" t="n">
        <x:v>57</x:v>
      </x:c>
      <x:c r="L433" t="n">
        <x:v>26</x:v>
      </x:c>
      <x:c r="M433" t="n">
        <x:v>86.8</x:v>
      </x:c>
      <x:c r="N433" t="n">
        <x:v>83.8</x:v>
      </x:c>
      <x:c r="O433" t="n">
        <x:v>71.9</x:v>
      </x:c>
      <x:c r="P433" t="n">
        <x:v>4</x:v>
      </x:c>
      <x:c r="Q433" t="str">
        <x:v>Near miss</x:v>
      </x:c>
      <x:c r="R433" t="str">
        <x:v>In progress</x:v>
      </x:c>
      <x:c r="S433" t="str">
        <x:v>Inspection</x:v>
      </x:c>
      <x:c r="T433" t="n">
        <x:v>0.79</x:v>
      </x:c>
      <x:c r="U433" t="n">
        <x:v>12.5</x:v>
      </x:c>
      <x:c r="V433" t="n">
        <x:f>IFERROR(J433/I433*100,0)</x:f>
        <x:v>83.45195729537367</x:v>
      </x:c>
      <x:c r="W433" t="n">
        <x:f>IFERROR(K433/J433*100,0)</x:f>
        <x:v>4.051172707889126</x:v>
      </x:c>
      <x:c r="X433" t="n">
        <x:f>IFERROR(H433/F433*100,0)</x:f>
        <x:v>13.333333333333334</x:v>
      </x:c>
      <x:c r="Y433" t="n">
        <x:f>J433-K433</x:f>
        <x:v>1350</x:v>
      </x:c>
      <x:c r="Z433" t="n">
        <x:f>MAX(0,MIN(100,(V433/100)*(1-X433/100)*(1-W433/100)*100))</x:f>
        <x:v>69.3950177935943</x:v>
      </x:c>
    </x:row>
    <x:row r="434">
      <x:c r="A434" s="12" t="n">
        <x:v>46171</x:v>
      </x:c>
      <x:c r="B434" t="str">
        <x:v>A</x:v>
      </x:c>
      <x:c r="C434" t="str">
        <x:v>Desiccated Coconut</x:v>
      </x:c>
      <x:c r="D434" t="str">
        <x:v>Dryer 2</x:v>
      </x:c>
      <x:c r="E434" t="str">
        <x:v>Sup 2</x:v>
      </x:c>
      <x:c r="F434" t="n">
        <x:v>450</x:v>
      </x:c>
      <x:c r="G434" t="n">
        <x:v>30</x:v>
      </x:c>
      <x:c r="H434" t="n">
        <x:v>41</x:v>
      </x:c>
      <x:c r="I434" t="n">
        <x:v>1141</x:v>
      </x:c>
      <x:c r="J434" t="n">
        <x:v>963</x:v>
      </x:c>
      <x:c r="K434" t="n">
        <x:v>27</x:v>
      </x:c>
      <x:c r="L434" t="n">
        <x:v>17</x:v>
      </x:c>
      <x:c r="M434" t="n">
        <x:v>96.2</x:v>
      </x:c>
      <x:c r="N434" t="n">
        <x:v>77.9</x:v>
      </x:c>
      <x:c r="O434" t="n">
        <x:v>81</x:v>
      </x:c>
      <x:c r="P434" t="n">
        <x:v>3</x:v>
      </x:c>
      <x:c r="Q434" t="str">
        <x:v>No incident</x:v>
      </x:c>
      <x:c r="R434" t="str">
        <x:v>N/A</x:v>
      </x:c>
      <x:c r="S434" t="str">
        <x:v>Inspection</x:v>
      </x:c>
      <x:c r="T434" t="n">
        <x:v>0.99</x:v>
      </x:c>
      <x:c r="U434" t="n">
        <x:v>7.9</x:v>
      </x:c>
      <x:c r="V434" t="n">
        <x:f>IFERROR(J434/I434*100,0)</x:f>
        <x:v>84.39964943032427</x:v>
      </x:c>
      <x:c r="W434" t="n">
        <x:f>IFERROR(K434/J434*100,0)</x:f>
        <x:v>2.803738317757009</x:v>
      </x:c>
      <x:c r="X434" t="n">
        <x:f>IFERROR(H434/F434*100,0)</x:f>
        <x:v>9.11111111111111</x:v>
      </x:c>
      <x:c r="Y434" t="n">
        <x:f>J434-K434</x:f>
        <x:v>936</x:v>
      </x:c>
      <x:c r="Z434" t="n">
        <x:f>MAX(0,MIN(100,(V434/100)*(1-X434/100)*(1-W434/100)*100))</x:f>
        <x:v>74.55915863277825</x:v>
      </x:c>
    </x:row>
    <x:row r="435">
      <x:c r="A435" s="12" t="n">
        <x:v>46171</x:v>
      </x:c>
      <x:c r="B435" t="str">
        <x:v>B</x:v>
      </x:c>
      <x:c r="C435" t="str">
        <x:v>Desiccated Coconut</x:v>
      </x:c>
      <x:c r="D435" t="str">
        <x:v>Dryer 3</x:v>
      </x:c>
      <x:c r="E435" t="str">
        <x:v>Sup 3</x:v>
      </x:c>
      <x:c r="F435" t="n">
        <x:v>450</x:v>
      </x:c>
      <x:c r="G435" t="n">
        <x:v>20</x:v>
      </x:c>
      <x:c r="H435" t="n">
        <x:v>46</x:v>
      </x:c>
      <x:c r="I435" t="n">
        <x:v>1284</x:v>
      </x:c>
      <x:c r="J435" t="n">
        <x:v>1167</x:v>
      </x:c>
      <x:c r="K435" t="n">
        <x:v>51</x:v>
      </x:c>
      <x:c r="L435" t="n">
        <x:v>33</x:v>
      </x:c>
      <x:c r="M435" t="n">
        <x:v>93.9</x:v>
      </x:c>
      <x:c r="N435" t="n">
        <x:v>82.4</x:v>
      </x:c>
      <x:c r="O435" t="n">
        <x:v>79.1</x:v>
      </x:c>
      <x:c r="P435" t="n">
        <x:v>0</x:v>
      </x:c>
      <x:c r="Q435" t="str">
        <x:v>No incident</x:v>
      </x:c>
      <x:c r="R435" t="str">
        <x:v>N/A</x:v>
      </x:c>
      <x:c r="S435" t="str">
        <x:v>Inspection</x:v>
      </x:c>
      <x:c r="T435" t="n">
        <x:v>0.95</x:v>
      </x:c>
      <x:c r="U435" t="n">
        <x:v>10.4</x:v>
      </x:c>
      <x:c r="V435" t="n">
        <x:f>IFERROR(J435/I435*100,0)</x:f>
        <x:v>90.88785046728972</x:v>
      </x:c>
      <x:c r="W435" t="n">
        <x:f>IFERROR(K435/J435*100,0)</x:f>
        <x:v>4.370179948586118</x:v>
      </x:c>
      <x:c r="X435" t="n">
        <x:f>IFERROR(H435/F435*100,0)</x:f>
        <x:v>10.222222222222223</x:v>
      </x:c>
      <x:c r="Y435" t="n">
        <x:f>J435-K435</x:f>
        <x:v>1116</x:v>
      </x:c>
      <x:c r="Z435" t="n">
        <x:f>MAX(0,MIN(100,(V435/100)*(1-X435/100)*(1-W435/100)*100))</x:f>
        <x:v>78.03115264797509</x:v>
      </x:c>
    </x:row>
    <x:row r="436">
      <x:c r="A436" s="12" t="n">
        <x:v>46171</x:v>
      </x:c>
      <x:c r="B436" t="str">
        <x:v>C</x:v>
      </x:c>
      <x:c r="C436" t="str">
        <x:v>Dried Pineapple</x:v>
      </x:c>
      <x:c r="D436" t="str">
        <x:v>Dryer 2</x:v>
      </x:c>
      <x:c r="E436" t="str">
        <x:v>Sup 1</x:v>
      </x:c>
      <x:c r="F436" t="n">
        <x:v>450</x:v>
      </x:c>
      <x:c r="G436" t="n">
        <x:v>20</x:v>
      </x:c>
      <x:c r="H436" t="n">
        <x:v>43</x:v>
      </x:c>
      <x:c r="I436" t="n">
        <x:v>1616</x:v>
      </x:c>
      <x:c r="J436" t="n">
        <x:v>1400</x:v>
      </x:c>
      <x:c r="K436" t="n">
        <x:v>33</x:v>
      </x:c>
      <x:c r="L436" t="n">
        <x:v>16</x:v>
      </x:c>
      <x:c r="M436" t="n">
        <x:v>92</x:v>
      </x:c>
      <x:c r="N436" t="n">
        <x:v>72.9</x:v>
      </x:c>
      <x:c r="O436" t="n">
        <x:v>76.7</x:v>
      </x:c>
      <x:c r="P436" t="n">
        <x:v>3</x:v>
      </x:c>
      <x:c r="Q436" t="str">
        <x:v>Near miss</x:v>
      </x:c>
      <x:c r="R436" t="str">
        <x:v>In progress</x:v>
      </x:c>
      <x:c r="S436" t="str">
        <x:v>Preventive</x:v>
      </x:c>
      <x:c r="T436" t="n">
        <x:v>0.58</x:v>
      </x:c>
      <x:c r="U436" t="n">
        <x:v>12.6</x:v>
      </x:c>
      <x:c r="V436" t="n">
        <x:f>IFERROR(J436/I436*100,0)</x:f>
        <x:v>86.63366336633663</x:v>
      </x:c>
      <x:c r="W436" t="n">
        <x:f>IFERROR(K436/J436*100,0)</x:f>
        <x:v>2.357142857142857</x:v>
      </x:c>
      <x:c r="X436" t="n">
        <x:f>IFERROR(H436/F436*100,0)</x:f>
        <x:v>9.555555555555555</x:v>
      </x:c>
      <x:c r="Y436" t="n">
        <x:f>J436-K436</x:f>
        <x:v>1367</x:v>
      </x:c>
      <x:c r="Z436" t="n">
        <x:f>MAX(0,MIN(100,(V436/100)*(1-X436/100)*(1-W436/100)*100))</x:f>
        <x:v>76.50838833883388</x:v>
      </x:c>
    </x:row>
    <x:row r="437">
      <x:c r="A437" s="12" t="n">
        <x:v>46172</x:v>
      </x:c>
      <x:c r="B437" t="str">
        <x:v>A</x:v>
      </x:c>
      <x:c r="C437" t="str">
        <x:v>Dried Mango</x:v>
      </x:c>
      <x:c r="D437" t="str">
        <x:v>Dryer 1</x:v>
      </x:c>
      <x:c r="E437" t="str">
        <x:v>Sup 2</x:v>
      </x:c>
      <x:c r="F437" t="n">
        <x:v>480</x:v>
      </x:c>
      <x:c r="G437" t="n">
        <x:v>40</x:v>
      </x:c>
      <x:c r="H437" t="n">
        <x:v>31</x:v>
      </x:c>
      <x:c r="I437" t="n">
        <x:v>1602</x:v>
      </x:c>
      <x:c r="J437" t="n">
        <x:v>1515</x:v>
      </x:c>
      <x:c r="K437" t="n">
        <x:v>60</x:v>
      </x:c>
      <x:c r="L437" t="n">
        <x:v>18</x:v>
      </x:c>
      <x:c r="M437" t="n">
        <x:v>94</x:v>
      </x:c>
      <x:c r="N437" t="n">
        <x:v>79.5</x:v>
      </x:c>
      <x:c r="O437" t="n">
        <x:v>70.8</x:v>
      </x:c>
      <x:c r="P437" t="n">
        <x:v>4</x:v>
      </x:c>
      <x:c r="Q437" t="str">
        <x:v>Near miss</x:v>
      </x:c>
      <x:c r="R437" t="str">
        <x:v>In progress</x:v>
      </x:c>
      <x:c r="S437" t="str">
        <x:v>Corrective</x:v>
      </x:c>
      <x:c r="T437" t="n">
        <x:v>1.37</x:v>
      </x:c>
      <x:c r="U437" t="n">
        <x:v>11.8</x:v>
      </x:c>
      <x:c r="V437" t="n">
        <x:f>IFERROR(J437/I437*100,0)</x:f>
        <x:v>94.5692883895131</x:v>
      </x:c>
      <x:c r="W437" t="n">
        <x:f>IFERROR(K437/J437*100,0)</x:f>
        <x:v>3.9603960396039604</x:v>
      </x:c>
      <x:c r="X437" t="n">
        <x:f>IFERROR(H437/F437*100,0)</x:f>
        <x:v>6.458333333333334</x:v>
      </x:c>
      <x:c r="Y437" t="n">
        <x:f>J437-K437</x:f>
        <x:v>1455</x:v>
      </x:c>
      <x:c r="Z437" t="n">
        <x:f>MAX(0,MIN(100,(V437/100)*(1-X437/100)*(1-W437/100)*100))</x:f>
        <x:v>84.95825530586765</x:v>
      </x:c>
    </x:row>
    <x:row r="438">
      <x:c r="A438" s="12" t="n">
        <x:v>46172</x:v>
      </x:c>
      <x:c r="B438" t="str">
        <x:v>B</x:v>
      </x:c>
      <x:c r="C438" t="str">
        <x:v>Dried Mango</x:v>
      </x:c>
      <x:c r="D438" t="str">
        <x:v>Dryer 3</x:v>
      </x:c>
      <x:c r="E438" t="str">
        <x:v>Sup 3</x:v>
      </x:c>
      <x:c r="F438" t="n">
        <x:v>450</x:v>
      </x:c>
      <x:c r="G438" t="n">
        <x:v>20</x:v>
      </x:c>
      <x:c r="H438" t="n">
        <x:v>62</x:v>
      </x:c>
      <x:c r="I438" t="n">
        <x:v>1761</x:v>
      </x:c>
      <x:c r="J438" t="n">
        <x:v>1553</x:v>
      </x:c>
      <x:c r="K438" t="n">
        <x:v>77</x:v>
      </x:c>
      <x:c r="L438" t="n">
        <x:v>16</x:v>
      </x:c>
      <x:c r="M438" t="n">
        <x:v>100</x:v>
      </x:c>
      <x:c r="N438" t="n">
        <x:v>78.3</x:v>
      </x:c>
      <x:c r="O438" t="n">
        <x:v>73.4</x:v>
      </x:c>
      <x:c r="P438" t="n">
        <x:v>1</x:v>
      </x:c>
      <x:c r="Q438" t="str">
        <x:v>No incident</x:v>
      </x:c>
      <x:c r="R438" t="str">
        <x:v>N/A</x:v>
      </x:c>
      <x:c r="S438" t="str">
        <x:v>Corrective</x:v>
      </x:c>
      <x:c r="T438" t="n">
        <x:v>0.81</x:v>
      </x:c>
      <x:c r="U438" t="n">
        <x:v>13.8</x:v>
      </x:c>
      <x:c r="V438" t="n">
        <x:f>IFERROR(J438/I438*100,0)</x:f>
        <x:v>88.1885292447473</x:v>
      </x:c>
      <x:c r="W438" t="n">
        <x:f>IFERROR(K438/J438*100,0)</x:f>
        <x:v>4.958145524790727</x:v>
      </x:c>
      <x:c r="X438" t="n">
        <x:f>IFERROR(H438/F438*100,0)</x:f>
        <x:v>13.777777777777779</x:v>
      </x:c>
      <x:c r="Y438" t="n">
        <x:f>J438-K438</x:f>
        <x:v>1476</x:v>
      </x:c>
      <x:c r="Z438" t="n">
        <x:f>MAX(0,MIN(100,(V438/100)*(1-X438/100)*(1-W438/100)*100))</x:f>
        <x:v>72.26802952867689</x:v>
      </x:c>
    </x:row>
    <x:row r="439">
      <x:c r="A439" s="12" t="n">
        <x:v>46172</x:v>
      </x:c>
      <x:c r="B439" t="str">
        <x:v>C</x:v>
      </x:c>
      <x:c r="C439" t="str">
        <x:v>Dried Mango</x:v>
      </x:c>
      <x:c r="D439" t="str">
        <x:v>Dryer 3</x:v>
      </x:c>
      <x:c r="E439" t="str">
        <x:v>Sup 3</x:v>
      </x:c>
      <x:c r="F439" t="n">
        <x:v>450</x:v>
      </x:c>
      <x:c r="G439" t="n">
        <x:v>30</x:v>
      </x:c>
      <x:c r="H439" t="n">
        <x:v>70</x:v>
      </x:c>
      <x:c r="I439" t="n">
        <x:v>1734</x:v>
      </x:c>
      <x:c r="J439" t="n">
        <x:v>1478</x:v>
      </x:c>
      <x:c r="K439" t="n">
        <x:v>67</x:v>
      </x:c>
      <x:c r="L439" t="n">
        <x:v>31</x:v>
      </x:c>
      <x:c r="M439" t="n">
        <x:v>84.9</x:v>
      </x:c>
      <x:c r="N439" t="n">
        <x:v>70.8</x:v>
      </x:c>
      <x:c r="O439" t="n">
        <x:v>83.8</x:v>
      </x:c>
      <x:c r="P439" t="n">
        <x:v>5</x:v>
      </x:c>
      <x:c r="Q439" t="str">
        <x:v>No incident</x:v>
      </x:c>
      <x:c r="R439" t="str">
        <x:v>N/A</x:v>
      </x:c>
      <x:c r="S439" t="str">
        <x:v>Inspection</x:v>
      </x:c>
      <x:c r="T439" t="n">
        <x:v>1.07</x:v>
      </x:c>
      <x:c r="U439" t="n">
        <x:v>12.9</x:v>
      </x:c>
      <x:c r="V439" t="n">
        <x:f>IFERROR(J439/I439*100,0)</x:f>
        <x:v>85.23644752018454</x:v>
      </x:c>
      <x:c r="W439" t="n">
        <x:f>IFERROR(K439/J439*100,0)</x:f>
        <x:v>4.533152909336942</x:v>
      </x:c>
      <x:c r="X439" t="n">
        <x:f>IFERROR(H439/F439*100,0)</x:f>
        <x:v>15.555555555555555</x:v>
      </x:c>
      <x:c r="Y439" t="n">
        <x:f>J439-K439</x:f>
        <x:v>1411</x:v>
      </x:c>
      <x:c r="Z439" t="n">
        <x:f>MAX(0,MIN(100,(V439/100)*(1-X439/100)*(1-W439/100)*100))</x:f>
        <x:v>68.71459694989106</x:v>
      </x:c>
    </x:row>
    <x:row r="440">
      <x:c r="A440" s="12" t="n">
        <x:v>46173</x:v>
      </x:c>
      <x:c r="B440" t="str">
        <x:v>A</x:v>
      </x:c>
      <x:c r="C440" t="str">
        <x:v>Desiccated Coconut</x:v>
      </x:c>
      <x:c r="D440" t="str">
        <x:v>Dryer 1</x:v>
      </x:c>
      <x:c r="E440" t="str">
        <x:v>Sup 1</x:v>
      </x:c>
      <x:c r="F440" t="n">
        <x:v>420</x:v>
      </x:c>
      <x:c r="G440" t="n">
        <x:v>30</x:v>
      </x:c>
      <x:c r="H440" t="n">
        <x:v>44</x:v>
      </x:c>
      <x:c r="I440" t="n">
        <x:v>1105</x:v>
      </x:c>
      <x:c r="J440" t="n">
        <x:v>896</x:v>
      </x:c>
      <x:c r="K440" t="n">
        <x:v>24</x:v>
      </x:c>
      <x:c r="L440" t="n">
        <x:v>10</x:v>
      </x:c>
      <x:c r="M440" t="n">
        <x:v>85.1</x:v>
      </x:c>
      <x:c r="N440" t="n">
        <x:v>69.5</x:v>
      </x:c>
      <x:c r="O440" t="n">
        <x:v>76.3</x:v>
      </x:c>
      <x:c r="P440" t="n">
        <x:v>4</x:v>
      </x:c>
      <x:c r="Q440" t="str">
        <x:v>No incident</x:v>
      </x:c>
      <x:c r="R440" t="str">
        <x:v>N/A</x:v>
      </x:c>
      <x:c r="S440" t="str">
        <x:v>Corrective</x:v>
      </x:c>
      <x:c r="T440" t="n">
        <x:v>0.74</x:v>
      </x:c>
      <x:c r="U440" t="n">
        <x:v>8.2</x:v>
      </x:c>
      <x:c r="V440" t="n">
        <x:f>IFERROR(J440/I440*100,0)</x:f>
        <x:v>81.08597285067873</x:v>
      </x:c>
      <x:c r="W440" t="n">
        <x:f>IFERROR(K440/J440*100,0)</x:f>
        <x:v>2.6785714285714284</x:v>
      </x:c>
      <x:c r="X440" t="n">
        <x:f>IFERROR(H440/F440*100,0)</x:f>
        <x:v>10.476190476190476</x:v>
      </x:c>
      <x:c r="Y440" t="n">
        <x:f>J440-K440</x:f>
        <x:v>872</x:v>
      </x:c>
      <x:c r="Z440" t="n">
        <x:f>MAX(0,MIN(100,(V440/100)*(1-X440/100)*(1-W440/100)*100))</x:f>
        <x:v>70.64684335272571</x:v>
      </x:c>
    </x:row>
    <x:row r="441">
      <x:c r="A441" s="12" t="n">
        <x:v>46173</x:v>
      </x:c>
      <x:c r="B441" t="str">
        <x:v>B</x:v>
      </x:c>
      <x:c r="C441" t="str">
        <x:v>Dried Mango</x:v>
      </x:c>
      <x:c r="D441" t="str">
        <x:v>Dryer 1</x:v>
      </x:c>
      <x:c r="E441" t="str">
        <x:v>Sup 2</x:v>
      </x:c>
      <x:c r="F441" t="n">
        <x:v>450</x:v>
      </x:c>
      <x:c r="G441" t="n">
        <x:v>30</x:v>
      </x:c>
      <x:c r="H441" t="n">
        <x:v>55</x:v>
      </x:c>
      <x:c r="I441" t="n">
        <x:v>1528</x:v>
      </x:c>
      <x:c r="J441" t="n">
        <x:v>1229</x:v>
      </x:c>
      <x:c r="K441" t="n">
        <x:v>40</x:v>
      </x:c>
      <x:c r="L441" t="n">
        <x:v>11</x:v>
      </x:c>
      <x:c r="M441" t="n">
        <x:v>97.4</x:v>
      </x:c>
      <x:c r="N441" t="n">
        <x:v>69.1</x:v>
      </x:c>
      <x:c r="O441" t="n">
        <x:v>73.7</x:v>
      </x:c>
      <x:c r="P441" t="n">
        <x:v>3</x:v>
      </x:c>
      <x:c r="Q441" t="str">
        <x:v>No incident</x:v>
      </x:c>
      <x:c r="R441" t="str">
        <x:v>N/A</x:v>
      </x:c>
      <x:c r="S441" t="str">
        <x:v>Preventive</x:v>
      </x:c>
      <x:c r="T441" t="n">
        <x:v>0.83</x:v>
      </x:c>
      <x:c r="U441" t="n">
        <x:v>10.7</x:v>
      </x:c>
      <x:c r="V441" t="n">
        <x:f>IFERROR(J441/I441*100,0)</x:f>
        <x:v>80.43193717277487</x:v>
      </x:c>
      <x:c r="W441" t="n">
        <x:f>IFERROR(K441/J441*100,0)</x:f>
        <x:v>3.254678600488202</x:v>
      </x:c>
      <x:c r="X441" t="n">
        <x:f>IFERROR(H441/F441*100,0)</x:f>
        <x:v>12.222222222222221</x:v>
      </x:c>
      <x:c r="Y441" t="n">
        <x:f>J441-K441</x:f>
        <x:v>1189</x:v>
      </x:c>
      <x:c r="Z441" t="n">
        <x:f>MAX(0,MIN(100,(V441/100)*(1-X441/100)*(1-W441/100)*100))</x:f>
        <x:v>68.30351948807446</x:v>
      </x:c>
    </x:row>
    <x:row r="442">
      <x:c r="A442" s="12" t="n">
        <x:v>46173</x:v>
      </x:c>
      <x:c r="B442" t="str">
        <x:v>C</x:v>
      </x:c>
      <x:c r="C442" t="str">
        <x:v>Desiccated Coconut</x:v>
      </x:c>
      <x:c r="D442" t="str">
        <x:v>Dryer 3</x:v>
      </x:c>
      <x:c r="E442" t="str">
        <x:v>Sup 1</x:v>
      </x:c>
      <x:c r="F442" t="n">
        <x:v>420</x:v>
      </x:c>
      <x:c r="G442" t="n">
        <x:v>20</x:v>
      </x:c>
      <x:c r="H442" t="n">
        <x:v>77</x:v>
      </x:c>
      <x:c r="I442" t="n">
        <x:v>1193</x:v>
      </x:c>
      <x:c r="J442" t="n">
        <x:v>893</x:v>
      </x:c>
      <x:c r="K442" t="n">
        <x:v>34</x:v>
      </x:c>
      <x:c r="L442" t="n">
        <x:v>22</x:v>
      </x:c>
      <x:c r="M442" t="n">
        <x:v>91.8</x:v>
      </x:c>
      <x:c r="N442" t="n">
        <x:v>98</x:v>
      </x:c>
      <x:c r="O442" t="n">
        <x:v>74.3</x:v>
      </x:c>
      <x:c r="P442" t="n">
        <x:v>2</x:v>
      </x:c>
      <x:c r="Q442" t="str">
        <x:v>No incident</x:v>
      </x:c>
      <x:c r="R442" t="str">
        <x:v>N/A</x:v>
      </x:c>
      <x:c r="S442" t="str">
        <x:v>Preventive</x:v>
      </x:c>
      <x:c r="T442" t="n">
        <x:v>1.23</x:v>
      </x:c>
      <x:c r="U442" t="n">
        <x:v>7.9</x:v>
      </x:c>
      <x:c r="V442" t="n">
        <x:f>IFERROR(J442/I442*100,0)</x:f>
        <x:v>74.85331098072086</x:v>
      </x:c>
      <x:c r="W442" t="n">
        <x:f>IFERROR(K442/J442*100,0)</x:f>
        <x:v>3.807390817469205</x:v>
      </x:c>
      <x:c r="X442" t="n">
        <x:f>IFERROR(H442/F442*100,0)</x:f>
        <x:v>18.333333333333332</x:v>
      </x:c>
      <x:c r="Y442" t="n">
        <x:f>J442-K442</x:f>
        <x:v>859</x:v>
      </x:c>
      <x:c r="Z442" t="n">
        <x:f>MAX(0,MIN(100,(V442/100)*(1-X442/100)*(1-W442/100)*100))</x:f>
        <x:v>58.802738195026535</x:v>
      </x:c>
    </x:row>
    <x:row r="443">
      <x:c r="A443" s="12" t="n">
        <x:v>46174</x:v>
      </x:c>
      <x:c r="B443" t="str">
        <x:v>A</x:v>
      </x:c>
      <x:c r="C443" t="str">
        <x:v>Dried Mango</x:v>
      </x:c>
      <x:c r="D443" t="str">
        <x:v>Dryer 3</x:v>
      </x:c>
      <x:c r="E443" t="str">
        <x:v>Sup 1</x:v>
      </x:c>
      <x:c r="F443" t="n">
        <x:v>480</x:v>
      </x:c>
      <x:c r="G443" t="n">
        <x:v>30</x:v>
      </x:c>
      <x:c r="H443" t="n">
        <x:v>47</x:v>
      </x:c>
      <x:c r="I443" t="n">
        <x:v>1542</x:v>
      </x:c>
      <x:c r="J443" t="n">
        <x:v>1265</x:v>
      </x:c>
      <x:c r="K443" t="n">
        <x:v>49</x:v>
      </x:c>
      <x:c r="L443" t="n">
        <x:v>10</x:v>
      </x:c>
      <x:c r="M443" t="n">
        <x:v>99.7</x:v>
      </x:c>
      <x:c r="N443" t="n">
        <x:v>78.5</x:v>
      </x:c>
      <x:c r="O443" t="n">
        <x:v>78.9</x:v>
      </x:c>
      <x:c r="P443" t="n">
        <x:v>5</x:v>
      </x:c>
      <x:c r="Q443" t="str">
        <x:v>No incident</x:v>
      </x:c>
      <x:c r="R443" t="str">
        <x:v>N/A</x:v>
      </x:c>
      <x:c r="S443" t="str">
        <x:v>Preventive</x:v>
      </x:c>
      <x:c r="T443" t="n">
        <x:v>1.05</x:v>
      </x:c>
      <x:c r="U443" t="n">
        <x:v>10.3</x:v>
      </x:c>
      <x:c r="V443" t="n">
        <x:f>IFERROR(J443/I443*100,0)</x:f>
        <x:v>82.03631647211414</x:v>
      </x:c>
      <x:c r="W443" t="n">
        <x:f>IFERROR(K443/J443*100,0)</x:f>
        <x:v>3.8735177865612647</x:v>
      </x:c>
      <x:c r="X443" t="n">
        <x:f>IFERROR(H443/F443*100,0)</x:f>
        <x:v>9.791666666666666</x:v>
      </x:c>
      <x:c r="Y443" t="n">
        <x:f>J443-K443</x:f>
        <x:v>1216</x:v>
      </x:c>
      <x:c r="Z443" t="n">
        <x:f>MAX(0,MIN(100,(V443/100)*(1-X443/100)*(1-W443/100)*100))</x:f>
        <x:v>71.1370514483355</x:v>
      </x:c>
    </x:row>
    <x:row r="444">
      <x:c r="A444" s="12" t="n">
        <x:v>46174</x:v>
      </x:c>
      <x:c r="B444" t="str">
        <x:v>B</x:v>
      </x:c>
      <x:c r="C444" t="str">
        <x:v>Dried Pineapple</x:v>
      </x:c>
      <x:c r="D444" t="str">
        <x:v>Dryer 2</x:v>
      </x:c>
      <x:c r="E444" t="str">
        <x:v>Sup 2</x:v>
      </x:c>
      <x:c r="F444" t="n">
        <x:v>480</x:v>
      </x:c>
      <x:c r="G444" t="n">
        <x:v>0</x:v>
      </x:c>
      <x:c r="H444" t="n">
        <x:v>42</x:v>
      </x:c>
      <x:c r="I444" t="n">
        <x:v>1788</x:v>
      </x:c>
      <x:c r="J444" t="n">
        <x:v>1454</x:v>
      </x:c>
      <x:c r="K444" t="n">
        <x:v>48</x:v>
      </x:c>
      <x:c r="L444" t="n">
        <x:v>28</x:v>
      </x:c>
      <x:c r="M444" t="n">
        <x:v>83.8</x:v>
      </x:c>
      <x:c r="N444" t="n">
        <x:v>84.5</x:v>
      </x:c>
      <x:c r="O444" t="n">
        <x:v>86.7</x:v>
      </x:c>
      <x:c r="P444" t="n">
        <x:v>4</x:v>
      </x:c>
      <x:c r="Q444" t="str">
        <x:v>No incident</x:v>
      </x:c>
      <x:c r="R444" t="str">
        <x:v>N/A</x:v>
      </x:c>
      <x:c r="S444" t="str">
        <x:v>Preventive</x:v>
      </x:c>
      <x:c r="T444" t="n">
        <x:v>0.66</x:v>
      </x:c>
      <x:c r="U444" t="n">
        <x:v>12.7</x:v>
      </x:c>
      <x:c r="V444" t="n">
        <x:f>IFERROR(J444/I444*100,0)</x:f>
        <x:v>81.31991051454138</x:v>
      </x:c>
      <x:c r="W444" t="n">
        <x:f>IFERROR(K444/J444*100,0)</x:f>
        <x:v>3.3012379642365883</x:v>
      </x:c>
      <x:c r="X444" t="n">
        <x:f>IFERROR(H444/F444*100,0)</x:f>
        <x:v>8.75</x:v>
      </x:c>
      <x:c r="Y444" t="n">
        <x:f>J444-K444</x:f>
        <x:v>1406</x:v>
      </x:c>
      <x:c r="Z444" t="n">
        <x:f>MAX(0,MIN(100,(V444/100)*(1-X444/100)*(1-W444/100)*100))</x:f>
        <x:v>71.75475391498878</x:v>
      </x:c>
    </x:row>
    <x:row r="445">
      <x:c r="A445" s="12" t="n">
        <x:v>46174</x:v>
      </x:c>
      <x:c r="B445" t="str">
        <x:v>C</x:v>
      </x:c>
      <x:c r="C445" t="str">
        <x:v>Dried Mango</x:v>
      </x:c>
      <x:c r="D445" t="str">
        <x:v>Dryer 1</x:v>
      </x:c>
      <x:c r="E445" t="str">
        <x:v>Sup 3</x:v>
      </x:c>
      <x:c r="F445" t="n">
        <x:v>450</x:v>
      </x:c>
      <x:c r="G445" t="n">
        <x:v>20</x:v>
      </x:c>
      <x:c r="H445" t="n">
        <x:v>55</x:v>
      </x:c>
      <x:c r="I445" t="n">
        <x:v>1670</x:v>
      </x:c>
      <x:c r="J445" t="n">
        <x:v>1396</x:v>
      </x:c>
      <x:c r="K445" t="n">
        <x:v>45</x:v>
      </x:c>
      <x:c r="L445" t="n">
        <x:v>9</x:v>
      </x:c>
      <x:c r="M445" t="n">
        <x:v>87.7</x:v>
      </x:c>
      <x:c r="N445" t="n">
        <x:v>55.8</x:v>
      </x:c>
      <x:c r="O445" t="n">
        <x:v>74.1</x:v>
      </x:c>
      <x:c r="P445" t="n">
        <x:v>1</x:v>
      </x:c>
      <x:c r="Q445" t="str">
        <x:v>No incident</x:v>
      </x:c>
      <x:c r="R445" t="str">
        <x:v>N/A</x:v>
      </x:c>
      <x:c r="S445" t="str">
        <x:v>Inspection</x:v>
      </x:c>
      <x:c r="T445" t="n">
        <x:v>0.77</x:v>
      </x:c>
      <x:c r="U445" t="n">
        <x:v>12.6</x:v>
      </x:c>
      <x:c r="V445" t="n">
        <x:f>IFERROR(J445/I445*100,0)</x:f>
        <x:v>83.59281437125749</x:v>
      </x:c>
      <x:c r="W445" t="n">
        <x:f>IFERROR(K445/J445*100,0)</x:f>
        <x:v>3.2234957020057307</x:v>
      </x:c>
      <x:c r="X445" t="n">
        <x:f>IFERROR(H445/F445*100,0)</x:f>
        <x:v>12.222222222222221</x:v>
      </x:c>
      <x:c r="Y445" t="n">
        <x:f>J445-K445</x:f>
        <x:v>1351</x:v>
      </x:c>
      <x:c r="Z445" t="n">
        <x:f>MAX(0,MIN(100,(V445/100)*(1-X445/100)*(1-W445/100)*100))</x:f>
        <x:v>71.01064537591483</x:v>
      </x:c>
    </x:row>
    <x:row r="446">
      <x:c r="A446" s="12" t="n">
        <x:v>46175</x:v>
      </x:c>
      <x:c r="B446" t="str">
        <x:v>A</x:v>
      </x:c>
      <x:c r="C446" t="str">
        <x:v>Dried Pineapple</x:v>
      </x:c>
      <x:c r="D446" t="str">
        <x:v>Dryer 2</x:v>
      </x:c>
      <x:c r="E446" t="str">
        <x:v>Sup 1</x:v>
      </x:c>
      <x:c r="F446" t="n">
        <x:v>420</x:v>
      </x:c>
      <x:c r="G446" t="n">
        <x:v>30</x:v>
      </x:c>
      <x:c r="H446" t="n">
        <x:v>30</x:v>
      </x:c>
      <x:c r="I446" t="n">
        <x:v>1628</x:v>
      </x:c>
      <x:c r="J446" t="n">
        <x:v>1494</x:v>
      </x:c>
      <x:c r="K446" t="n">
        <x:v>50</x:v>
      </x:c>
      <x:c r="L446" t="n">
        <x:v>33</x:v>
      </x:c>
      <x:c r="M446" t="n">
        <x:v>82.1</x:v>
      </x:c>
      <x:c r="N446" t="n">
        <x:v>69.8</x:v>
      </x:c>
      <x:c r="O446" t="n">
        <x:v>77</x:v>
      </x:c>
      <x:c r="P446" t="n">
        <x:v>3</x:v>
      </x:c>
      <x:c r="Q446" t="str">
        <x:v>First aid</x:v>
      </x:c>
      <x:c r="R446" t="str">
        <x:v>Closed</x:v>
      </x:c>
      <x:c r="S446" t="str">
        <x:v>Corrective</x:v>
      </x:c>
      <x:c r="T446" t="n">
        <x:v>1.31</x:v>
      </x:c>
      <x:c r="U446" t="n">
        <x:v>12.1</x:v>
      </x:c>
      <x:c r="V446" t="n">
        <x:f>IFERROR(J446/I446*100,0)</x:f>
        <x:v>91.76904176904176</x:v>
      </x:c>
      <x:c r="W446" t="n">
        <x:f>IFERROR(K446/J446*100,0)</x:f>
        <x:v>3.3467202141900936</x:v>
      </x:c>
      <x:c r="X446" t="n">
        <x:f>IFERROR(H446/F446*100,0)</x:f>
        <x:v>7.142857142857142</x:v>
      </x:c>
      <x:c r="Y446" t="n">
        <x:f>J446-K446</x:f>
        <x:v>1444</x:v>
      </x:c>
      <x:c r="Z446" t="n">
        <x:f>MAX(0,MIN(100,(V446/100)*(1-X446/100)*(1-W446/100)*100))</x:f>
        <x:v>82.36223236223236</x:v>
      </x:c>
    </x:row>
    <x:row r="447">
      <x:c r="A447" s="12" t="n">
        <x:v>46175</x:v>
      </x:c>
      <x:c r="B447" t="str">
        <x:v>B</x:v>
      </x:c>
      <x:c r="C447" t="str">
        <x:v>Dried Mango</x:v>
      </x:c>
      <x:c r="D447" t="str">
        <x:v>Dryer 3</x:v>
      </x:c>
      <x:c r="E447" t="str">
        <x:v>Sup 3</x:v>
      </x:c>
      <x:c r="F447" t="n">
        <x:v>450</x:v>
      </x:c>
      <x:c r="G447" t="n">
        <x:v>20</x:v>
      </x:c>
      <x:c r="H447" t="n">
        <x:v>72</x:v>
      </x:c>
      <x:c r="I447" t="n">
        <x:v>1543</x:v>
      </x:c>
      <x:c r="J447" t="n">
        <x:v>1245</x:v>
      </x:c>
      <x:c r="K447" t="n">
        <x:v>59</x:v>
      </x:c>
      <x:c r="L447" t="n">
        <x:v>21</x:v>
      </x:c>
      <x:c r="M447" t="n">
        <x:v>96.3</x:v>
      </x:c>
      <x:c r="N447" t="n">
        <x:v>72.7</x:v>
      </x:c>
      <x:c r="O447" t="n">
        <x:v>72.6</x:v>
      </x:c>
      <x:c r="P447" t="n">
        <x:v>5</x:v>
      </x:c>
      <x:c r="Q447" t="str">
        <x:v>No incident</x:v>
      </x:c>
      <x:c r="R447" t="str">
        <x:v>N/A</x:v>
      </x:c>
      <x:c r="S447" t="str">
        <x:v>Corrective</x:v>
      </x:c>
      <x:c r="T447" t="n">
        <x:v>1.34</x:v>
      </x:c>
      <x:c r="U447" t="n">
        <x:v>11.3</x:v>
      </x:c>
      <x:c r="V447" t="n">
        <x:f>IFERROR(J447/I447*100,0)</x:f>
        <x:v>80.68697342838627</x:v>
      </x:c>
      <x:c r="W447" t="n">
        <x:f>IFERROR(K447/J447*100,0)</x:f>
        <x:v>4.738955823293173</x:v>
      </x:c>
      <x:c r="X447" t="n">
        <x:f>IFERROR(H447/F447*100,0)</x:f>
        <x:v>16</x:v>
      </x:c>
      <x:c r="Y447" t="n">
        <x:f>J447-K447</x:f>
        <x:v>1186</x:v>
      </x:c>
      <x:c r="Z447" t="n">
        <x:f>MAX(0,MIN(100,(V447/100)*(1-X447/100)*(1-W447/100)*100))</x:f>
        <x:v>64.5651328580687</x:v>
      </x:c>
    </x:row>
    <x:row r="448">
      <x:c r="A448" s="12" t="n">
        <x:v>46175</x:v>
      </x:c>
      <x:c r="B448" t="str">
        <x:v>C</x:v>
      </x:c>
      <x:c r="C448" t="str">
        <x:v>Dried Mango</x:v>
      </x:c>
      <x:c r="D448" t="str">
        <x:v>Dryer 1</x:v>
      </x:c>
      <x:c r="E448" t="str">
        <x:v>Sup 1</x:v>
      </x:c>
      <x:c r="F448" t="n">
        <x:v>450</x:v>
      </x:c>
      <x:c r="G448" t="n">
        <x:v>30</x:v>
      </x:c>
      <x:c r="H448" t="n">
        <x:v>59</x:v>
      </x:c>
      <x:c r="I448" t="n">
        <x:v>1655</x:v>
      </x:c>
      <x:c r="J448" t="n">
        <x:v>1313</x:v>
      </x:c>
      <x:c r="K448" t="n">
        <x:v>56</x:v>
      </x:c>
      <x:c r="L448" t="n">
        <x:v>19</x:v>
      </x:c>
      <x:c r="M448" t="n">
        <x:v>88.3</x:v>
      </x:c>
      <x:c r="N448" t="n">
        <x:v>59.3</x:v>
      </x:c>
      <x:c r="O448" t="n">
        <x:v>74.4</x:v>
      </x:c>
      <x:c r="P448" t="n">
        <x:v>2</x:v>
      </x:c>
      <x:c r="Q448" t="str">
        <x:v>No incident</x:v>
      </x:c>
      <x:c r="R448" t="str">
        <x:v>N/A</x:v>
      </x:c>
      <x:c r="S448" t="str">
        <x:v>Corrective</x:v>
      </x:c>
      <x:c r="T448" t="n">
        <x:v>1.56</x:v>
      </x:c>
      <x:c r="U448" t="n">
        <x:v>12.1</x:v>
      </x:c>
      <x:c r="V448" t="n">
        <x:f>IFERROR(J448/I448*100,0)</x:f>
        <x:v>79.33534743202418</x:v>
      </x:c>
      <x:c r="W448" t="n">
        <x:f>IFERROR(K448/J448*100,0)</x:f>
        <x:v>4.265041888804265</x:v>
      </x:c>
      <x:c r="X448" t="n">
        <x:f>IFERROR(H448/F448*100,0)</x:f>
        <x:v>13.111111111111112</x:v>
      </x:c>
      <x:c r="Y448" t="n">
        <x:f>J448-K448</x:f>
        <x:v>1257</x:v>
      </x:c>
      <x:c r="Z448" t="n">
        <x:f>MAX(0,MIN(100,(V448/100)*(1-X448/100)*(1-W448/100)*100))</x:f>
        <x:v>65.99355488418934</x:v>
      </x:c>
    </x:row>
    <x:row r="449">
      <x:c r="A449" s="12" t="n">
        <x:v>46176</x:v>
      </x:c>
      <x:c r="B449" t="str">
        <x:v>A</x:v>
      </x:c>
      <x:c r="C449" t="str">
        <x:v>Desiccated Coconut</x:v>
      </x:c>
      <x:c r="D449" t="str">
        <x:v>Dryer 1</x:v>
      </x:c>
      <x:c r="E449" t="str">
        <x:v>Sup 2</x:v>
      </x:c>
      <x:c r="F449" t="n">
        <x:v>480</x:v>
      </x:c>
      <x:c r="G449" t="n">
        <x:v>30</x:v>
      </x:c>
      <x:c r="H449" t="n">
        <x:v>66</x:v>
      </x:c>
      <x:c r="I449" t="n">
        <x:v>1235</x:v>
      </x:c>
      <x:c r="J449" t="n">
        <x:v>931</x:v>
      </x:c>
      <x:c r="K449" t="n">
        <x:v>31</x:v>
      </x:c>
      <x:c r="L449" t="n">
        <x:v>20</x:v>
      </x:c>
      <x:c r="M449" t="n">
        <x:v>83.6</x:v>
      </x:c>
      <x:c r="N449" t="n">
        <x:v>82.9</x:v>
      </x:c>
      <x:c r="O449" t="n">
        <x:v>68.8</x:v>
      </x:c>
      <x:c r="P449" t="n">
        <x:v>4</x:v>
      </x:c>
      <x:c r="Q449" t="str">
        <x:v>No incident</x:v>
      </x:c>
      <x:c r="R449" t="str">
        <x:v>N/A</x:v>
      </x:c>
      <x:c r="S449" t="str">
        <x:v>Inspection</x:v>
      </x:c>
      <x:c r="T449" t="n">
        <x:v>0.56</x:v>
      </x:c>
      <x:c r="U449" t="n">
        <x:v>7.7</x:v>
      </x:c>
      <x:c r="V449" t="n">
        <x:f>IFERROR(J449/I449*100,0)</x:f>
        <x:v>75.38461538461539</x:v>
      </x:c>
      <x:c r="W449" t="n">
        <x:f>IFERROR(K449/J449*100,0)</x:f>
        <x:v>3.329752953813104</x:v>
      </x:c>
      <x:c r="X449" t="n">
        <x:f>IFERROR(H449/F449*100,0)</x:f>
        <x:v>13.750000000000002</x:v>
      </x:c>
      <x:c r="Y449" t="n">
        <x:f>J449-K449</x:f>
        <x:v>900</x:v>
      </x:c>
      <x:c r="Z449" t="n">
        <x:f>MAX(0,MIN(100,(V449/100)*(1-X449/100)*(1-W449/100)*100))</x:f>
        <x:v>62.85425101214576</x:v>
      </x:c>
    </x:row>
    <x:row r="450">
      <x:c r="A450" s="12" t="n">
        <x:v>46176</x:v>
      </x:c>
      <x:c r="B450" t="str">
        <x:v>B</x:v>
      </x:c>
      <x:c r="C450" t="str">
        <x:v>Dried Mango</x:v>
      </x:c>
      <x:c r="D450" t="str">
        <x:v>Dryer 3</x:v>
      </x:c>
      <x:c r="E450" t="str">
        <x:v>Sup 1</x:v>
      </x:c>
      <x:c r="F450" t="n">
        <x:v>480</x:v>
      </x:c>
      <x:c r="G450" t="n">
        <x:v>40</x:v>
      </x:c>
      <x:c r="H450" t="n">
        <x:v>26</x:v>
      </x:c>
      <x:c r="I450" t="n">
        <x:v>1602</x:v>
      </x:c>
      <x:c r="J450" t="n">
        <x:v>1327</x:v>
      </x:c>
      <x:c r="K450" t="n">
        <x:v>53</x:v>
      </x:c>
      <x:c r="L450" t="n">
        <x:v>18</x:v>
      </x:c>
      <x:c r="M450" t="n">
        <x:v>94.9</x:v>
      </x:c>
      <x:c r="N450" t="n">
        <x:v>74.9</x:v>
      </x:c>
      <x:c r="O450" t="n">
        <x:v>69.3</x:v>
      </x:c>
      <x:c r="P450" t="n">
        <x:v>6</x:v>
      </x:c>
      <x:c r="Q450" t="str">
        <x:v>No incident</x:v>
      </x:c>
      <x:c r="R450" t="str">
        <x:v>N/A</x:v>
      </x:c>
      <x:c r="S450" t="str">
        <x:v>Preventive</x:v>
      </x:c>
      <x:c r="T450" t="n">
        <x:v>0.5</x:v>
      </x:c>
      <x:c r="U450" t="n">
        <x:v>11.2</x:v>
      </x:c>
      <x:c r="V450" t="n">
        <x:f>IFERROR(J450/I450*100,0)</x:f>
        <x:v>82.83395755305868</x:v>
      </x:c>
      <x:c r="W450" t="n">
        <x:f>IFERROR(K450/J450*100,0)</x:f>
        <x:v>3.9939713639788996</x:v>
      </x:c>
      <x:c r="X450" t="n">
        <x:f>IFERROR(H450/F450*100,0)</x:f>
        <x:v>5.416666666666667</x:v>
      </x:c>
      <x:c r="Y450" t="n">
        <x:f>J450-K450</x:f>
        <x:v>1274</x:v>
      </x:c>
      <x:c r="Z450" t="n">
        <x:f>MAX(0,MIN(100,(V450/100)*(1-X450/100)*(1-W450/100)*100))</x:f>
        <x:v>75.21795672076571</x:v>
      </x:c>
    </x:row>
    <x:row r="451">
      <x:c r="A451" s="12" t="n">
        <x:v>46176</x:v>
      </x:c>
      <x:c r="B451" t="str">
        <x:v>C</x:v>
      </x:c>
      <x:c r="C451" t="str">
        <x:v>Dried Pineapple</x:v>
      </x:c>
      <x:c r="D451" t="str">
        <x:v>Dryer 1</x:v>
      </x:c>
      <x:c r="E451" t="str">
        <x:v>Sup 2</x:v>
      </x:c>
      <x:c r="F451" t="n">
        <x:v>480</x:v>
      </x:c>
      <x:c r="G451" t="n">
        <x:v>0</x:v>
      </x:c>
      <x:c r="H451" t="n">
        <x:v>45</x:v>
      </x:c>
      <x:c r="I451" t="n">
        <x:v>1783</x:v>
      </x:c>
      <x:c r="J451" t="n">
        <x:v>1488</x:v>
      </x:c>
      <x:c r="K451" t="n">
        <x:v>55</x:v>
      </x:c>
      <x:c r="L451" t="n">
        <x:v>20</x:v>
      </x:c>
      <x:c r="M451" t="n">
        <x:v>83.4</x:v>
      </x:c>
      <x:c r="N451" t="n">
        <x:v>84.5</x:v>
      </x:c>
      <x:c r="O451" t="n">
        <x:v>77.8</x:v>
      </x:c>
      <x:c r="P451" t="n">
        <x:v>0</x:v>
      </x:c>
      <x:c r="Q451" t="str">
        <x:v>No incident</x:v>
      </x:c>
      <x:c r="R451" t="str">
        <x:v>N/A</x:v>
      </x:c>
      <x:c r="S451" t="str">
        <x:v>Corrective</x:v>
      </x:c>
      <x:c r="T451" t="n">
        <x:v>1.06</x:v>
      </x:c>
      <x:c r="U451" t="n">
        <x:v>11.3</x:v>
      </x:c>
      <x:c r="V451" t="n">
        <x:f>IFERROR(J451/I451*100,0)</x:f>
        <x:v>83.4548513740886</x:v>
      </x:c>
      <x:c r="W451" t="n">
        <x:f>IFERROR(K451/J451*100,0)</x:f>
        <x:v>3.696236559139785</x:v>
      </x:c>
      <x:c r="X451" t="n">
        <x:f>IFERROR(H451/F451*100,0)</x:f>
        <x:v>9.375</x:v>
      </x:c>
      <x:c r="Y451" t="n">
        <x:f>J451-K451</x:f>
        <x:v>1433</x:v>
      </x:c>
      <x:c r="Z451" t="n">
        <x:f>MAX(0,MIN(100,(V451/100)*(1-X451/100)*(1-W451/100)*100))</x:f>
        <x:v>72.83545989904654</x:v>
      </x:c>
    </x:row>
    <x:row r="452">
      <x:c r="A452" s="12" t="n">
        <x:v>46177</x:v>
      </x:c>
      <x:c r="B452" t="str">
        <x:v>A</x:v>
      </x:c>
      <x:c r="C452" t="str">
        <x:v>Desiccated Coconut</x:v>
      </x:c>
      <x:c r="D452" t="str">
        <x:v>Dryer 1</x:v>
      </x:c>
      <x:c r="E452" t="str">
        <x:v>Sup 2</x:v>
      </x:c>
      <x:c r="F452" t="n">
        <x:v>450</x:v>
      </x:c>
      <x:c r="G452" t="n">
        <x:v>30</x:v>
      </x:c>
      <x:c r="H452" t="n">
        <x:v>30</x:v>
      </x:c>
      <x:c r="I452" t="n">
        <x:v>1224</x:v>
      </x:c>
      <x:c r="J452" t="n">
        <x:v>1141</x:v>
      </x:c>
      <x:c r="K452" t="n">
        <x:v>22</x:v>
      </x:c>
      <x:c r="L452" t="n">
        <x:v>6</x:v>
      </x:c>
      <x:c r="M452" t="n">
        <x:v>95.2</x:v>
      </x:c>
      <x:c r="N452" t="n">
        <x:v>86.2</x:v>
      </x:c>
      <x:c r="O452" t="n">
        <x:v>70.6</x:v>
      </x:c>
      <x:c r="P452" t="n">
        <x:v>4</x:v>
      </x:c>
      <x:c r="Q452" t="str">
        <x:v>No incident</x:v>
      </x:c>
      <x:c r="R452" t="str">
        <x:v>N/A</x:v>
      </x:c>
      <x:c r="S452" t="str">
        <x:v>Preventive</x:v>
      </x:c>
      <x:c r="T452" t="n">
        <x:v>0.97</x:v>
      </x:c>
      <x:c r="U452" t="n">
        <x:v>9.7</x:v>
      </x:c>
      <x:c r="V452" t="n">
        <x:f>IFERROR(J452/I452*100,0)</x:f>
        <x:v>93.21895424836602</x:v>
      </x:c>
      <x:c r="W452" t="n">
        <x:f>IFERROR(K452/J452*100,0)</x:f>
        <x:v>1.9281332164767746</x:v>
      </x:c>
      <x:c r="X452" t="n">
        <x:f>IFERROR(H452/F452*100,0)</x:f>
        <x:v>6.666666666666667</x:v>
      </x:c>
      <x:c r="Y452" t="n">
        <x:f>J452-K452</x:f>
        <x:v>1119</x:v>
      </x:c>
      <x:c r="Z452" t="n">
        <x:f>MAX(0,MIN(100,(V452/100)*(1-X452/100)*(1-W452/100)*100))</x:f>
        <x:v>85.3267973856209</x:v>
      </x:c>
    </x:row>
    <x:row r="453">
      <x:c r="A453" s="12" t="n">
        <x:v>46177</x:v>
      </x:c>
      <x:c r="B453" t="str">
        <x:v>B</x:v>
      </x:c>
      <x:c r="C453" t="str">
        <x:v>Dried Mango</x:v>
      </x:c>
      <x:c r="D453" t="str">
        <x:v>Dryer 3</x:v>
      </x:c>
      <x:c r="E453" t="str">
        <x:v>Sup 3</x:v>
      </x:c>
      <x:c r="F453" t="n">
        <x:v>480</x:v>
      </x:c>
      <x:c r="G453" t="n">
        <x:v>20</x:v>
      </x:c>
      <x:c r="H453" t="n">
        <x:v>59</x:v>
      </x:c>
      <x:c r="I453" t="n">
        <x:v>1620</x:v>
      </x:c>
      <x:c r="J453" t="n">
        <x:v>1413</x:v>
      </x:c>
      <x:c r="K453" t="n">
        <x:v>61</x:v>
      </x:c>
      <x:c r="L453" t="n">
        <x:v>14</x:v>
      </x:c>
      <x:c r="M453" t="n">
        <x:v>100</x:v>
      </x:c>
      <x:c r="N453" t="n">
        <x:v>86.6</x:v>
      </x:c>
      <x:c r="O453" t="n">
        <x:v>77</x:v>
      </x:c>
      <x:c r="P453" t="n">
        <x:v>4</x:v>
      </x:c>
      <x:c r="Q453" t="str">
        <x:v>No incident</x:v>
      </x:c>
      <x:c r="R453" t="str">
        <x:v>N/A</x:v>
      </x:c>
      <x:c r="S453" t="str">
        <x:v>Corrective</x:v>
      </x:c>
      <x:c r="T453" t="n">
        <x:v>1.33</x:v>
      </x:c>
      <x:c r="U453" t="n">
        <x:v>11.7</x:v>
      </x:c>
      <x:c r="V453" t="n">
        <x:f>IFERROR(J453/I453*100,0)</x:f>
        <x:v>87.22222222222223</x:v>
      </x:c>
      <x:c r="W453" t="n">
        <x:f>IFERROR(K453/J453*100,0)</x:f>
        <x:v>4.3170559094125975</x:v>
      </x:c>
      <x:c r="X453" t="n">
        <x:f>IFERROR(H453/F453*100,0)</x:f>
        <x:v>12.291666666666666</x:v>
      </x:c>
      <x:c r="Y453" t="n">
        <x:f>J453-K453</x:f>
        <x:v>1352</x:v>
      </x:c>
      <x:c r="Z453" t="n">
        <x:f>MAX(0,MIN(100,(V453/100)*(1-X453/100)*(1-W453/100)*100))</x:f>
        <x:v>73.19855967078189</x:v>
      </x:c>
    </x:row>
    <x:row r="454">
      <x:c r="A454" s="12" t="n">
        <x:v>46177</x:v>
      </x:c>
      <x:c r="B454" t="str">
        <x:v>C</x:v>
      </x:c>
      <x:c r="C454" t="str">
        <x:v>Desiccated Coconut</x:v>
      </x:c>
      <x:c r="D454" t="str">
        <x:v>Dryer 4</x:v>
      </x:c>
      <x:c r="E454" t="str">
        <x:v>Sup 2</x:v>
      </x:c>
      <x:c r="F454" t="n">
        <x:v>420</x:v>
      </x:c>
      <x:c r="G454" t="n">
        <x:v>30</x:v>
      </x:c>
      <x:c r="H454" t="n">
        <x:v>67</x:v>
      </x:c>
      <x:c r="I454" t="n">
        <x:v>1153</x:v>
      </x:c>
      <x:c r="J454" t="n">
        <x:v>893</x:v>
      </x:c>
      <x:c r="K454" t="n">
        <x:v>18</x:v>
      </x:c>
      <x:c r="L454" t="n">
        <x:v>11</x:v>
      </x:c>
      <x:c r="M454" t="n">
        <x:v>92.3</x:v>
      </x:c>
      <x:c r="N454" t="n">
        <x:v>78.1</x:v>
      </x:c>
      <x:c r="O454" t="n">
        <x:v>86.2</x:v>
      </x:c>
      <x:c r="P454" t="n">
        <x:v>2</x:v>
      </x:c>
      <x:c r="Q454" t="str">
        <x:v>No incident</x:v>
      </x:c>
      <x:c r="R454" t="str">
        <x:v>N/A</x:v>
      </x:c>
      <x:c r="S454" t="str">
        <x:v>Preventive</x:v>
      </x:c>
      <x:c r="T454" t="n">
        <x:v>0.67</x:v>
      </x:c>
      <x:c r="U454" t="n">
        <x:v>7</x:v>
      </x:c>
      <x:c r="V454" t="n">
        <x:f>IFERROR(J454/I454*100,0)</x:f>
        <x:v>77.4501300954033</x:v>
      </x:c>
      <x:c r="W454" t="n">
        <x:f>IFERROR(K454/J454*100,0)</x:f>
        <x:v>2.015677491601344</x:v>
      </x:c>
      <x:c r="X454" t="n">
        <x:f>IFERROR(H454/F454*100,0)</x:f>
        <x:v>15.95238095238095</x:v>
      </x:c>
      <x:c r="Y454" t="n">
        <x:f>J454-K454</x:f>
        <x:v>875</x:v>
      </x:c>
      <x:c r="Z454" t="n">
        <x:f>MAX(0,MIN(100,(V454/100)*(1-X454/100)*(1-W454/100)*100))</x:f>
        <x:v>63.78288522694421</x:v>
      </x:c>
    </x:row>
    <x:row r="455">
      <x:c r="A455" s="12" t="n">
        <x:v>46178</x:v>
      </x:c>
      <x:c r="B455" t="str">
        <x:v>A</x:v>
      </x:c>
      <x:c r="C455" t="str">
        <x:v>Dried Pineapple</x:v>
      </x:c>
      <x:c r="D455" t="str">
        <x:v>Dryer 4</x:v>
      </x:c>
      <x:c r="E455" t="str">
        <x:v>Sup 2</x:v>
      </x:c>
      <x:c r="F455" t="n">
        <x:v>480</x:v>
      </x:c>
      <x:c r="G455" t="n">
        <x:v>40</x:v>
      </x:c>
      <x:c r="H455" t="n">
        <x:v>34</x:v>
      </x:c>
      <x:c r="I455" t="n">
        <x:v>1735</x:v>
      </x:c>
      <x:c r="J455" t="n">
        <x:v>1602</x:v>
      </x:c>
      <x:c r="K455" t="n">
        <x:v>57</x:v>
      </x:c>
      <x:c r="L455" t="n">
        <x:v>39</x:v>
      </x:c>
      <x:c r="M455" t="n">
        <x:v>97.7</x:v>
      </x:c>
      <x:c r="N455" t="n">
        <x:v>85</x:v>
      </x:c>
      <x:c r="O455" t="n">
        <x:v>77</x:v>
      </x:c>
      <x:c r="P455" t="n">
        <x:v>4</x:v>
      </x:c>
      <x:c r="Q455" t="str">
        <x:v>No incident</x:v>
      </x:c>
      <x:c r="R455" t="str">
        <x:v>N/A</x:v>
      </x:c>
      <x:c r="S455" t="str">
        <x:v>Inspection</x:v>
      </x:c>
      <x:c r="T455" t="n">
        <x:v>1.14</x:v>
      </x:c>
      <x:c r="U455" t="n">
        <x:v>13.3</x:v>
      </x:c>
      <x:c r="V455" t="n">
        <x:f>IFERROR(J455/I455*100,0)</x:f>
        <x:v>92.3342939481268</x:v>
      </x:c>
      <x:c r="W455" t="n">
        <x:f>IFERROR(K455/J455*100,0)</x:f>
        <x:v>3.5580524344569286</x:v>
      </x:c>
      <x:c r="X455" t="n">
        <x:f>IFERROR(H455/F455*100,0)</x:f>
        <x:v>7.083333333333333</x:v>
      </x:c>
      <x:c r="Y455" t="n">
        <x:f>J455-K455</x:f>
        <x:v>1545</x:v>
      </x:c>
      <x:c r="Z455" t="n">
        <x:f>MAX(0,MIN(100,(V455/100)*(1-X455/100)*(1-W455/100)*100))</x:f>
        <x:v>82.7413544668588</x:v>
      </x:c>
    </x:row>
    <x:row r="456">
      <x:c r="A456" s="12" t="n">
        <x:v>46178</x:v>
      </x:c>
      <x:c r="B456" t="str">
        <x:v>B</x:v>
      </x:c>
      <x:c r="C456" t="str">
        <x:v>Desiccated Coconut</x:v>
      </x:c>
      <x:c r="D456" t="str">
        <x:v>Dryer 2</x:v>
      </x:c>
      <x:c r="E456" t="str">
        <x:v>Sup 1</x:v>
      </x:c>
      <x:c r="F456" t="n">
        <x:v>450</x:v>
      </x:c>
      <x:c r="G456" t="n">
        <x:v>30</x:v>
      </x:c>
      <x:c r="H456" t="n">
        <x:v>37</x:v>
      </x:c>
      <x:c r="I456" t="n">
        <x:v>1138</x:v>
      </x:c>
      <x:c r="J456" t="n">
        <x:v>982</x:v>
      </x:c>
      <x:c r="K456" t="n">
        <x:v>21</x:v>
      </x:c>
      <x:c r="L456" t="n">
        <x:v>11</x:v>
      </x:c>
      <x:c r="M456" t="n">
        <x:v>84.6</x:v>
      </x:c>
      <x:c r="N456" t="n">
        <x:v>76.7</x:v>
      </x:c>
      <x:c r="O456" t="n">
        <x:v>70.2</x:v>
      </x:c>
      <x:c r="P456" t="n">
        <x:v>5</x:v>
      </x:c>
      <x:c r="Q456" t="str">
        <x:v>No incident</x:v>
      </x:c>
      <x:c r="R456" t="str">
        <x:v>N/A</x:v>
      </x:c>
      <x:c r="S456" t="str">
        <x:v>Preventive</x:v>
      </x:c>
      <x:c r="T456" t="n">
        <x:v>1.4</x:v>
      </x:c>
      <x:c r="U456" t="n">
        <x:v>8.9</x:v>
      </x:c>
      <x:c r="V456" t="n">
        <x:f>IFERROR(J456/I456*100,0)</x:f>
        <x:v>86.29173989455184</x:v>
      </x:c>
      <x:c r="W456" t="n">
        <x:f>IFERROR(K456/J456*100,0)</x:f>
        <x:v>2.1384928716904277</x:v>
      </x:c>
      <x:c r="X456" t="n">
        <x:f>IFERROR(H456/F456*100,0)</x:f>
        <x:v>8.222222222222223</x:v>
      </x:c>
      <x:c r="Y456" t="n">
        <x:f>J456-K456</x:f>
        <x:v>961</x:v>
      </x:c>
      <x:c r="Z456" t="n">
        <x:f>MAX(0,MIN(100,(V456/100)*(1-X456/100)*(1-W456/100)*100))</x:f>
        <x:v>77.50302675258737</x:v>
      </x:c>
    </x:row>
    <x:row r="457">
      <x:c r="A457" s="12" t="n">
        <x:v>46178</x:v>
      </x:c>
      <x:c r="B457" t="str">
        <x:v>C</x:v>
      </x:c>
      <x:c r="C457" t="str">
        <x:v>Dried Pineapple</x:v>
      </x:c>
      <x:c r="D457" t="str">
        <x:v>Dryer 1</x:v>
      </x:c>
      <x:c r="E457" t="str">
        <x:v>Sup 3</x:v>
      </x:c>
      <x:c r="F457" t="n">
        <x:v>450</x:v>
      </x:c>
      <x:c r="G457" t="n">
        <x:v>30</x:v>
      </x:c>
      <x:c r="H457" t="n">
        <x:v>46</x:v>
      </x:c>
      <x:c r="I457" t="n">
        <x:v>1640</x:v>
      </x:c>
      <x:c r="J457" t="n">
        <x:v>1419</x:v>
      </x:c>
      <x:c r="K457" t="n">
        <x:v>54</x:v>
      </x:c>
      <x:c r="L457" t="n">
        <x:v>15</x:v>
      </x:c>
      <x:c r="M457" t="n">
        <x:v>82.3</x:v>
      </x:c>
      <x:c r="N457" t="n">
        <x:v>55</x:v>
      </x:c>
      <x:c r="O457" t="n">
        <x:v>71.1</x:v>
      </x:c>
      <x:c r="P457" t="n">
        <x:v>7</x:v>
      </x:c>
      <x:c r="Q457" t="str">
        <x:v>No incident</x:v>
      </x:c>
      <x:c r="R457" t="str">
        <x:v>N/A</x:v>
      </x:c>
      <x:c r="S457" t="str">
        <x:v>Inspection</x:v>
      </x:c>
      <x:c r="T457" t="n">
        <x:v>0.94</x:v>
      </x:c>
      <x:c r="U457" t="n">
        <x:v>12.7</x:v>
      </x:c>
      <x:c r="V457" t="n">
        <x:f>IFERROR(J457/I457*100,0)</x:f>
        <x:v>86.52439024390245</x:v>
      </x:c>
      <x:c r="W457" t="n">
        <x:f>IFERROR(K457/J457*100,0)</x:f>
        <x:v>3.8054968287526427</x:v>
      </x:c>
      <x:c r="X457" t="n">
        <x:f>IFERROR(H457/F457*100,0)</x:f>
        <x:v>10.222222222222223</x:v>
      </x:c>
      <x:c r="Y457" t="n">
        <x:f>J457-K457</x:f>
        <x:v>1365</x:v>
      </x:c>
      <x:c r="Z457" t="n">
        <x:f>MAX(0,MIN(100,(V457/100)*(1-X457/100)*(1-W457/100)*100))</x:f>
        <x:v>74.72357723577237</x:v>
      </x:c>
    </x:row>
    <x:row r="458">
      <x:c r="A458" s="12" t="n">
        <x:v>46179</x:v>
      </x:c>
      <x:c r="B458" t="str">
        <x:v>A</x:v>
      </x:c>
      <x:c r="C458" t="str">
        <x:v>Dried Mango</x:v>
      </x:c>
      <x:c r="D458" t="str">
        <x:v>Dryer 4</x:v>
      </x:c>
      <x:c r="E458" t="str">
        <x:v>Sup 1</x:v>
      </x:c>
      <x:c r="F458" t="n">
        <x:v>450</x:v>
      </x:c>
      <x:c r="G458" t="n">
        <x:v>0</x:v>
      </x:c>
      <x:c r="H458" t="n">
        <x:v>14</x:v>
      </x:c>
      <x:c r="I458" t="n">
        <x:v>1581</x:v>
      </x:c>
      <x:c r="J458" t="n">
        <x:v>1365</x:v>
      </x:c>
      <x:c r="K458" t="n">
        <x:v>62</x:v>
      </x:c>
      <x:c r="L458" t="n">
        <x:v>25</x:v>
      </x:c>
      <x:c r="M458" t="n">
        <x:v>87.3</x:v>
      </x:c>
      <x:c r="N458" t="n">
        <x:v>78.3</x:v>
      </x:c>
      <x:c r="O458" t="n">
        <x:v>67</x:v>
      </x:c>
      <x:c r="P458" t="n">
        <x:v>3</x:v>
      </x:c>
      <x:c r="Q458" t="str">
        <x:v>No incident</x:v>
      </x:c>
      <x:c r="R458" t="str">
        <x:v>N/A</x:v>
      </x:c>
      <x:c r="S458" t="str">
        <x:v>Preventive</x:v>
      </x:c>
      <x:c r="T458" t="n">
        <x:v>0.8</x:v>
      </x:c>
      <x:c r="U458" t="n">
        <x:v>10.3</x:v>
      </x:c>
      <x:c r="V458" t="n">
        <x:f>IFERROR(J458/I458*100,0)</x:f>
        <x:v>86.33776091081594</x:v>
      </x:c>
      <x:c r="W458" t="n">
        <x:f>IFERROR(K458/J458*100,0)</x:f>
        <x:v>4.542124542124542</x:v>
      </x:c>
      <x:c r="X458" t="n">
        <x:f>IFERROR(H458/F458*100,0)</x:f>
        <x:v>3.111111111111111</x:v>
      </x:c>
      <x:c r="Y458" t="n">
        <x:f>J458-K458</x:f>
        <x:v>1303</x:v>
      </x:c>
      <x:c r="Z458" t="n">
        <x:f>MAX(0,MIN(100,(V458/100)*(1-X458/100)*(1-W458/100)*100))</x:f>
        <x:v>79.85213296788251</x:v>
      </x:c>
    </x:row>
    <x:row r="459">
      <x:c r="A459" s="12" t="n">
        <x:v>46179</x:v>
      </x:c>
      <x:c r="B459" t="str">
        <x:v>B</x:v>
      </x:c>
      <x:c r="C459" t="str">
        <x:v>Desiccated Coconut</x:v>
      </x:c>
      <x:c r="D459" t="str">
        <x:v>Dryer 1</x:v>
      </x:c>
      <x:c r="E459" t="str">
        <x:v>Sup 3</x:v>
      </x:c>
      <x:c r="F459" t="n">
        <x:v>450</x:v>
      </x:c>
      <x:c r="G459" t="n">
        <x:v>40</x:v>
      </x:c>
      <x:c r="H459" t="n">
        <x:v>39</x:v>
      </x:c>
      <x:c r="I459" t="n">
        <x:v>1273</x:v>
      </x:c>
      <x:c r="J459" t="n">
        <x:v>1120</x:v>
      </x:c>
      <x:c r="K459" t="n">
        <x:v>28</x:v>
      </x:c>
      <x:c r="L459" t="n">
        <x:v>16</x:v>
      </x:c>
      <x:c r="M459" t="n">
        <x:v>91.7</x:v>
      </x:c>
      <x:c r="N459" t="n">
        <x:v>75.7</x:v>
      </x:c>
      <x:c r="O459" t="n">
        <x:v>71.5</x:v>
      </x:c>
      <x:c r="P459" t="n">
        <x:v>7</x:v>
      </x:c>
      <x:c r="Q459" t="str">
        <x:v>No incident</x:v>
      </x:c>
      <x:c r="R459" t="str">
        <x:v>N/A</x:v>
      </x:c>
      <x:c r="S459" t="str">
        <x:v>Inspection</x:v>
      </x:c>
      <x:c r="T459" t="n">
        <x:v>0.84</x:v>
      </x:c>
      <x:c r="U459" t="n">
        <x:v>9.6</x:v>
      </x:c>
      <x:c r="V459" t="n">
        <x:f>IFERROR(J459/I459*100,0)</x:f>
        <x:v>87.98114689709348</x:v>
      </x:c>
      <x:c r="W459" t="n">
        <x:f>IFERROR(K459/J459*100,0)</x:f>
        <x:v>2.5</x:v>
      </x:c>
      <x:c r="X459" t="n">
        <x:f>IFERROR(H459/F459*100,0)</x:f>
        <x:v>8.666666666666668</x:v>
      </x:c>
      <x:c r="Y459" t="n">
        <x:f>J459-K459</x:f>
        <x:v>1092</x:v>
      </x:c>
      <x:c r="Z459" t="n">
        <x:f>MAX(0,MIN(100,(V459/100)*(1-X459/100)*(1-W459/100)*100))</x:f>
        <x:v>78.34721131186173</x:v>
      </x:c>
    </x:row>
    <x:row r="460">
      <x:c r="A460" s="12" t="n">
        <x:v>46179</x:v>
      </x:c>
      <x:c r="B460" t="str">
        <x:v>C</x:v>
      </x:c>
      <x:c r="C460" t="str">
        <x:v>Desiccated Coconut</x:v>
      </x:c>
      <x:c r="D460" t="str">
        <x:v>Dryer 1</x:v>
      </x:c>
      <x:c r="E460" t="str">
        <x:v>Sup 2</x:v>
      </x:c>
      <x:c r="F460" t="n">
        <x:v>450</x:v>
      </x:c>
      <x:c r="G460" t="n">
        <x:v>30</x:v>
      </x:c>
      <x:c r="H460" t="n">
        <x:v>13</x:v>
      </x:c>
      <x:c r="I460" t="n">
        <x:v>1231</x:v>
      </x:c>
      <x:c r="J460" t="n">
        <x:v>1166</x:v>
      </x:c>
      <x:c r="K460" t="n">
        <x:v>40</x:v>
      </x:c>
      <x:c r="L460" t="n">
        <x:v>21</x:v>
      </x:c>
      <x:c r="M460" t="n">
        <x:v>82.4</x:v>
      </x:c>
      <x:c r="N460" t="n">
        <x:v>66.2</x:v>
      </x:c>
      <x:c r="O460" t="n">
        <x:v>84.2</x:v>
      </x:c>
      <x:c r="P460" t="n">
        <x:v>0</x:v>
      </x:c>
      <x:c r="Q460" t="str">
        <x:v>No incident</x:v>
      </x:c>
      <x:c r="R460" t="str">
        <x:v>N/A</x:v>
      </x:c>
      <x:c r="S460" t="str">
        <x:v>Inspection</x:v>
      </x:c>
      <x:c r="T460" t="n">
        <x:v>0.95</x:v>
      </x:c>
      <x:c r="U460" t="n">
        <x:v>9.1</x:v>
      </x:c>
      <x:c r="V460" t="n">
        <x:f>IFERROR(J460/I460*100,0)</x:f>
        <x:v>94.71974004874086</x:v>
      </x:c>
      <x:c r="W460" t="n">
        <x:f>IFERROR(K460/J460*100,0)</x:f>
        <x:v>3.430531732418525</x:v>
      </x:c>
      <x:c r="X460" t="n">
        <x:f>IFERROR(H460/F460*100,0)</x:f>
        <x:v>2.888888888888889</x:v>
      </x:c>
      <x:c r="Y460" t="n">
        <x:f>J460-K460</x:f>
        <x:v>1126</x:v>
      </x:c>
      <x:c r="Z460" t="n">
        <x:f>MAX(0,MIN(100,(V460/100)*(1-X460/100)*(1-W460/100)*100))</x:f>
        <x:v>88.82787255167433</x:v>
      </x:c>
    </x:row>
    <x:row r="461">
      <x:c r="A461" s="12" t="n">
        <x:v>46180</x:v>
      </x:c>
      <x:c r="B461" t="str">
        <x:v>A</x:v>
      </x:c>
      <x:c r="C461" t="str">
        <x:v>Dried Pineapple</x:v>
      </x:c>
      <x:c r="D461" t="str">
        <x:v>Dryer 1</x:v>
      </x:c>
      <x:c r="E461" t="str">
        <x:v>Sup 1</x:v>
      </x:c>
      <x:c r="F461" t="n">
        <x:v>480</x:v>
      </x:c>
      <x:c r="G461" t="n">
        <x:v>20</x:v>
      </x:c>
      <x:c r="H461" t="n">
        <x:v>29</x:v>
      </x:c>
      <x:c r="I461" t="n">
        <x:v>1859</x:v>
      </x:c>
      <x:c r="J461" t="n">
        <x:v>1768</x:v>
      </x:c>
      <x:c r="K461" t="n">
        <x:v>50</x:v>
      </x:c>
      <x:c r="L461" t="n">
        <x:v>26</x:v>
      </x:c>
      <x:c r="M461" t="n">
        <x:v>89.8</x:v>
      </x:c>
      <x:c r="N461" t="n">
        <x:v>78.3</x:v>
      </x:c>
      <x:c r="O461" t="n">
        <x:v>83</x:v>
      </x:c>
      <x:c r="P461" t="n">
        <x:v>5</x:v>
      </x:c>
      <x:c r="Q461" t="str">
        <x:v>No incident</x:v>
      </x:c>
      <x:c r="R461" t="str">
        <x:v>N/A</x:v>
      </x:c>
      <x:c r="S461" t="str">
        <x:v>Preventive</x:v>
      </x:c>
      <x:c r="T461" t="n">
        <x:v>0.5</x:v>
      </x:c>
      <x:c r="U461" t="n">
        <x:v>15.7</x:v>
      </x:c>
      <x:c r="V461" t="n">
        <x:f>IFERROR(J461/I461*100,0)</x:f>
        <x:v>95.1048951048951</x:v>
      </x:c>
      <x:c r="W461" t="n">
        <x:f>IFERROR(K461/J461*100,0)</x:f>
        <x:v>2.828054298642534</x:v>
      </x:c>
      <x:c r="X461" t="n">
        <x:f>IFERROR(H461/F461*100,0)</x:f>
        <x:v>6.041666666666667</x:v>
      </x:c>
      <x:c r="Y461" t="n">
        <x:f>J461-K461</x:f>
        <x:v>1718</x:v>
      </x:c>
      <x:c r="Z461" t="n">
        <x:f>MAX(0,MIN(100,(V461/100)*(1-X461/100)*(1-W461/100)*100))</x:f>
        <x:v>86.8318540433925</x:v>
      </x:c>
    </x:row>
    <x:row r="462">
      <x:c r="A462" s="12" t="n">
        <x:v>46180</x:v>
      </x:c>
      <x:c r="B462" t="str">
        <x:v>B</x:v>
      </x:c>
      <x:c r="C462" t="str">
        <x:v>Dried Mango</x:v>
      </x:c>
      <x:c r="D462" t="str">
        <x:v>Dryer 1</x:v>
      </x:c>
      <x:c r="E462" t="str">
        <x:v>Sup 3</x:v>
      </x:c>
      <x:c r="F462" t="n">
        <x:v>450</x:v>
      </x:c>
      <x:c r="G462" t="n">
        <x:v>0</x:v>
      </x:c>
      <x:c r="H462" t="n">
        <x:v>44</x:v>
      </x:c>
      <x:c r="I462" t="n">
        <x:v>1518</x:v>
      </x:c>
      <x:c r="J462" t="n">
        <x:v>1220</x:v>
      </x:c>
      <x:c r="K462" t="n">
        <x:v>47</x:v>
      </x:c>
      <x:c r="L462" t="n">
        <x:v>11</x:v>
      </x:c>
      <x:c r="M462" t="n">
        <x:v>97.7</x:v>
      </x:c>
      <x:c r="N462" t="n">
        <x:v>77.5</x:v>
      </x:c>
      <x:c r="O462" t="n">
        <x:v>57.7</x:v>
      </x:c>
      <x:c r="P462" t="n">
        <x:v>5</x:v>
      </x:c>
      <x:c r="Q462" t="str">
        <x:v>No incident</x:v>
      </x:c>
      <x:c r="R462" t="str">
        <x:v>N/A</x:v>
      </x:c>
      <x:c r="S462" t="str">
        <x:v>Preventive</x:v>
      </x:c>
      <x:c r="T462" t="n">
        <x:v>0.6</x:v>
      </x:c>
      <x:c r="U462" t="n">
        <x:v>10.6</x:v>
      </x:c>
      <x:c r="V462" t="n">
        <x:f>IFERROR(J462/I462*100,0)</x:f>
        <x:v>80.36890645586297</x:v>
      </x:c>
      <x:c r="W462" t="n">
        <x:f>IFERROR(K462/J462*100,0)</x:f>
        <x:v>3.8524590163934427</x:v>
      </x:c>
      <x:c r="X462" t="n">
        <x:f>IFERROR(H462/F462*100,0)</x:f>
        <x:v>9.777777777777779</x:v>
      </x:c>
      <x:c r="Y462" t="n">
        <x:f>J462-K462</x:f>
        <x:v>1173</x:v>
      </x:c>
      <x:c r="Z462" t="n">
        <x:f>MAX(0,MIN(100,(V462/100)*(1-X462/100)*(1-W462/100)*100))</x:f>
        <x:v>69.71717171717171</x:v>
      </x:c>
    </x:row>
    <x:row r="463">
      <x:c r="A463" s="12" t="n">
        <x:v>46180</x:v>
      </x:c>
      <x:c r="B463" t="str">
        <x:v>C</x:v>
      </x:c>
      <x:c r="C463" t="str">
        <x:v>Dried Pineapple</x:v>
      </x:c>
      <x:c r="D463" t="str">
        <x:v>Dryer 3</x:v>
      </x:c>
      <x:c r="E463" t="str">
        <x:v>Sup 2</x:v>
      </x:c>
      <x:c r="F463" t="n">
        <x:v>450</x:v>
      </x:c>
      <x:c r="G463" t="n">
        <x:v>30</x:v>
      </x:c>
      <x:c r="H463" t="n">
        <x:v>65</x:v>
      </x:c>
      <x:c r="I463" t="n">
        <x:v>1717</x:v>
      </x:c>
      <x:c r="J463" t="n">
        <x:v>1442</x:v>
      </x:c>
      <x:c r="K463" t="n">
        <x:v>51</x:v>
      </x:c>
      <x:c r="L463" t="n">
        <x:v>29</x:v>
      </x:c>
      <x:c r="M463" t="n">
        <x:v>86.7</x:v>
      </x:c>
      <x:c r="N463" t="n">
        <x:v>62.8</x:v>
      </x:c>
      <x:c r="O463" t="n">
        <x:v>74.5</x:v>
      </x:c>
      <x:c r="P463" t="n">
        <x:v>0</x:v>
      </x:c>
      <x:c r="Q463" t="str">
        <x:v>Near miss</x:v>
      </x:c>
      <x:c r="R463" t="str">
        <x:v>Closed</x:v>
      </x:c>
      <x:c r="S463" t="str">
        <x:v>Inspection</x:v>
      </x:c>
      <x:c r="T463" t="n">
        <x:v>0.54</x:v>
      </x:c>
      <x:c r="U463" t="n">
        <x:v>11</x:v>
      </x:c>
      <x:c r="V463" t="n">
        <x:f>IFERROR(J463/I463*100,0)</x:f>
        <x:v>83.98369248689575</x:v>
      </x:c>
      <x:c r="W463" t="n">
        <x:f>IFERROR(K463/J463*100,0)</x:f>
        <x:v>3.536754507628294</x:v>
      </x:c>
      <x:c r="X463" t="n">
        <x:f>IFERROR(H463/F463*100,0)</x:f>
        <x:v>14.444444444444443</x:v>
      </x:c>
      <x:c r="Y463" t="n">
        <x:f>J463-K463</x:f>
        <x:v>1391</x:v>
      </x:c>
      <x:c r="Z463" t="n">
        <x:f>MAX(0,MIN(100,(V463/100)*(1-X463/100)*(1-W463/100)*100))</x:f>
        <x:v>69.3114605578205</x:v>
      </x:c>
    </x:row>
    <x:row r="464">
      <x:c r="A464" s="12" t="n">
        <x:v>46181</x:v>
      </x:c>
      <x:c r="B464" t="str">
        <x:v>A</x:v>
      </x:c>
      <x:c r="C464" t="str">
        <x:v>Dried Mango</x:v>
      </x:c>
      <x:c r="D464" t="str">
        <x:v>Dryer 1</x:v>
      </x:c>
      <x:c r="E464" t="str">
        <x:v>Sup 3</x:v>
      </x:c>
      <x:c r="F464" t="n">
        <x:v>450</x:v>
      </x:c>
      <x:c r="G464" t="n">
        <x:v>30</x:v>
      </x:c>
      <x:c r="H464" t="n">
        <x:v>56</x:v>
      </x:c>
      <x:c r="I464" t="n">
        <x:v>1759</x:v>
      </x:c>
      <x:c r="J464" t="n">
        <x:v>1403</x:v>
      </x:c>
      <x:c r="K464" t="n">
        <x:v>65</x:v>
      </x:c>
      <x:c r="L464" t="n">
        <x:v>30</x:v>
      </x:c>
      <x:c r="M464" t="n">
        <x:v>92.1</x:v>
      </x:c>
      <x:c r="N464" t="n">
        <x:v>61.7</x:v>
      </x:c>
      <x:c r="O464" t="n">
        <x:v>77.1</x:v>
      </x:c>
      <x:c r="P464" t="n">
        <x:v>5</x:v>
      </x:c>
      <x:c r="Q464" t="str">
        <x:v>No incident</x:v>
      </x:c>
      <x:c r="R464" t="str">
        <x:v>N/A</x:v>
      </x:c>
      <x:c r="S464" t="str">
        <x:v>Inspection</x:v>
      </x:c>
      <x:c r="T464" t="n">
        <x:v>0.59</x:v>
      </x:c>
      <x:c r="U464" t="n">
        <x:v>10.6</x:v>
      </x:c>
      <x:c r="V464" t="n">
        <x:f>IFERROR(J464/I464*100,0)</x:f>
        <x:v>79.76122797043776</x:v>
      </x:c>
      <x:c r="W464" t="n">
        <x:f>IFERROR(K464/J464*100,0)</x:f>
        <x:v>4.632929436920883</x:v>
      </x:c>
      <x:c r="X464" t="n">
        <x:f>IFERROR(H464/F464*100,0)</x:f>
        <x:v>12.444444444444445</x:v>
      </x:c>
      <x:c r="Y464" t="n">
        <x:f>J464-K464</x:f>
        <x:v>1338</x:v>
      </x:c>
      <x:c r="Z464" t="n">
        <x:f>MAX(0,MIN(100,(V464/100)*(1-X464/100)*(1-W464/100)*100))</x:f>
        <x:v>66.59996209967784</x:v>
      </x:c>
    </x:row>
    <x:row r="465">
      <x:c r="A465" s="12" t="n">
        <x:v>46181</x:v>
      </x:c>
      <x:c r="B465" t="str">
        <x:v>B</x:v>
      </x:c>
      <x:c r="C465" t="str">
        <x:v>Dried Pineapple</x:v>
      </x:c>
      <x:c r="D465" t="str">
        <x:v>Dryer 3</x:v>
      </x:c>
      <x:c r="E465" t="str">
        <x:v>Sup 2</x:v>
      </x:c>
      <x:c r="F465" t="n">
        <x:v>480</x:v>
      </x:c>
      <x:c r="G465" t="n">
        <x:v>20</x:v>
      </x:c>
      <x:c r="H465" t="n">
        <x:v>52</x:v>
      </x:c>
      <x:c r="I465" t="n">
        <x:v>1822</x:v>
      </x:c>
      <x:c r="J465" t="n">
        <x:v>1541</x:v>
      </x:c>
      <x:c r="K465" t="n">
        <x:v>69</x:v>
      </x:c>
      <x:c r="L465" t="n">
        <x:v>20</x:v>
      </x:c>
      <x:c r="M465" t="n">
        <x:v>92.7</x:v>
      </x:c>
      <x:c r="N465" t="n">
        <x:v>77.2</x:v>
      </x:c>
      <x:c r="O465" t="n">
        <x:v>73</x:v>
      </x:c>
      <x:c r="P465" t="n">
        <x:v>2</x:v>
      </x:c>
      <x:c r="Q465" t="str">
        <x:v>First aid</x:v>
      </x:c>
      <x:c r="R465" t="str">
        <x:v>In progress</x:v>
      </x:c>
      <x:c r="S465" t="str">
        <x:v>Inspection</x:v>
      </x:c>
      <x:c r="T465" t="n">
        <x:v>0.62</x:v>
      </x:c>
      <x:c r="U465" t="n">
        <x:v>12.1</x:v>
      </x:c>
      <x:c r="V465" t="n">
        <x:f>IFERROR(J465/I465*100,0)</x:f>
        <x:v>84.57738748627881</x:v>
      </x:c>
      <x:c r="W465" t="n">
        <x:f>IFERROR(K465/J465*100,0)</x:f>
        <x:v>4.477611940298507</x:v>
      </x:c>
      <x:c r="X465" t="n">
        <x:f>IFERROR(H465/F465*100,0)</x:f>
        <x:v>10.833333333333334</x:v>
      </x:c>
      <x:c r="Y465" t="n">
        <x:f>J465-K465</x:f>
        <x:v>1472</x:v>
      </x:c>
      <x:c r="Z465" t="n">
        <x:f>MAX(0,MIN(100,(V465/100)*(1-X465/100)*(1-W465/100)*100))</x:f>
        <x:v>72.03805342114892</x:v>
      </x:c>
    </x:row>
    <x:row r="466">
      <x:c r="A466" s="12" t="n">
        <x:v>46181</x:v>
      </x:c>
      <x:c r="B466" t="str">
        <x:v>C</x:v>
      </x:c>
      <x:c r="C466" t="str">
        <x:v>Dried Pineapple</x:v>
      </x:c>
      <x:c r="D466" t="str">
        <x:v>Dryer 1</x:v>
      </x:c>
      <x:c r="E466" t="str">
        <x:v>Sup 3</x:v>
      </x:c>
      <x:c r="F466" t="n">
        <x:v>420</x:v>
      </x:c>
      <x:c r="G466" t="n">
        <x:v>30</x:v>
      </x:c>
      <x:c r="H466" t="n">
        <x:v>46</x:v>
      </x:c>
      <x:c r="I466" t="n">
        <x:v>1748</x:v>
      </x:c>
      <x:c r="J466" t="n">
        <x:v>1385</x:v>
      </x:c>
      <x:c r="K466" t="n">
        <x:v>43</x:v>
      </x:c>
      <x:c r="L466" t="n">
        <x:v>20</x:v>
      </x:c>
      <x:c r="M466" t="n">
        <x:v>95.4</x:v>
      </x:c>
      <x:c r="N466" t="n">
        <x:v>71.2</x:v>
      </x:c>
      <x:c r="O466" t="n">
        <x:v>75.2</x:v>
      </x:c>
      <x:c r="P466" t="n">
        <x:v>0</x:v>
      </x:c>
      <x:c r="Q466" t="str">
        <x:v>No incident</x:v>
      </x:c>
      <x:c r="R466" t="str">
        <x:v>N/A</x:v>
      </x:c>
      <x:c r="S466" t="str">
        <x:v>Corrective</x:v>
      </x:c>
      <x:c r="T466" t="n">
        <x:v>1.61</x:v>
      </x:c>
      <x:c r="U466" t="n">
        <x:v>10.4</x:v>
      </x:c>
      <x:c r="V466" t="n">
        <x:f>IFERROR(J466/I466*100,0)</x:f>
        <x:v>79.23340961098398</x:v>
      </x:c>
      <x:c r="W466" t="n">
        <x:f>IFERROR(K466/J466*100,0)</x:f>
        <x:v>3.104693140794224</x:v>
      </x:c>
      <x:c r="X466" t="n">
        <x:f>IFERROR(H466/F466*100,0)</x:f>
        <x:v>10.952380952380953</x:v>
      </x:c>
      <x:c r="Y466" t="n">
        <x:f>J466-K466</x:f>
        <x:v>1342</x:v>
      </x:c>
      <x:c r="Z466" t="n">
        <x:f>MAX(0,MIN(100,(V466/100)*(1-X466/100)*(1-W466/100)*100))</x:f>
        <x:v>68.36493407431622</x:v>
      </x:c>
    </x:row>
    <x:row r="467">
      <x:c r="A467" s="12" t="n">
        <x:v>46182</x:v>
      </x:c>
      <x:c r="B467" t="str">
        <x:v>A</x:v>
      </x:c>
      <x:c r="C467" t="str">
        <x:v>Dried Mango</x:v>
      </x:c>
      <x:c r="D467" t="str">
        <x:v>Dryer 2</x:v>
      </x:c>
      <x:c r="E467" t="str">
        <x:v>Sup 3</x:v>
      </x:c>
      <x:c r="F467" t="n">
        <x:v>420</x:v>
      </x:c>
      <x:c r="G467" t="n">
        <x:v>40</x:v>
      </x:c>
      <x:c r="H467" t="n">
        <x:v>30</x:v>
      </x:c>
      <x:c r="I467" t="n">
        <x:v>1689</x:v>
      </x:c>
      <x:c r="J467" t="n">
        <x:v>1397</x:v>
      </x:c>
      <x:c r="K467" t="n">
        <x:v>58</x:v>
      </x:c>
      <x:c r="L467" t="n">
        <x:v>33</x:v>
      </x:c>
      <x:c r="M467" t="n">
        <x:v>94.7</x:v>
      </x:c>
      <x:c r="N467" t="n">
        <x:v>71.7</x:v>
      </x:c>
      <x:c r="O467" t="n">
        <x:v>68.2</x:v>
      </x:c>
      <x:c r="P467" t="n">
        <x:v>3</x:v>
      </x:c>
      <x:c r="Q467" t="str">
        <x:v>No incident</x:v>
      </x:c>
      <x:c r="R467" t="str">
        <x:v>N/A</x:v>
      </x:c>
      <x:c r="S467" t="str">
        <x:v>Preventive</x:v>
      </x:c>
      <x:c r="T467" t="n">
        <x:v>0.57</x:v>
      </x:c>
      <x:c r="U467" t="n">
        <x:v>11.8</x:v>
      </x:c>
      <x:c r="V467" t="n">
        <x:f>IFERROR(J467/I467*100,0)</x:f>
        <x:v>82.71166370633512</x:v>
      </x:c>
      <x:c r="W467" t="n">
        <x:f>IFERROR(K467/J467*100,0)</x:f>
        <x:v>4.151753758052971</x:v>
      </x:c>
      <x:c r="X467" t="n">
        <x:f>IFERROR(H467/F467*100,0)</x:f>
        <x:v>7.142857142857142</x:v>
      </x:c>
      <x:c r="Y467" t="n">
        <x:f>J467-K467</x:f>
        <x:v>1339</x:v>
      </x:c>
      <x:c r="Z467" t="n">
        <x:f>MAX(0,MIN(100,(V467/100)*(1-X467/100)*(1-W467/100)*100))</x:f>
        <x:v>73.61498773576926</x:v>
      </x:c>
    </x:row>
    <x:row r="468">
      <x:c r="A468" s="12" t="n">
        <x:v>46182</x:v>
      </x:c>
      <x:c r="B468" t="str">
        <x:v>B</x:v>
      </x:c>
      <x:c r="C468" t="str">
        <x:v>Dried Pineapple</x:v>
      </x:c>
      <x:c r="D468" t="str">
        <x:v>Dryer 3</x:v>
      </x:c>
      <x:c r="E468" t="str">
        <x:v>Sup 3</x:v>
      </x:c>
      <x:c r="F468" t="n">
        <x:v>450</x:v>
      </x:c>
      <x:c r="G468" t="n">
        <x:v>30</x:v>
      </x:c>
      <x:c r="H468" t="n">
        <x:v>63</x:v>
      </x:c>
      <x:c r="I468" t="n">
        <x:v>1708</x:v>
      </x:c>
      <x:c r="J468" t="n">
        <x:v>1320</x:v>
      </x:c>
      <x:c r="K468" t="n">
        <x:v>70</x:v>
      </x:c>
      <x:c r="L468" t="n">
        <x:v>39</x:v>
      </x:c>
      <x:c r="M468" t="n">
        <x:v>90</x:v>
      </x:c>
      <x:c r="N468" t="n">
        <x:v>85.8</x:v>
      </x:c>
      <x:c r="O468" t="n">
        <x:v>70</x:v>
      </x:c>
      <x:c r="P468" t="n">
        <x:v>3</x:v>
      </x:c>
      <x:c r="Q468" t="str">
        <x:v>No incident</x:v>
      </x:c>
      <x:c r="R468" t="str">
        <x:v>N/A</x:v>
      </x:c>
      <x:c r="S468" t="str">
        <x:v>Inspection</x:v>
      </x:c>
      <x:c r="T468" t="n">
        <x:v>0.74</x:v>
      </x:c>
      <x:c r="U468" t="n">
        <x:v>10.5</x:v>
      </x:c>
      <x:c r="V468" t="n">
        <x:f>IFERROR(J468/I468*100,0)</x:f>
        <x:v>77.28337236533957</x:v>
      </x:c>
      <x:c r="W468" t="n">
        <x:f>IFERROR(K468/J468*100,0)</x:f>
        <x:v>5.303030303030303</x:v>
      </x:c>
      <x:c r="X468" t="n">
        <x:f>IFERROR(H468/F468*100,0)</x:f>
        <x:v>14.000000000000002</x:v>
      </x:c>
      <x:c r="Y468" t="n">
        <x:f>J468-K468</x:f>
        <x:v>1250</x:v>
      </x:c>
      <x:c r="Z468" t="n">
        <x:f>MAX(0,MIN(100,(V468/100)*(1-X468/100)*(1-W468/100)*100))</x:f>
        <x:v>62.93911007025761</x:v>
      </x:c>
    </x:row>
    <x:row r="469">
      <x:c r="A469" s="12" t="n">
        <x:v>46182</x:v>
      </x:c>
      <x:c r="B469" t="str">
        <x:v>C</x:v>
      </x:c>
      <x:c r="C469" t="str">
        <x:v>Dried Mango</x:v>
      </x:c>
      <x:c r="D469" t="str">
        <x:v>Dryer 1</x:v>
      </x:c>
      <x:c r="E469" t="str">
        <x:v>Sup 3</x:v>
      </x:c>
      <x:c r="F469" t="n">
        <x:v>480</x:v>
      </x:c>
      <x:c r="G469" t="n">
        <x:v>0</x:v>
      </x:c>
      <x:c r="H469" t="n">
        <x:v>21</x:v>
      </x:c>
      <x:c r="I469" t="n">
        <x:v>1591</x:v>
      </x:c>
      <x:c r="J469" t="n">
        <x:v>1487</x:v>
      </x:c>
      <x:c r="K469" t="n">
        <x:v>63</x:v>
      </x:c>
      <x:c r="L469" t="n">
        <x:v>29</x:v>
      </x:c>
      <x:c r="M469" t="n">
        <x:v>96.9</x:v>
      </x:c>
      <x:c r="N469" t="n">
        <x:v>65.4</x:v>
      </x:c>
      <x:c r="O469" t="n">
        <x:v>70.7</x:v>
      </x:c>
      <x:c r="P469" t="n">
        <x:v>4</x:v>
      </x:c>
      <x:c r="Q469" t="str">
        <x:v>No incident</x:v>
      </x:c>
      <x:c r="R469" t="str">
        <x:v>N/A</x:v>
      </x:c>
      <x:c r="S469" t="str">
        <x:v>Preventive</x:v>
      </x:c>
      <x:c r="T469" t="n">
        <x:v>0.5</x:v>
      </x:c>
      <x:c r="U469" t="n">
        <x:v>13.1</x:v>
      </x:c>
      <x:c r="V469" t="n">
        <x:f>IFERROR(J469/I469*100,0)</x:f>
        <x:v>93.46323067253299</x:v>
      </x:c>
      <x:c r="W469" t="n">
        <x:f>IFERROR(K469/J469*100,0)</x:f>
        <x:v>4.236718224613315</x:v>
      </x:c>
      <x:c r="X469" t="n">
        <x:f>IFERROR(H469/F469*100,0)</x:f>
        <x:v>4.375</x:v>
      </x:c>
      <x:c r="Y469" t="n">
        <x:f>J469-K469</x:f>
        <x:v>1424</x:v>
      </x:c>
      <x:c r="Z469" t="n">
        <x:f>MAX(0,MIN(100,(V469/100)*(1-X469/100)*(1-W469/100)*100))</x:f>
        <x:v>85.58768070395976</x:v>
      </x:c>
    </x:row>
    <x:row r="470">
      <x:c r="A470" s="12" t="n">
        <x:v>46183</x:v>
      </x:c>
      <x:c r="B470" t="str">
        <x:v>A</x:v>
      </x:c>
      <x:c r="C470" t="str">
        <x:v>Dried Mango</x:v>
      </x:c>
      <x:c r="D470" t="str">
        <x:v>Dryer 4</x:v>
      </x:c>
      <x:c r="E470" t="str">
        <x:v>Sup 2</x:v>
      </x:c>
      <x:c r="F470" t="n">
        <x:v>450</x:v>
      </x:c>
      <x:c r="G470" t="n">
        <x:v>30</x:v>
      </x:c>
      <x:c r="H470" t="n">
        <x:v>35</x:v>
      </x:c>
      <x:c r="I470" t="n">
        <x:v>1704</x:v>
      </x:c>
      <x:c r="J470" t="n">
        <x:v>1597</x:v>
      </x:c>
      <x:c r="K470" t="n">
        <x:v>61</x:v>
      </x:c>
      <x:c r="L470" t="n">
        <x:v>35</x:v>
      </x:c>
      <x:c r="M470" t="n">
        <x:v>91.2</x:v>
      </x:c>
      <x:c r="N470" t="n">
        <x:v>73.2</x:v>
      </x:c>
      <x:c r="O470" t="n">
        <x:v>82.6</x:v>
      </x:c>
      <x:c r="P470" t="n">
        <x:v>5</x:v>
      </x:c>
      <x:c r="Q470" t="str">
        <x:v>No incident</x:v>
      </x:c>
      <x:c r="R470" t="str">
        <x:v>N/A</x:v>
      </x:c>
      <x:c r="S470" t="str">
        <x:v>Corrective</x:v>
      </x:c>
      <x:c r="T470" t="n">
        <x:v>1.23</x:v>
      </x:c>
      <x:c r="U470" t="n">
        <x:v>13</x:v>
      </x:c>
      <x:c r="V470" t="n">
        <x:f>IFERROR(J470/I470*100,0)</x:f>
        <x:v>93.7206572769953</x:v>
      </x:c>
      <x:c r="W470" t="n">
        <x:f>IFERROR(K470/J470*100,0)</x:f>
        <x:v>3.819661865998748</x:v>
      </x:c>
      <x:c r="X470" t="n">
        <x:f>IFERROR(H470/F470*100,0)</x:f>
        <x:v>7.777777777777778</x:v>
      </x:c>
      <x:c r="Y470" t="n">
        <x:f>J470-K470</x:f>
        <x:v>1536</x:v>
      </x:c>
      <x:c r="Z470" t="n">
        <x:f>MAX(0,MIN(100,(V470/100)*(1-X470/100)*(1-W470/100)*100))</x:f>
        <x:v>83.12989045383411</x:v>
      </x:c>
    </x:row>
    <x:row r="471">
      <x:c r="A471" s="12" t="n">
        <x:v>46183</x:v>
      </x:c>
      <x:c r="B471" t="str">
        <x:v>B</x:v>
      </x:c>
      <x:c r="C471" t="str">
        <x:v>Desiccated Coconut</x:v>
      </x:c>
      <x:c r="D471" t="str">
        <x:v>Dryer 4</x:v>
      </x:c>
      <x:c r="E471" t="str">
        <x:v>Sup 3</x:v>
      </x:c>
      <x:c r="F471" t="n">
        <x:v>480</x:v>
      </x:c>
      <x:c r="G471" t="n">
        <x:v>0</x:v>
      </x:c>
      <x:c r="H471" t="n">
        <x:v>33</x:v>
      </x:c>
      <x:c r="I471" t="n">
        <x:v>1183</x:v>
      </x:c>
      <x:c r="J471" t="n">
        <x:v>998</x:v>
      </x:c>
      <x:c r="K471" t="n">
        <x:v>29</x:v>
      </x:c>
      <x:c r="L471" t="n">
        <x:v>20</x:v>
      </x:c>
      <x:c r="M471" t="n">
        <x:v>86.9</x:v>
      </x:c>
      <x:c r="N471" t="n">
        <x:v>72.3</x:v>
      </x:c>
      <x:c r="O471" t="n">
        <x:v>75.9</x:v>
      </x:c>
      <x:c r="P471" t="n">
        <x:v>6</x:v>
      </x:c>
      <x:c r="Q471" t="str">
        <x:v>Near miss</x:v>
      </x:c>
      <x:c r="R471" t="str">
        <x:v>In progress</x:v>
      </x:c>
      <x:c r="S471" t="str">
        <x:v>Corrective</x:v>
      </x:c>
      <x:c r="T471" t="n">
        <x:v>1.18</x:v>
      </x:c>
      <x:c r="U471" t="n">
        <x:v>8.9</x:v>
      </x:c>
      <x:c r="V471" t="n">
        <x:f>IFERROR(J471/I471*100,0)</x:f>
        <x:v>84.36179205409975</x:v>
      </x:c>
      <x:c r="W471" t="n">
        <x:f>IFERROR(K471/J471*100,0)</x:f>
        <x:v>2.905811623246493</x:v>
      </x:c>
      <x:c r="X471" t="n">
        <x:f>IFERROR(H471/F471*100,0)</x:f>
        <x:v>6.875000000000001</x:v>
      </x:c>
      <x:c r="Y471" t="n">
        <x:f>J471-K471</x:f>
        <x:v>969</x:v>
      </x:c>
      <x:c r="Z471" t="n">
        <x:f>MAX(0,MIN(100,(V471/100)*(1-X471/100)*(1-W471/100)*100))</x:f>
        <x:v>76.27905748098057</x:v>
      </x:c>
    </x:row>
    <x:row r="472">
      <x:c r="A472" s="12" t="n">
        <x:v>46183</x:v>
      </x:c>
      <x:c r="B472" t="str">
        <x:v>C</x:v>
      </x:c>
      <x:c r="C472" t="str">
        <x:v>Desiccated Coconut</x:v>
      </x:c>
      <x:c r="D472" t="str">
        <x:v>Dryer 4</x:v>
      </x:c>
      <x:c r="E472" t="str">
        <x:v>Sup 3</x:v>
      </x:c>
      <x:c r="F472" t="n">
        <x:v>450</x:v>
      </x:c>
      <x:c r="G472" t="n">
        <x:v>30</x:v>
      </x:c>
      <x:c r="H472" t="n">
        <x:v>75</x:v>
      </x:c>
      <x:c r="I472" t="n">
        <x:v>1188</x:v>
      </x:c>
      <x:c r="J472" t="n">
        <x:v>961</x:v>
      </x:c>
      <x:c r="K472" t="n">
        <x:v>30</x:v>
      </x:c>
      <x:c r="L472" t="n">
        <x:v>16</x:v>
      </x:c>
      <x:c r="M472" t="n">
        <x:v>85</x:v>
      </x:c>
      <x:c r="N472" t="n">
        <x:v>80.5</x:v>
      </x:c>
      <x:c r="O472" t="n">
        <x:v>68.5</x:v>
      </x:c>
      <x:c r="P472" t="n">
        <x:v>3</x:v>
      </x:c>
      <x:c r="Q472" t="str">
        <x:v>No incident</x:v>
      </x:c>
      <x:c r="R472" t="str">
        <x:v>N/A</x:v>
      </x:c>
      <x:c r="S472" t="str">
        <x:v>Preventive</x:v>
      </x:c>
      <x:c r="T472" t="n">
        <x:v>0.5</x:v>
      </x:c>
      <x:c r="U472" t="n">
        <x:v>7.7</x:v>
      </x:c>
      <x:c r="V472" t="n">
        <x:f>IFERROR(J472/I472*100,0)</x:f>
        <x:v>80.89225589225589</x:v>
      </x:c>
      <x:c r="W472" t="n">
        <x:f>IFERROR(K472/J472*100,0)</x:f>
        <x:v>3.1217481789802286</x:v>
      </x:c>
      <x:c r="X472" t="n">
        <x:f>IFERROR(H472/F472*100,0)</x:f>
        <x:v>16.666666666666664</x:v>
      </x:c>
      <x:c r="Y472" t="n">
        <x:f>J472-K472</x:f>
        <x:v>931</x:v>
      </x:c>
      <x:c r="Z472" t="n">
        <x:f>MAX(0,MIN(100,(V472/100)*(1-X472/100)*(1-W472/100)*100))</x:f>
        <x:v>65.30583613916947</x:v>
      </x:c>
    </x:row>
    <x:row r="473">
      <x:c r="A473" s="12" t="n">
        <x:v>46184</x:v>
      </x:c>
      <x:c r="B473" t="str">
        <x:v>A</x:v>
      </x:c>
      <x:c r="C473" t="str">
        <x:v>Dried Mango</x:v>
      </x:c>
      <x:c r="D473" t="str">
        <x:v>Dryer 3</x:v>
      </x:c>
      <x:c r="E473" t="str">
        <x:v>Sup 2</x:v>
      </x:c>
      <x:c r="F473" t="n">
        <x:v>480</x:v>
      </x:c>
      <x:c r="G473" t="n">
        <x:v>20</x:v>
      </x:c>
      <x:c r="H473" t="n">
        <x:v>57</x:v>
      </x:c>
      <x:c r="I473" t="n">
        <x:v>1613</x:v>
      </x:c>
      <x:c r="J473" t="n">
        <x:v>1308</x:v>
      </x:c>
      <x:c r="K473" t="n">
        <x:v>65</x:v>
      </x:c>
      <x:c r="L473" t="n">
        <x:v>19</x:v>
      </x:c>
      <x:c r="M473" t="n">
        <x:v>90</x:v>
      </x:c>
      <x:c r="N473" t="n">
        <x:v>86.7</x:v>
      </x:c>
      <x:c r="O473" t="n">
        <x:v>73.3</x:v>
      </x:c>
      <x:c r="P473" t="n">
        <x:v>3</x:v>
      </x:c>
      <x:c r="Q473" t="str">
        <x:v>No incident</x:v>
      </x:c>
      <x:c r="R473" t="str">
        <x:v>N/A</x:v>
      </x:c>
      <x:c r="S473" t="str">
        <x:v>Inspection</x:v>
      </x:c>
      <x:c r="T473" t="n">
        <x:v>0.67</x:v>
      </x:c>
      <x:c r="U473" t="n">
        <x:v>10.2</x:v>
      </x:c>
      <x:c r="V473" t="n">
        <x:f>IFERROR(J473/I473*100,0)</x:f>
        <x:v>81.09113453192809</x:v>
      </x:c>
      <x:c r="W473" t="n">
        <x:f>IFERROR(K473/J473*100,0)</x:f>
        <x:v>4.969418960244648</x:v>
      </x:c>
      <x:c r="X473" t="n">
        <x:f>IFERROR(H473/F473*100,0)</x:f>
        <x:v>11.875</x:v>
      </x:c>
      <x:c r="Y473" t="n">
        <x:f>J473-K473</x:f>
        <x:v>1243</x:v>
      </x:c>
      <x:c r="Z473" t="n">
        <x:f>MAX(0,MIN(100,(V473/100)*(1-X473/100)*(1-W473/100)*100))</x:f>
        <x:v>67.91033787972721</x:v>
      </x:c>
    </x:row>
    <x:row r="474">
      <x:c r="A474" s="12" t="n">
        <x:v>46184</x:v>
      </x:c>
      <x:c r="B474" t="str">
        <x:v>B</x:v>
      </x:c>
      <x:c r="C474" t="str">
        <x:v>Desiccated Coconut</x:v>
      </x:c>
      <x:c r="D474" t="str">
        <x:v>Dryer 3</x:v>
      </x:c>
      <x:c r="E474" t="str">
        <x:v>Sup 3</x:v>
      </x:c>
      <x:c r="F474" t="n">
        <x:v>480</x:v>
      </x:c>
      <x:c r="G474" t="n">
        <x:v>0</x:v>
      </x:c>
      <x:c r="H474" t="n">
        <x:v>51</x:v>
      </x:c>
      <x:c r="I474" t="n">
        <x:v>1218</x:v>
      </x:c>
      <x:c r="J474" t="n">
        <x:v>1071</x:v>
      </x:c>
      <x:c r="K474" t="n">
        <x:v>48</x:v>
      </x:c>
      <x:c r="L474" t="n">
        <x:v>29</x:v>
      </x:c>
      <x:c r="M474" t="n">
        <x:v>98.9</x:v>
      </x:c>
      <x:c r="N474" t="n">
        <x:v>83.8</x:v>
      </x:c>
      <x:c r="O474" t="n">
        <x:v>73.6</x:v>
      </x:c>
      <x:c r="P474" t="n">
        <x:v>5</x:v>
      </x:c>
      <x:c r="Q474" t="str">
        <x:v>No incident</x:v>
      </x:c>
      <x:c r="R474" t="str">
        <x:v>N/A</x:v>
      </x:c>
      <x:c r="S474" t="str">
        <x:v>Preventive</x:v>
      </x:c>
      <x:c r="T474" t="n">
        <x:v>0.5</x:v>
      </x:c>
      <x:c r="U474" t="n">
        <x:v>8.6</x:v>
      </x:c>
      <x:c r="V474" t="n">
        <x:f>IFERROR(J474/I474*100,0)</x:f>
        <x:v>87.93103448275862</x:v>
      </x:c>
      <x:c r="W474" t="n">
        <x:f>IFERROR(K474/J474*100,0)</x:f>
        <x:v>4.481792717086835</x:v>
      </x:c>
      <x:c r="X474" t="n">
        <x:f>IFERROR(H474/F474*100,0)</x:f>
        <x:v>10.625</x:v>
      </x:c>
      <x:c r="Y474" t="n">
        <x:f>J474-K474</x:f>
        <x:v>1023</x:v>
      </x:c>
      <x:c r="Z474" t="n">
        <x:f>MAX(0,MIN(100,(V474/100)*(1-X474/100)*(1-W474/100)*100))</x:f>
        <x:v>75.0661945812808</x:v>
      </x:c>
    </x:row>
    <x:row r="475">
      <x:c r="A475" s="12" t="n">
        <x:v>46184</x:v>
      </x:c>
      <x:c r="B475" t="str">
        <x:v>C</x:v>
      </x:c>
      <x:c r="C475" t="str">
        <x:v>Desiccated Coconut</x:v>
      </x:c>
      <x:c r="D475" t="str">
        <x:v>Dryer 4</x:v>
      </x:c>
      <x:c r="E475" t="str">
        <x:v>Sup 3</x:v>
      </x:c>
      <x:c r="F475" t="n">
        <x:v>480</x:v>
      </x:c>
      <x:c r="G475" t="n">
        <x:v>40</x:v>
      </x:c>
      <x:c r="H475" t="n">
        <x:v>51</x:v>
      </x:c>
      <x:c r="I475" t="n">
        <x:v>1110</x:v>
      </x:c>
      <x:c r="J475" t="n">
        <x:v>913</x:v>
      </x:c>
      <x:c r="K475" t="n">
        <x:v>16</x:v>
      </x:c>
      <x:c r="L475" t="n">
        <x:v>10</x:v>
      </x:c>
      <x:c r="M475" t="n">
        <x:v>84.9</x:v>
      </x:c>
      <x:c r="N475" t="n">
        <x:v>60.2</x:v>
      </x:c>
      <x:c r="O475" t="n">
        <x:v>73.8</x:v>
      </x:c>
      <x:c r="P475" t="n">
        <x:v>3</x:v>
      </x:c>
      <x:c r="Q475" t="str">
        <x:v>First aid</x:v>
      </x:c>
      <x:c r="R475" t="str">
        <x:v>In progress</x:v>
      </x:c>
      <x:c r="S475" t="str">
        <x:v>Inspection</x:v>
      </x:c>
      <x:c r="T475" t="n">
        <x:v>0.88</x:v>
      </x:c>
      <x:c r="U475" t="n">
        <x:v>7</x:v>
      </x:c>
      <x:c r="V475" t="n">
        <x:f>IFERROR(J475/I475*100,0)</x:f>
        <x:v>82.25225225225226</x:v>
      </x:c>
      <x:c r="W475" t="n">
        <x:f>IFERROR(K475/J475*100,0)</x:f>
        <x:v>1.7524644030668126</x:v>
      </x:c>
      <x:c r="X475" t="n">
        <x:f>IFERROR(H475/F475*100,0)</x:f>
        <x:v>10.625</x:v>
      </x:c>
      <x:c r="Y475" t="n">
        <x:f>J475-K475</x:f>
        <x:v>897</x:v>
      </x:c>
      <x:c r="Z475" t="n">
        <x:f>MAX(0,MIN(100,(V475/100)*(1-X475/100)*(1-W475/100)*100))</x:f>
        <x:v>72.22466216216218</x:v>
      </x:c>
    </x:row>
    <x:row r="476">
      <x:c r="A476" s="12" t="n">
        <x:v>46185</x:v>
      </x:c>
      <x:c r="B476" t="str">
        <x:v>A</x:v>
      </x:c>
      <x:c r="C476" t="str">
        <x:v>Dried Pineapple</x:v>
      </x:c>
      <x:c r="D476" t="str">
        <x:v>Dryer 4</x:v>
      </x:c>
      <x:c r="E476" t="str">
        <x:v>Sup 3</x:v>
      </x:c>
      <x:c r="F476" t="n">
        <x:v>450</x:v>
      </x:c>
      <x:c r="G476" t="n">
        <x:v>30</x:v>
      </x:c>
      <x:c r="H476" t="n">
        <x:v>30</x:v>
      </x:c>
      <x:c r="I476" t="n">
        <x:v>1725</x:v>
      </x:c>
      <x:c r="J476" t="n">
        <x:v>1455</x:v>
      </x:c>
      <x:c r="K476" t="n">
        <x:v>41</x:v>
      </x:c>
      <x:c r="L476" t="n">
        <x:v>26</x:v>
      </x:c>
      <x:c r="M476" t="n">
        <x:v>97.6</x:v>
      </x:c>
      <x:c r="N476" t="n">
        <x:v>59</x:v>
      </x:c>
      <x:c r="O476" t="n">
        <x:v>77.1</x:v>
      </x:c>
      <x:c r="P476" t="n">
        <x:v>2</x:v>
      </x:c>
      <x:c r="Q476" t="str">
        <x:v>No incident</x:v>
      </x:c>
      <x:c r="R476" t="str">
        <x:v>N/A</x:v>
      </x:c>
      <x:c r="S476" t="str">
        <x:v>Preventive</x:v>
      </x:c>
      <x:c r="T476" t="n">
        <x:v>1.19</x:v>
      </x:c>
      <x:c r="U476" t="n">
        <x:v>11.7</x:v>
      </x:c>
      <x:c r="V476" t="n">
        <x:f>IFERROR(J476/I476*100,0)</x:f>
        <x:v>84.34782608695653</x:v>
      </x:c>
      <x:c r="W476" t="n">
        <x:f>IFERROR(K476/J476*100,0)</x:f>
        <x:v>2.8178694158075603</x:v>
      </x:c>
      <x:c r="X476" t="n">
        <x:f>IFERROR(H476/F476*100,0)</x:f>
        <x:v>6.666666666666667</x:v>
      </x:c>
      <x:c r="Y476" t="n">
        <x:f>J476-K476</x:f>
        <x:v>1414</x:v>
      </x:c>
      <x:c r="Z476" t="n">
        <x:f>MAX(0,MIN(100,(V476/100)*(1-X476/100)*(1-W476/100)*100))</x:f>
        <x:v>76.50628019323673</x:v>
      </x:c>
    </x:row>
    <x:row r="477">
      <x:c r="A477" s="12" t="n">
        <x:v>46185</x:v>
      </x:c>
      <x:c r="B477" t="str">
        <x:v>B</x:v>
      </x:c>
      <x:c r="C477" t="str">
        <x:v>Desiccated Coconut</x:v>
      </x:c>
      <x:c r="D477" t="str">
        <x:v>Dryer 1</x:v>
      </x:c>
      <x:c r="E477" t="str">
        <x:v>Sup 1</x:v>
      </x:c>
      <x:c r="F477" t="n">
        <x:v>450</x:v>
      </x:c>
      <x:c r="G477" t="n">
        <x:v>20</x:v>
      </x:c>
      <x:c r="H477" t="n">
        <x:v>44</x:v>
      </x:c>
      <x:c r="I477" t="n">
        <x:v>1235</x:v>
      </x:c>
      <x:c r="J477" t="n">
        <x:v>1002</x:v>
      </x:c>
      <x:c r="K477" t="n">
        <x:v>20</x:v>
      </x:c>
      <x:c r="L477" t="n">
        <x:v>9</x:v>
      </x:c>
      <x:c r="M477" t="n">
        <x:v>91.5</x:v>
      </x:c>
      <x:c r="N477" t="n">
        <x:v>80.7</x:v>
      </x:c>
      <x:c r="O477" t="n">
        <x:v>73.9</x:v>
      </x:c>
      <x:c r="P477" t="n">
        <x:v>3</x:v>
      </x:c>
      <x:c r="Q477" t="str">
        <x:v>No incident</x:v>
      </x:c>
      <x:c r="R477" t="str">
        <x:v>N/A</x:v>
      </x:c>
      <x:c r="S477" t="str">
        <x:v>Preventive</x:v>
      </x:c>
      <x:c r="T477" t="n">
        <x:v>1.12</x:v>
      </x:c>
      <x:c r="U477" t="n">
        <x:v>7.7</x:v>
      </x:c>
      <x:c r="V477" t="n">
        <x:f>IFERROR(J477/I477*100,0)</x:f>
        <x:v>81.13360323886639</x:v>
      </x:c>
      <x:c r="W477" t="n">
        <x:f>IFERROR(K477/J477*100,0)</x:f>
        <x:v>1.996007984031936</x:v>
      </x:c>
      <x:c r="X477" t="n">
        <x:f>IFERROR(H477/F477*100,0)</x:f>
        <x:v>9.777777777777779</x:v>
      </x:c>
      <x:c r="Y477" t="n">
        <x:f>J477-K477</x:f>
        <x:v>982</x:v>
      </x:c>
      <x:c r="Z477" t="n">
        <x:f>MAX(0,MIN(100,(V477/100)*(1-X477/100)*(1-W477/100)*100))</x:f>
        <x:v>71.73945119208275</x:v>
      </x:c>
    </x:row>
    <x:row r="478">
      <x:c r="A478" s="12" t="n">
        <x:v>46185</x:v>
      </x:c>
      <x:c r="B478" t="str">
        <x:v>C</x:v>
      </x:c>
      <x:c r="C478" t="str">
        <x:v>Desiccated Coconut</x:v>
      </x:c>
      <x:c r="D478" t="str">
        <x:v>Dryer 1</x:v>
      </x:c>
      <x:c r="E478" t="str">
        <x:v>Sup 2</x:v>
      </x:c>
      <x:c r="F478" t="n">
        <x:v>450</x:v>
      </x:c>
      <x:c r="G478" t="n">
        <x:v>40</x:v>
      </x:c>
      <x:c r="H478" t="n">
        <x:v>34</x:v>
      </x:c>
      <x:c r="I478" t="n">
        <x:v>1176</x:v>
      </x:c>
      <x:c r="J478" t="n">
        <x:v>1069</x:v>
      </x:c>
      <x:c r="K478" t="n">
        <x:v>37</x:v>
      </x:c>
      <x:c r="L478" t="n">
        <x:v>15</x:v>
      </x:c>
      <x:c r="M478" t="n">
        <x:v>85.7</x:v>
      </x:c>
      <x:c r="N478" t="n">
        <x:v>72.8</x:v>
      </x:c>
      <x:c r="O478" t="n">
        <x:v>80.4</x:v>
      </x:c>
      <x:c r="P478" t="n">
        <x:v>2</x:v>
      </x:c>
      <x:c r="Q478" t="str">
        <x:v>Near miss</x:v>
      </x:c>
      <x:c r="R478" t="str">
        <x:v>In progress</x:v>
      </x:c>
      <x:c r="S478" t="str">
        <x:v>Inspection</x:v>
      </x:c>
      <x:c r="T478" t="n">
        <x:v>0.68</x:v>
      </x:c>
      <x:c r="U478" t="n">
        <x:v>8.7</x:v>
      </x:c>
      <x:c r="V478" t="n">
        <x:f>IFERROR(J478/I478*100,0)</x:f>
        <x:v>90.9013605442177</x:v>
      </x:c>
      <x:c r="W478" t="n">
        <x:f>IFERROR(K478/J478*100,0)</x:f>
        <x:v>3.4611786716557527</x:v>
      </x:c>
      <x:c r="X478" t="n">
        <x:f>IFERROR(H478/F478*100,0)</x:f>
        <x:v>7.555555555555555</x:v>
      </x:c>
      <x:c r="Y478" t="n">
        <x:f>J478-K478</x:f>
        <x:v>1032</x:v>
      </x:c>
      <x:c r="Z478" t="n">
        <x:f>MAX(0,MIN(100,(V478/100)*(1-X478/100)*(1-W478/100)*100))</x:f>
        <x:v>81.124716553288</x:v>
      </x:c>
    </x:row>
    <x:row r="479">
      <x:c r="A479" s="12" t="n">
        <x:v>46186</x:v>
      </x:c>
      <x:c r="B479" t="str">
        <x:v>A</x:v>
      </x:c>
      <x:c r="C479" t="str">
        <x:v>Dried Mango</x:v>
      </x:c>
      <x:c r="D479" t="str">
        <x:v>Dryer 2</x:v>
      </x:c>
      <x:c r="E479" t="str">
        <x:v>Sup 3</x:v>
      </x:c>
      <x:c r="F479" t="n">
        <x:v>450</x:v>
      </x:c>
      <x:c r="G479" t="n">
        <x:v>0</x:v>
      </x:c>
      <x:c r="H479" t="n">
        <x:v>47</x:v>
      </x:c>
      <x:c r="I479" t="n">
        <x:v>1553</x:v>
      </x:c>
      <x:c r="J479" t="n">
        <x:v>1435</x:v>
      </x:c>
      <x:c r="K479" t="n">
        <x:v>51</x:v>
      </x:c>
      <x:c r="L479" t="n">
        <x:v>30</x:v>
      </x:c>
      <x:c r="M479" t="n">
        <x:v>82.6</x:v>
      </x:c>
      <x:c r="N479" t="n">
        <x:v>84.9</x:v>
      </x:c>
      <x:c r="O479" t="n">
        <x:v>87.4</x:v>
      </x:c>
      <x:c r="P479" t="n">
        <x:v>2</x:v>
      </x:c>
      <x:c r="Q479" t="str">
        <x:v>No incident</x:v>
      </x:c>
      <x:c r="R479" t="str">
        <x:v>N/A</x:v>
      </x:c>
      <x:c r="S479" t="str">
        <x:v>Preventive</x:v>
      </x:c>
      <x:c r="T479" t="n">
        <x:v>1.5</x:v>
      </x:c>
      <x:c r="U479" t="n">
        <x:v>12</x:v>
      </x:c>
      <x:c r="V479" t="n">
        <x:f>IFERROR(J479/I479*100,0)</x:f>
        <x:v>92.40180296200901</x:v>
      </x:c>
      <x:c r="W479" t="n">
        <x:f>IFERROR(K479/J479*100,0)</x:f>
        <x:v>3.554006968641115</x:v>
      </x:c>
      <x:c r="X479" t="n">
        <x:f>IFERROR(H479/F479*100,0)</x:f>
        <x:v>10.444444444444445</x:v>
      </x:c>
      <x:c r="Y479" t="n">
        <x:f>J479-K479</x:f>
        <x:v>1384</x:v>
      </x:c>
      <x:c r="Z479" t="n">
        <x:f>MAX(0,MIN(100,(V479/100)*(1-X479/100)*(1-W479/100)*100))</x:f>
        <x:v>79.80997352793877</x:v>
      </x:c>
    </x:row>
    <x:row r="480">
      <x:c r="A480" s="12" t="n">
        <x:v>46186</x:v>
      </x:c>
      <x:c r="B480" t="str">
        <x:v>B</x:v>
      </x:c>
      <x:c r="C480" t="str">
        <x:v>Dried Pineapple</x:v>
      </x:c>
      <x:c r="D480" t="str">
        <x:v>Dryer 2</x:v>
      </x:c>
      <x:c r="E480" t="str">
        <x:v>Sup 2</x:v>
      </x:c>
      <x:c r="F480" t="n">
        <x:v>450</x:v>
      </x:c>
      <x:c r="G480" t="n">
        <x:v>30</x:v>
      </x:c>
      <x:c r="H480" t="n">
        <x:v>36</x:v>
      </x:c>
      <x:c r="I480" t="n">
        <x:v>1701</x:v>
      </x:c>
      <x:c r="J480" t="n">
        <x:v>1459</x:v>
      </x:c>
      <x:c r="K480" t="n">
        <x:v>33</x:v>
      </x:c>
      <x:c r="L480" t="n">
        <x:v>8</x:v>
      </x:c>
      <x:c r="M480" t="n">
        <x:v>100</x:v>
      </x:c>
      <x:c r="N480" t="n">
        <x:v>87</x:v>
      </x:c>
      <x:c r="O480" t="n">
        <x:v>70.4</x:v>
      </x:c>
      <x:c r="P480" t="n">
        <x:v>7</x:v>
      </x:c>
      <x:c r="Q480" t="str">
        <x:v>No incident</x:v>
      </x:c>
      <x:c r="R480" t="str">
        <x:v>N/A</x:v>
      </x:c>
      <x:c r="S480" t="str">
        <x:v>Preventive</x:v>
      </x:c>
      <x:c r="T480" t="n">
        <x:v>0.5</x:v>
      </x:c>
      <x:c r="U480" t="n">
        <x:v>11.1</x:v>
      </x:c>
      <x:c r="V480" t="n">
        <x:f>IFERROR(J480/I480*100,0)</x:f>
        <x:v>85.77307466196356</x:v>
      </x:c>
      <x:c r="W480" t="n">
        <x:f>IFERROR(K480/J480*100,0)</x:f>
        <x:v>2.2618231665524333</x:v>
      </x:c>
      <x:c r="X480" t="n">
        <x:f>IFERROR(H480/F480*100,0)</x:f>
        <x:v>8</x:v>
      </x:c>
      <x:c r="Y480" t="n">
        <x:f>J480-K480</x:f>
        <x:v>1426</x:v>
      </x:c>
      <x:c r="Z480" t="n">
        <x:f>MAX(0,MIN(100,(V480/100)*(1-X480/100)*(1-W480/100)*100))</x:f>
        <x:v>77.12639623750736</x:v>
      </x:c>
    </x:row>
    <x:row r="481">
      <x:c r="A481" s="12" t="n">
        <x:v>46186</x:v>
      </x:c>
      <x:c r="B481" t="str">
        <x:v>C</x:v>
      </x:c>
      <x:c r="C481" t="str">
        <x:v>Desiccated Coconut</x:v>
      </x:c>
      <x:c r="D481" t="str">
        <x:v>Dryer 2</x:v>
      </x:c>
      <x:c r="E481" t="str">
        <x:v>Sup 3</x:v>
      </x:c>
      <x:c r="F481" t="n">
        <x:v>480</x:v>
      </x:c>
      <x:c r="G481" t="n">
        <x:v>20</x:v>
      </x:c>
      <x:c r="H481" t="n">
        <x:v>33</x:v>
      </x:c>
      <x:c r="I481" t="n">
        <x:v>1150</x:v>
      </x:c>
      <x:c r="J481" t="n">
        <x:v>1010</x:v>
      </x:c>
      <x:c r="K481" t="n">
        <x:v>19</x:v>
      </x:c>
      <x:c r="L481" t="n">
        <x:v>5</x:v>
      </x:c>
      <x:c r="M481" t="n">
        <x:v>88.6</x:v>
      </x:c>
      <x:c r="N481" t="n">
        <x:v>61.4</x:v>
      </x:c>
      <x:c r="O481" t="n">
        <x:v>62</x:v>
      </x:c>
      <x:c r="P481" t="n">
        <x:v>5</x:v>
      </x:c>
      <x:c r="Q481" t="str">
        <x:v>No incident</x:v>
      </x:c>
      <x:c r="R481" t="str">
        <x:v>N/A</x:v>
      </x:c>
      <x:c r="S481" t="str">
        <x:v>Inspection</x:v>
      </x:c>
      <x:c r="T481" t="n">
        <x:v>0.54</x:v>
      </x:c>
      <x:c r="U481" t="n">
        <x:v>7.8</x:v>
      </x:c>
      <x:c r="V481" t="n">
        <x:f>IFERROR(J481/I481*100,0)</x:f>
        <x:v>87.82608695652175</x:v>
      </x:c>
      <x:c r="W481" t="n">
        <x:f>IFERROR(K481/J481*100,0)</x:f>
        <x:v>1.881188118811881</x:v>
      </x:c>
      <x:c r="X481" t="n">
        <x:f>IFERROR(H481/F481*100,0)</x:f>
        <x:v>6.875000000000001</x:v>
      </x:c>
      <x:c r="Y481" t="n">
        <x:f>J481-K481</x:f>
        <x:v>991</x:v>
      </x:c>
      <x:c r="Z481" t="n">
        <x:f>MAX(0,MIN(100,(V481/100)*(1-X481/100)*(1-W481/100)*100))</x:f>
        <x:v>80.24945652173915</x:v>
      </x:c>
    </x:row>
    <x:row r="482">
      <x:c r="A482" s="12" t="n">
        <x:v>46187</x:v>
      </x:c>
      <x:c r="B482" t="str">
        <x:v>A</x:v>
      </x:c>
      <x:c r="C482" t="str">
        <x:v>Dried Pineapple</x:v>
      </x:c>
      <x:c r="D482" t="str">
        <x:v>Dryer 3</x:v>
      </x:c>
      <x:c r="E482" t="str">
        <x:v>Sup 3</x:v>
      </x:c>
      <x:c r="F482" t="n">
        <x:v>480</x:v>
      </x:c>
      <x:c r="G482" t="n">
        <x:v>30</x:v>
      </x:c>
      <x:c r="H482" t="n">
        <x:v>61</x:v>
      </x:c>
      <x:c r="I482" t="n">
        <x:v>1874</x:v>
      </x:c>
      <x:c r="J482" t="n">
        <x:v>1432</x:v>
      </x:c>
      <x:c r="K482" t="n">
        <x:v>64</x:v>
      </x:c>
      <x:c r="L482" t="n">
        <x:v>38</x:v>
      </x:c>
      <x:c r="M482" t="n">
        <x:v>90</x:v>
      </x:c>
      <x:c r="N482" t="n">
        <x:v>81.1</x:v>
      </x:c>
      <x:c r="O482" t="n">
        <x:v>77.9</x:v>
      </x:c>
      <x:c r="P482" t="n">
        <x:v>3</x:v>
      </x:c>
      <x:c r="Q482" t="str">
        <x:v>Near miss</x:v>
      </x:c>
      <x:c r="R482" t="str">
        <x:v>In progress</x:v>
      </x:c>
      <x:c r="S482" t="str">
        <x:v>Inspection</x:v>
      </x:c>
      <x:c r="T482" t="n">
        <x:v>0.73</x:v>
      </x:c>
      <x:c r="U482" t="n">
        <x:v>12.7</x:v>
      </x:c>
      <x:c r="V482" t="n">
        <x:f>IFERROR(J482/I482*100,0)</x:f>
        <x:v>76.41408751334045</x:v>
      </x:c>
      <x:c r="W482" t="n">
        <x:f>IFERROR(K482/J482*100,0)</x:f>
        <x:v>4.4692737430167595</x:v>
      </x:c>
      <x:c r="X482" t="n">
        <x:f>IFERROR(H482/F482*100,0)</x:f>
        <x:v>12.708333333333332</x:v>
      </x:c>
      <x:c r="Y482" t="n">
        <x:f>J482-K482</x:f>
        <x:v>1368</x:v>
      </x:c>
      <x:c r="Z482" t="n">
        <x:f>MAX(0,MIN(100,(V482/100)*(1-X482/100)*(1-W482/100)*100))</x:f>
        <x:v>63.721985058697975</x:v>
      </x:c>
    </x:row>
    <x:row r="483">
      <x:c r="A483" s="12" t="n">
        <x:v>46187</x:v>
      </x:c>
      <x:c r="B483" t="str">
        <x:v>B</x:v>
      </x:c>
      <x:c r="C483" t="str">
        <x:v>Dried Pineapple</x:v>
      </x:c>
      <x:c r="D483" t="str">
        <x:v>Dryer 4</x:v>
      </x:c>
      <x:c r="E483" t="str">
        <x:v>Sup 1</x:v>
      </x:c>
      <x:c r="F483" t="n">
        <x:v>450</x:v>
      </x:c>
      <x:c r="G483" t="n">
        <x:v>20</x:v>
      </x:c>
      <x:c r="H483" t="n">
        <x:v>39</x:v>
      </x:c>
      <x:c r="I483" t="n">
        <x:v>1614</x:v>
      </x:c>
      <x:c r="J483" t="n">
        <x:v>1361</x:v>
      </x:c>
      <x:c r="K483" t="n">
        <x:v>52</x:v>
      </x:c>
      <x:c r="L483" t="n">
        <x:v>24</x:v>
      </x:c>
      <x:c r="M483" t="n">
        <x:v>88.5</x:v>
      </x:c>
      <x:c r="N483" t="n">
        <x:v>82</x:v>
      </x:c>
      <x:c r="O483" t="n">
        <x:v>82.4</x:v>
      </x:c>
      <x:c r="P483" t="n">
        <x:v>4</x:v>
      </x:c>
      <x:c r="Q483" t="str">
        <x:v>No incident</x:v>
      </x:c>
      <x:c r="R483" t="str">
        <x:v>N/A</x:v>
      </x:c>
      <x:c r="S483" t="str">
        <x:v>Preventive</x:v>
      </x:c>
      <x:c r="T483" t="n">
        <x:v>0.93</x:v>
      </x:c>
      <x:c r="U483" t="n">
        <x:v>12.3</x:v>
      </x:c>
      <x:c r="V483" t="n">
        <x:f>IFERROR(J483/I483*100,0)</x:f>
        <x:v>84.32465923172244</x:v>
      </x:c>
      <x:c r="W483" t="n">
        <x:f>IFERROR(K483/J483*100,0)</x:f>
        <x:v>3.8207200587803087</x:v>
      </x:c>
      <x:c r="X483" t="n">
        <x:f>IFERROR(H483/F483*100,0)</x:f>
        <x:v>8.666666666666668</x:v>
      </x:c>
      <x:c r="Y483" t="n">
        <x:f>J483-K483</x:f>
        <x:v>1309</x:v>
      </x:c>
      <x:c r="Z483" t="n">
        <x:f>MAX(0,MIN(100,(V483/100)*(1-X483/100)*(1-W483/100)*100))</x:f>
        <x:v>74.07393638992151</x:v>
      </x:c>
    </x:row>
    <x:row r="484">
      <x:c r="A484" s="12" t="n">
        <x:v>46187</x:v>
      </x:c>
      <x:c r="B484" t="str">
        <x:v>C</x:v>
      </x:c>
      <x:c r="C484" t="str">
        <x:v>Desiccated Coconut</x:v>
      </x:c>
      <x:c r="D484" t="str">
        <x:v>Dryer 2</x:v>
      </x:c>
      <x:c r="E484" t="str">
        <x:v>Sup 3</x:v>
      </x:c>
      <x:c r="F484" t="n">
        <x:v>420</x:v>
      </x:c>
      <x:c r="G484" t="n">
        <x:v>20</x:v>
      </x:c>
      <x:c r="H484" t="n">
        <x:v>54</x:v>
      </x:c>
      <x:c r="I484" t="n">
        <x:v>1198</x:v>
      </x:c>
      <x:c r="J484" t="n">
        <x:v>1040</x:v>
      </x:c>
      <x:c r="K484" t="n">
        <x:v>17</x:v>
      </x:c>
      <x:c r="L484" t="n">
        <x:v>10</x:v>
      </x:c>
      <x:c r="M484" t="n">
        <x:v>80.3</x:v>
      </x:c>
      <x:c r="N484" t="n">
        <x:v>67.2</x:v>
      </x:c>
      <x:c r="O484" t="n">
        <x:v>76.9</x:v>
      </x:c>
      <x:c r="P484" t="n">
        <x:v>4</x:v>
      </x:c>
      <x:c r="Q484" t="str">
        <x:v>Near miss</x:v>
      </x:c>
      <x:c r="R484" t="str">
        <x:v>Closed</x:v>
      </x:c>
      <x:c r="S484" t="str">
        <x:v>Corrective</x:v>
      </x:c>
      <x:c r="T484" t="n">
        <x:v>2.04</x:v>
      </x:c>
      <x:c r="U484" t="n">
        <x:v>8.9</x:v>
      </x:c>
      <x:c r="V484" t="n">
        <x:f>IFERROR(J484/I484*100,0)</x:f>
        <x:v>86.81135225375625</x:v>
      </x:c>
      <x:c r="W484" t="n">
        <x:f>IFERROR(K484/J484*100,0)</x:f>
        <x:v>1.6346153846153848</x:v>
      </x:c>
      <x:c r="X484" t="n">
        <x:f>IFERROR(H484/F484*100,0)</x:f>
        <x:v>12.857142857142856</x:v>
      </x:c>
      <x:c r="Y484" t="n">
        <x:f>J484-K484</x:f>
        <x:v>1023</x:v>
      </x:c>
      <x:c r="Z484" t="n">
        <x:f>MAX(0,MIN(100,(V484/100)*(1-X484/100)*(1-W484/100)*100))</x:f>
        <x:v>74.41330789410922</x:v>
      </x:c>
    </x:row>
    <x:row r="485">
      <x:c r="A485" s="12" t="n">
        <x:v>46188</x:v>
      </x:c>
      <x:c r="B485" t="str">
        <x:v>A</x:v>
      </x:c>
      <x:c r="C485" t="str">
        <x:v>Desiccated Coconut</x:v>
      </x:c>
      <x:c r="D485" t="str">
        <x:v>Dryer 3</x:v>
      </x:c>
      <x:c r="E485" t="str">
        <x:v>Sup 1</x:v>
      </x:c>
      <x:c r="F485" t="n">
        <x:v>480</x:v>
      </x:c>
      <x:c r="G485" t="n">
        <x:v>20</x:v>
      </x:c>
      <x:c r="H485" t="n">
        <x:v>61</x:v>
      </x:c>
      <x:c r="I485" t="n">
        <x:v>1135</x:v>
      </x:c>
      <x:c r="J485" t="n">
        <x:v>922</x:v>
      </x:c>
      <x:c r="K485" t="n">
        <x:v>29</x:v>
      </x:c>
      <x:c r="L485" t="n">
        <x:v>20</x:v>
      </x:c>
      <x:c r="M485" t="n">
        <x:v>90.5</x:v>
      </x:c>
      <x:c r="N485" t="n">
        <x:v>73.5</x:v>
      </x:c>
      <x:c r="O485" t="n">
        <x:v>77.2</x:v>
      </x:c>
      <x:c r="P485" t="n">
        <x:v>3</x:v>
      </x:c>
      <x:c r="Q485" t="str">
        <x:v>Near miss</x:v>
      </x:c>
      <x:c r="R485" t="str">
        <x:v>In progress</x:v>
      </x:c>
      <x:c r="S485" t="str">
        <x:v>Corrective</x:v>
      </x:c>
      <x:c r="T485" t="n">
        <x:v>1.5</x:v>
      </x:c>
      <x:c r="U485" t="n">
        <x:v>7.6</x:v>
      </x:c>
      <x:c r="V485" t="n">
        <x:f>IFERROR(J485/I485*100,0)</x:f>
        <x:v>81.23348017621146</x:v>
      </x:c>
      <x:c r="W485" t="n">
        <x:f>IFERROR(K485/J485*100,0)</x:f>
        <x:v>3.14533622559653</x:v>
      </x:c>
      <x:c r="X485" t="n">
        <x:f>IFERROR(H485/F485*100,0)</x:f>
        <x:v>12.708333333333332</x:v>
      </x:c>
      <x:c r="Y485" t="n">
        <x:f>J485-K485</x:f>
        <x:v>893</x:v>
      </x:c>
      <x:c r="Z485" t="n">
        <x:f>MAX(0,MIN(100,(V485/100)*(1-X485/100)*(1-W485/100)*100))</x:f>
        <x:v>68.67969897209986</x:v>
      </x:c>
    </x:row>
    <x:row r="486">
      <x:c r="A486" s="12" t="n">
        <x:v>46188</x:v>
      </x:c>
      <x:c r="B486" t="str">
        <x:v>B</x:v>
      </x:c>
      <x:c r="C486" t="str">
        <x:v>Desiccated Coconut</x:v>
      </x:c>
      <x:c r="D486" t="str">
        <x:v>Dryer 4</x:v>
      </x:c>
      <x:c r="E486" t="str">
        <x:v>Sup 2</x:v>
      </x:c>
      <x:c r="F486" t="n">
        <x:v>480</x:v>
      </x:c>
      <x:c r="G486" t="n">
        <x:v>20</x:v>
      </x:c>
      <x:c r="H486" t="n">
        <x:v>23</x:v>
      </x:c>
      <x:c r="I486" t="n">
        <x:v>1125</x:v>
      </x:c>
      <x:c r="J486" t="n">
        <x:v>1003</x:v>
      </x:c>
      <x:c r="K486" t="n">
        <x:v>24</x:v>
      </x:c>
      <x:c r="L486" t="n">
        <x:v>7</x:v>
      </x:c>
      <x:c r="M486" t="n">
        <x:v>98.1</x:v>
      </x:c>
      <x:c r="N486" t="n">
        <x:v>78.4</x:v>
      </x:c>
      <x:c r="O486" t="n">
        <x:v>55.2</x:v>
      </x:c>
      <x:c r="P486" t="n">
        <x:v>4</x:v>
      </x:c>
      <x:c r="Q486" t="str">
        <x:v>No incident</x:v>
      </x:c>
      <x:c r="R486" t="str">
        <x:v>N/A</x:v>
      </x:c>
      <x:c r="S486" t="str">
        <x:v>Inspection</x:v>
      </x:c>
      <x:c r="T486" t="n">
        <x:v>0.94</x:v>
      </x:c>
      <x:c r="U486" t="n">
        <x:v>8.5</x:v>
      </x:c>
      <x:c r="V486" t="n">
        <x:f>IFERROR(J486/I486*100,0)</x:f>
        <x:v>89.15555555555555</x:v>
      </x:c>
      <x:c r="W486" t="n">
        <x:f>IFERROR(K486/J486*100,0)</x:f>
        <x:v>2.3928215353938187</x:v>
      </x:c>
      <x:c r="X486" t="n">
        <x:f>IFERROR(H486/F486*100,0)</x:f>
        <x:v>4.791666666666667</x:v>
      </x:c>
      <x:c r="Y486" t="n">
        <x:f>J486-K486</x:f>
        <x:v>979</x:v>
      </x:c>
      <x:c r="Z486" t="n">
        <x:f>MAX(0,MIN(100,(V486/100)*(1-X486/100)*(1-W486/100)*100))</x:f>
        <x:v>82.8524074074074</x:v>
      </x:c>
    </x:row>
    <x:row r="487">
      <x:c r="A487" s="12" t="n">
        <x:v>46188</x:v>
      </x:c>
      <x:c r="B487" t="str">
        <x:v>C</x:v>
      </x:c>
      <x:c r="C487" t="str">
        <x:v>Dried Pineapple</x:v>
      </x:c>
      <x:c r="D487" t="str">
        <x:v>Dryer 4</x:v>
      </x:c>
      <x:c r="E487" t="str">
        <x:v>Sup 2</x:v>
      </x:c>
      <x:c r="F487" t="n">
        <x:v>450</x:v>
      </x:c>
      <x:c r="G487" t="n">
        <x:v>40</x:v>
      </x:c>
      <x:c r="H487" t="n">
        <x:v>61</x:v>
      </x:c>
      <x:c r="I487" t="n">
        <x:v>1627</x:v>
      </x:c>
      <x:c r="J487" t="n">
        <x:v>1339</x:v>
      </x:c>
      <x:c r="K487" t="n">
        <x:v>31</x:v>
      </x:c>
      <x:c r="L487" t="n">
        <x:v>16</x:v>
      </x:c>
      <x:c r="M487" t="n">
        <x:v>86.3</x:v>
      </x:c>
      <x:c r="N487" t="n">
        <x:v>77.3</x:v>
      </x:c>
      <x:c r="O487" t="n">
        <x:v>77.3</x:v>
      </x:c>
      <x:c r="P487" t="n">
        <x:v>1</x:v>
      </x:c>
      <x:c r="Q487" t="str">
        <x:v>Near miss</x:v>
      </x:c>
      <x:c r="R487" t="str">
        <x:v>Closed</x:v>
      </x:c>
      <x:c r="S487" t="str">
        <x:v>Inspection</x:v>
      </x:c>
      <x:c r="T487" t="n">
        <x:v>1.59</x:v>
      </x:c>
      <x:c r="U487" t="n">
        <x:v>10.7</x:v>
      </x:c>
      <x:c r="V487" t="n">
        <x:f>IFERROR(J487/I487*100,0)</x:f>
        <x:v>82.29870928088506</x:v>
      </x:c>
      <x:c r="W487" t="n">
        <x:f>IFERROR(K487/J487*100,0)</x:f>
        <x:v>2.315160567587752</x:v>
      </x:c>
      <x:c r="X487" t="n">
        <x:f>IFERROR(H487/F487*100,0)</x:f>
        <x:v>13.555555555555557</x:v>
      </x:c>
      <x:c r="Y487" t="n">
        <x:f>J487-K487</x:f>
        <x:v>1308</x:v>
      </x:c>
      <x:c r="Z487" t="n">
        <x:f>MAX(0,MIN(100,(V487/100)*(1-X487/100)*(1-W487/100)*100))</x:f>
        <x:v>69.49559516492522</x:v>
      </x:c>
    </x:row>
    <x:row r="488">
      <x:c r="A488" s="12" t="n">
        <x:v>46189</x:v>
      </x:c>
      <x:c r="B488" t="str">
        <x:v>A</x:v>
      </x:c>
      <x:c r="C488" t="str">
        <x:v>Dried Pineapple</x:v>
      </x:c>
      <x:c r="D488" t="str">
        <x:v>Dryer 2</x:v>
      </x:c>
      <x:c r="E488" t="str">
        <x:v>Sup 3</x:v>
      </x:c>
      <x:c r="F488" t="n">
        <x:v>480</x:v>
      </x:c>
      <x:c r="G488" t="n">
        <x:v>20</x:v>
      </x:c>
      <x:c r="H488" t="n">
        <x:v>36</x:v>
      </x:c>
      <x:c r="I488" t="n">
        <x:v>1776</x:v>
      </x:c>
      <x:c r="J488" t="n">
        <x:v>1603</x:v>
      </x:c>
      <x:c r="K488" t="n">
        <x:v>61</x:v>
      </x:c>
      <x:c r="L488" t="n">
        <x:v>19</x:v>
      </x:c>
      <x:c r="M488" t="n">
        <x:v>83.8</x:v>
      </x:c>
      <x:c r="N488" t="n">
        <x:v>81.2</x:v>
      </x:c>
      <x:c r="O488" t="n">
        <x:v>68</x:v>
      </x:c>
      <x:c r="P488" t="n">
        <x:v>1</x:v>
      </x:c>
      <x:c r="Q488" t="str">
        <x:v>No incident</x:v>
      </x:c>
      <x:c r="R488" t="str">
        <x:v>N/A</x:v>
      </x:c>
      <x:c r="S488" t="str">
        <x:v>Inspection</x:v>
      </x:c>
      <x:c r="T488" t="n">
        <x:v>0.7</x:v>
      </x:c>
      <x:c r="U488" t="n">
        <x:v>13.5</x:v>
      </x:c>
      <x:c r="V488" t="n">
        <x:f>IFERROR(J488/I488*100,0)</x:f>
        <x:v>90.259009009009</x:v>
      </x:c>
      <x:c r="W488" t="n">
        <x:f>IFERROR(K488/J488*100,0)</x:f>
        <x:v>3.8053649407361196</x:v>
      </x:c>
      <x:c r="X488" t="n">
        <x:f>IFERROR(H488/F488*100,0)</x:f>
        <x:v>7.5</x:v>
      </x:c>
      <x:c r="Y488" t="n">
        <x:f>J488-K488</x:f>
        <x:v>1542</x:v>
      </x:c>
      <x:c r="Z488" t="n">
        <x:f>MAX(0,MIN(100,(V488/100)*(1-X488/100)*(1-W488/100)*100))</x:f>
        <x:v>80.31250000000001</x:v>
      </x:c>
    </x:row>
    <x:row r="489">
      <x:c r="A489" s="12" t="n">
        <x:v>46189</x:v>
      </x:c>
      <x:c r="B489" t="str">
        <x:v>B</x:v>
      </x:c>
      <x:c r="C489" t="str">
        <x:v>Dried Mango</x:v>
      </x:c>
      <x:c r="D489" t="str">
        <x:v>Dryer 3</x:v>
      </x:c>
      <x:c r="E489" t="str">
        <x:v>Sup 2</x:v>
      </x:c>
      <x:c r="F489" t="n">
        <x:v>450</x:v>
      </x:c>
      <x:c r="G489" t="n">
        <x:v>20</x:v>
      </x:c>
      <x:c r="H489" t="n">
        <x:v>35</x:v>
      </x:c>
      <x:c r="I489" t="n">
        <x:v>1768</x:v>
      </x:c>
      <x:c r="J489" t="n">
        <x:v>1563</x:v>
      </x:c>
      <x:c r="K489" t="n">
        <x:v>81</x:v>
      </x:c>
      <x:c r="L489" t="n">
        <x:v>18</x:v>
      </x:c>
      <x:c r="M489" t="n">
        <x:v>94.2</x:v>
      </x:c>
      <x:c r="N489" t="n">
        <x:v>83</x:v>
      </x:c>
      <x:c r="O489" t="n">
        <x:v>69.7</x:v>
      </x:c>
      <x:c r="P489" t="n">
        <x:v>3</x:v>
      </x:c>
      <x:c r="Q489" t="str">
        <x:v>First aid</x:v>
      </x:c>
      <x:c r="R489" t="str">
        <x:v>Closed</x:v>
      </x:c>
      <x:c r="S489" t="str">
        <x:v>Corrective</x:v>
      </x:c>
      <x:c r="T489" t="n">
        <x:v>1.39</x:v>
      </x:c>
      <x:c r="U489" t="n">
        <x:v>12.6</x:v>
      </x:c>
      <x:c r="V489" t="n">
        <x:f>IFERROR(J489/I489*100,0)</x:f>
        <x:v>88.40497737556561</x:v>
      </x:c>
      <x:c r="W489" t="n">
        <x:f>IFERROR(K489/J489*100,0)</x:f>
        <x:v>5.182341650671785</x:v>
      </x:c>
      <x:c r="X489" t="n">
        <x:f>IFERROR(H489/F489*100,0)</x:f>
        <x:v>7.777777777777778</x:v>
      </x:c>
      <x:c r="Y489" t="n">
        <x:f>J489-K489</x:f>
        <x:v>1482</x:v>
      </x:c>
      <x:c r="Z489" t="n">
        <x:f>MAX(0,MIN(100,(V489/100)*(1-X489/100)*(1-W489/100)*100))</x:f>
        <x:v>77.30392156862746</x:v>
      </x:c>
    </x:row>
    <x:row r="490">
      <x:c r="A490" s="12" t="n">
        <x:v>46189</x:v>
      </x:c>
      <x:c r="B490" t="str">
        <x:v>C</x:v>
      </x:c>
      <x:c r="C490" t="str">
        <x:v>Dried Mango</x:v>
      </x:c>
      <x:c r="D490" t="str">
        <x:v>Dryer 2</x:v>
      </x:c>
      <x:c r="E490" t="str">
        <x:v>Sup 1</x:v>
      </x:c>
      <x:c r="F490" t="n">
        <x:v>420</x:v>
      </x:c>
      <x:c r="G490" t="n">
        <x:v>20</x:v>
      </x:c>
      <x:c r="H490" t="n">
        <x:v>40</x:v>
      </x:c>
      <x:c r="I490" t="n">
        <x:v>1636</x:v>
      </x:c>
      <x:c r="J490" t="n">
        <x:v>1521</x:v>
      </x:c>
      <x:c r="K490" t="n">
        <x:v>46</x:v>
      </x:c>
      <x:c r="L490" t="n">
        <x:v>30</x:v>
      </x:c>
      <x:c r="M490" t="n">
        <x:v>97.8</x:v>
      </x:c>
      <x:c r="N490" t="n">
        <x:v>87.1</x:v>
      </x:c>
      <x:c r="O490" t="n">
        <x:v>73</x:v>
      </x:c>
      <x:c r="P490" t="n">
        <x:v>3</x:v>
      </x:c>
      <x:c r="Q490" t="str">
        <x:v>Near miss</x:v>
      </x:c>
      <x:c r="R490" t="str">
        <x:v>Closed</x:v>
      </x:c>
      <x:c r="S490" t="str">
        <x:v>Corrective</x:v>
      </x:c>
      <x:c r="T490" t="n">
        <x:v>1.79</x:v>
      </x:c>
      <x:c r="U490" t="n">
        <x:v>13.6</x:v>
      </x:c>
      <x:c r="V490" t="n">
        <x:f>IFERROR(J490/I490*100,0)</x:f>
        <x:v>92.97066014669927</x:v>
      </x:c>
      <x:c r="W490" t="n">
        <x:f>IFERROR(K490/J490*100,0)</x:f>
        <x:v>3.0243261012491782</x:v>
      </x:c>
      <x:c r="X490" t="n">
        <x:f>IFERROR(H490/F490*100,0)</x:f>
        <x:v>9.523809523809524</x:v>
      </x:c>
      <x:c r="Y490" t="n">
        <x:f>J490-K490</x:f>
        <x:v>1475</x:v>
      </x:c>
      <x:c r="Z490" t="n">
        <x:f>MAX(0,MIN(100,(V490/100)*(1-X490/100)*(1-W490/100)*100))</x:f>
        <x:v>81.5723599953429</x:v>
      </x:c>
    </x:row>
    <x:row r="491">
      <x:c r="A491" s="12" t="n">
        <x:v>46190</x:v>
      </x:c>
      <x:c r="B491" t="str">
        <x:v>A</x:v>
      </x:c>
      <x:c r="C491" t="str">
        <x:v>Dried Mango</x:v>
      </x:c>
      <x:c r="D491" t="str">
        <x:v>Dryer 4</x:v>
      </x:c>
      <x:c r="E491" t="str">
        <x:v>Sup 1</x:v>
      </x:c>
      <x:c r="F491" t="n">
        <x:v>420</x:v>
      </x:c>
      <x:c r="G491" t="n">
        <x:v>40</x:v>
      </x:c>
      <x:c r="H491" t="n">
        <x:v>40</x:v>
      </x:c>
      <x:c r="I491" t="n">
        <x:v>1620</x:v>
      </x:c>
      <x:c r="J491" t="n">
        <x:v>1491</x:v>
      </x:c>
      <x:c r="K491" t="n">
        <x:v>67</x:v>
      </x:c>
      <x:c r="L491" t="n">
        <x:v>25</x:v>
      </x:c>
      <x:c r="M491" t="n">
        <x:v>91</x:v>
      </x:c>
      <x:c r="N491" t="n">
        <x:v>80</x:v>
      </x:c>
      <x:c r="O491" t="n">
        <x:v>73.3</x:v>
      </x:c>
      <x:c r="P491" t="n">
        <x:v>5</x:v>
      </x:c>
      <x:c r="Q491" t="str">
        <x:v>Recordable</x:v>
      </x:c>
      <x:c r="R491" t="str">
        <x:v>Open</x:v>
      </x:c>
      <x:c r="S491" t="str">
        <x:v>Corrective</x:v>
      </x:c>
      <x:c r="T491" t="n">
        <x:v>1.09</x:v>
      </x:c>
      <x:c r="U491" t="n">
        <x:v>11.8</x:v>
      </x:c>
      <x:c r="V491" t="n">
        <x:f>IFERROR(J491/I491*100,0)</x:f>
        <x:v>92.03703703703704</x:v>
      </x:c>
      <x:c r="W491" t="n">
        <x:f>IFERROR(K491/J491*100,0)</x:f>
        <x:v>4.493628437290409</x:v>
      </x:c>
      <x:c r="X491" t="n">
        <x:f>IFERROR(H491/F491*100,0)</x:f>
        <x:v>9.523809523809524</x:v>
      </x:c>
      <x:c r="Y491" t="n">
        <x:f>J491-K491</x:f>
        <x:v>1424</x:v>
      </x:c>
      <x:c r="Z491" t="n">
        <x:f>MAX(0,MIN(100,(V491/100)*(1-X491/100)*(1-W491/100)*100))</x:f>
        <x:v>79.52968841857731</x:v>
      </x:c>
    </x:row>
    <x:row r="492">
      <x:c r="A492" s="12" t="n">
        <x:v>46190</x:v>
      </x:c>
      <x:c r="B492" t="str">
        <x:v>B</x:v>
      </x:c>
      <x:c r="C492" t="str">
        <x:v>Dried Mango</x:v>
      </x:c>
      <x:c r="D492" t="str">
        <x:v>Dryer 4</x:v>
      </x:c>
      <x:c r="E492" t="str">
        <x:v>Sup 1</x:v>
      </x:c>
      <x:c r="F492" t="n">
        <x:v>480</x:v>
      </x:c>
      <x:c r="G492" t="n">
        <x:v>30</x:v>
      </x:c>
      <x:c r="H492" t="n">
        <x:v>26</x:v>
      </x:c>
      <x:c r="I492" t="n">
        <x:v>1724</x:v>
      </x:c>
      <x:c r="J492" t="n">
        <x:v>1628</x:v>
      </x:c>
      <x:c r="K492" t="n">
        <x:v>55</x:v>
      </x:c>
      <x:c r="L492" t="n">
        <x:v>23</x:v>
      </x:c>
      <x:c r="M492" t="n">
        <x:v>100</x:v>
      </x:c>
      <x:c r="N492" t="n">
        <x:v>91.9</x:v>
      </x:c>
      <x:c r="O492" t="n">
        <x:v>77.2</x:v>
      </x:c>
      <x:c r="P492" t="n">
        <x:v>2</x:v>
      </x:c>
      <x:c r="Q492" t="str">
        <x:v>No incident</x:v>
      </x:c>
      <x:c r="R492" t="str">
        <x:v>N/A</x:v>
      </x:c>
      <x:c r="S492" t="str">
        <x:v>Preventive</x:v>
      </x:c>
      <x:c r="T492" t="n">
        <x:v>0.5</x:v>
      </x:c>
      <x:c r="U492" t="n">
        <x:v>13.3</x:v>
      </x:c>
      <x:c r="V492" t="n">
        <x:f>IFERROR(J492/I492*100,0)</x:f>
        <x:v>94.43155452436194</x:v>
      </x:c>
      <x:c r="W492" t="n">
        <x:f>IFERROR(K492/J492*100,0)</x:f>
        <x:v>3.3783783783783785</x:v>
      </x:c>
      <x:c r="X492" t="n">
        <x:f>IFERROR(H492/F492*100,0)</x:f>
        <x:v>5.416666666666667</x:v>
      </x:c>
      <x:c r="Y492" t="n">
        <x:f>J492-K492</x:f>
        <x:v>1573</x:v>
      </x:c>
      <x:c r="Z492" t="n">
        <x:f>MAX(0,MIN(100,(V492/100)*(1-X492/100)*(1-W492/100)*100))</x:f>
        <x:v>86.299062258314</x:v>
      </x:c>
    </x:row>
    <x:row r="493">
      <x:c r="A493" s="12" t="n">
        <x:v>46190</x:v>
      </x:c>
      <x:c r="B493" t="str">
        <x:v>C</x:v>
      </x:c>
      <x:c r="C493" t="str">
        <x:v>Dried Pineapple</x:v>
      </x:c>
      <x:c r="D493" t="str">
        <x:v>Dryer 1</x:v>
      </x:c>
      <x:c r="E493" t="str">
        <x:v>Sup 2</x:v>
      </x:c>
      <x:c r="F493" t="n">
        <x:v>420</x:v>
      </x:c>
      <x:c r="G493" t="n">
        <x:v>30</x:v>
      </x:c>
      <x:c r="H493" t="n">
        <x:v>36</x:v>
      </x:c>
      <x:c r="I493" t="n">
        <x:v>1736</x:v>
      </x:c>
      <x:c r="J493" t="n">
        <x:v>1471</x:v>
      </x:c>
      <x:c r="K493" t="n">
        <x:v>47</x:v>
      </x:c>
      <x:c r="L493" t="n">
        <x:v>16</x:v>
      </x:c>
      <x:c r="M493" t="n">
        <x:v>88.1</x:v>
      </x:c>
      <x:c r="N493" t="n">
        <x:v>65.4</x:v>
      </x:c>
      <x:c r="O493" t="n">
        <x:v>81.5</x:v>
      </x:c>
      <x:c r="P493" t="n">
        <x:v>3</x:v>
      </x:c>
      <x:c r="Q493" t="str">
        <x:v>No incident</x:v>
      </x:c>
      <x:c r="R493" t="str">
        <x:v>N/A</x:v>
      </x:c>
      <x:c r="S493" t="str">
        <x:v>Inspection</x:v>
      </x:c>
      <x:c r="T493" t="n">
        <x:v>0.5</x:v>
      </x:c>
      <x:c r="U493" t="n">
        <x:v>13.4</x:v>
      </x:c>
      <x:c r="V493" t="n">
        <x:f>IFERROR(J493/I493*100,0)</x:f>
        <x:v>84.73502304147466</x:v>
      </x:c>
      <x:c r="W493" t="n">
        <x:f>IFERROR(K493/J493*100,0)</x:f>
        <x:v>3.195105370496261</x:v>
      </x:c>
      <x:c r="X493" t="n">
        <x:f>IFERROR(H493/F493*100,0)</x:f>
        <x:v>8.571428571428571</x:v>
      </x:c>
      <x:c r="Y493" t="n">
        <x:f>J493-K493</x:f>
        <x:v>1424</x:v>
      </x:c>
      <x:c r="Z493" t="n">
        <x:f>MAX(0,MIN(100,(V493/100)*(1-X493/100)*(1-W493/100)*100))</x:f>
        <x:v>74.99670836076368</x:v>
      </x:c>
    </x:row>
    <x:row r="494">
      <x:c r="A494" s="12" t="n">
        <x:v>46191</x:v>
      </x:c>
      <x:c r="B494" t="str">
        <x:v>A</x:v>
      </x:c>
      <x:c r="C494" t="str">
        <x:v>Dried Mango</x:v>
      </x:c>
      <x:c r="D494" t="str">
        <x:v>Dryer 2</x:v>
      </x:c>
      <x:c r="E494" t="str">
        <x:v>Sup 1</x:v>
      </x:c>
      <x:c r="F494" t="n">
        <x:v>480</x:v>
      </x:c>
      <x:c r="G494" t="n">
        <x:v>20</x:v>
      </x:c>
      <x:c r="H494" t="n">
        <x:v>32</x:v>
      </x:c>
      <x:c r="I494" t="n">
        <x:v>1761</x:v>
      </x:c>
      <x:c r="J494" t="n">
        <x:v>1603</x:v>
      </x:c>
      <x:c r="K494" t="n">
        <x:v>48</x:v>
      </x:c>
      <x:c r="L494" t="n">
        <x:v>22</x:v>
      </x:c>
      <x:c r="M494" t="n">
        <x:v>100</x:v>
      </x:c>
      <x:c r="N494" t="n">
        <x:v>83.8</x:v>
      </x:c>
      <x:c r="O494" t="n">
        <x:v>71.1</x:v>
      </x:c>
      <x:c r="P494" t="n">
        <x:v>4</x:v>
      </x:c>
      <x:c r="Q494" t="str">
        <x:v>No incident</x:v>
      </x:c>
      <x:c r="R494" t="str">
        <x:v>N/A</x:v>
      </x:c>
      <x:c r="S494" t="str">
        <x:v>Corrective</x:v>
      </x:c>
      <x:c r="T494" t="n">
        <x:v>1.32</x:v>
      </x:c>
      <x:c r="U494" t="n">
        <x:v>13.3</x:v>
      </x:c>
      <x:c r="V494" t="n">
        <x:f>IFERROR(J494/I494*100,0)</x:f>
        <x:v>91.02782509937536</x:v>
      </x:c>
      <x:c r="W494" t="n">
        <x:f>IFERROR(K494/J494*100,0)</x:f>
        <x:v>2.9943855271366187</x:v>
      </x:c>
      <x:c r="X494" t="n">
        <x:f>IFERROR(H494/F494*100,0)</x:f>
        <x:v>6.666666666666667</x:v>
      </x:c>
      <x:c r="Y494" t="n">
        <x:f>J494-K494</x:f>
        <x:v>1555</x:v>
      </x:c>
      <x:c r="Z494" t="n">
        <x:f>MAX(0,MIN(100,(V494/100)*(1-X494/100)*(1-W494/100)*100))</x:f>
        <x:v>82.41529434033693</x:v>
      </x:c>
    </x:row>
    <x:row r="495">
      <x:c r="A495" s="12" t="n">
        <x:v>46191</x:v>
      </x:c>
      <x:c r="B495" t="str">
        <x:v>B</x:v>
      </x:c>
      <x:c r="C495" t="str">
        <x:v>Dried Pineapple</x:v>
      </x:c>
      <x:c r="D495" t="str">
        <x:v>Dryer 4</x:v>
      </x:c>
      <x:c r="E495" t="str">
        <x:v>Sup 2</x:v>
      </x:c>
      <x:c r="F495" t="n">
        <x:v>480</x:v>
      </x:c>
      <x:c r="G495" t="n">
        <x:v>40</x:v>
      </x:c>
      <x:c r="H495" t="n">
        <x:v>89</x:v>
      </x:c>
      <x:c r="I495" t="n">
        <x:v>1879</x:v>
      </x:c>
      <x:c r="J495" t="n">
        <x:v>1377</x:v>
      </x:c>
      <x:c r="K495" t="n">
        <x:v>48</x:v>
      </x:c>
      <x:c r="L495" t="n">
        <x:v>10</x:v>
      </x:c>
      <x:c r="M495" t="n">
        <x:v>85</x:v>
      </x:c>
      <x:c r="N495" t="n">
        <x:v>84.5</x:v>
      </x:c>
      <x:c r="O495" t="n">
        <x:v>69.7</x:v>
      </x:c>
      <x:c r="P495" t="n">
        <x:v>5</x:v>
      </x:c>
      <x:c r="Q495" t="str">
        <x:v>No incident</x:v>
      </x:c>
      <x:c r="R495" t="str">
        <x:v>N/A</x:v>
      </x:c>
      <x:c r="S495" t="str">
        <x:v>Preventive</x:v>
      </x:c>
      <x:c r="T495" t="n">
        <x:v>0.5</x:v>
      </x:c>
      <x:c r="U495" t="n">
        <x:v>10.4</x:v>
      </x:c>
      <x:c r="V495" t="n">
        <x:f>IFERROR(J495/I495*100,0)</x:f>
        <x:v>73.28366152208622</x:v>
      </x:c>
      <x:c r="W495" t="n">
        <x:f>IFERROR(K495/J495*100,0)</x:f>
        <x:v>3.485838779956427</x:v>
      </x:c>
      <x:c r="X495" t="n">
        <x:f>IFERROR(H495/F495*100,0)</x:f>
        <x:v>18.541666666666668</x:v>
      </x:c>
      <x:c r="Y495" t="n">
        <x:f>J495-K495</x:f>
        <x:v>1329</x:v>
      </x:c>
      <x:c r="Z495" t="n">
        <x:f>MAX(0,MIN(100,(V495/100)*(1-X495/100)*(1-W495/100)*100))</x:f>
        <x:v>57.61475518893029</x:v>
      </x:c>
    </x:row>
    <x:row r="496">
      <x:c r="A496" s="12" t="n">
        <x:v>46191</x:v>
      </x:c>
      <x:c r="B496" t="str">
        <x:v>C</x:v>
      </x:c>
      <x:c r="C496" t="str">
        <x:v>Dried Pineapple</x:v>
      </x:c>
      <x:c r="D496" t="str">
        <x:v>Dryer 3</x:v>
      </x:c>
      <x:c r="E496" t="str">
        <x:v>Sup 3</x:v>
      </x:c>
      <x:c r="F496" t="n">
        <x:v>420</x:v>
      </x:c>
      <x:c r="G496" t="n">
        <x:v>20</x:v>
      </x:c>
      <x:c r="H496" t="n">
        <x:v>59</x:v>
      </x:c>
      <x:c r="I496" t="n">
        <x:v>1788</x:v>
      </x:c>
      <x:c r="J496" t="n">
        <x:v>1427</x:v>
      </x:c>
      <x:c r="K496" t="n">
        <x:v>62</x:v>
      </x:c>
      <x:c r="L496" t="n">
        <x:v>41</x:v>
      </x:c>
      <x:c r="M496" t="n">
        <x:v>85.8</x:v>
      </x:c>
      <x:c r="N496" t="n">
        <x:v>80.2</x:v>
      </x:c>
      <x:c r="O496" t="n">
        <x:v>68.3</x:v>
      </x:c>
      <x:c r="P496" t="n">
        <x:v>1</x:v>
      </x:c>
      <x:c r="Q496" t="str">
        <x:v>No incident</x:v>
      </x:c>
      <x:c r="R496" t="str">
        <x:v>N/A</x:v>
      </x:c>
      <x:c r="S496" t="str">
        <x:v>Inspection</x:v>
      </x:c>
      <x:c r="T496" t="n">
        <x:v>0.73</x:v>
      </x:c>
      <x:c r="U496" t="n">
        <x:v>12.5</x:v>
      </x:c>
      <x:c r="V496" t="n">
        <x:f>IFERROR(J496/I496*100,0)</x:f>
        <x:v>79.80984340044742</x:v>
      </x:c>
      <x:c r="W496" t="n">
        <x:f>IFERROR(K496/J496*100,0)</x:f>
        <x:v>4.344779257182902</x:v>
      </x:c>
      <x:c r="X496" t="n">
        <x:f>IFERROR(H496/F496*100,0)</x:f>
        <x:v>14.047619047619047</x:v>
      </x:c>
      <x:c r="Y496" t="n">
        <x:f>J496-K496</x:f>
        <x:v>1365</x:v>
      </x:c>
      <x:c r="Z496" t="n">
        <x:f>MAX(0,MIN(100,(V496/100)*(1-X496/100)*(1-W496/100)*100))</x:f>
        <x:v>65.61800894854586</x:v>
      </x:c>
    </x:row>
    <x:row r="497">
      <x:c r="A497" s="12" t="n">
        <x:v>46192</x:v>
      </x:c>
      <x:c r="B497" t="str">
        <x:v>A</x:v>
      </x:c>
      <x:c r="C497" t="str">
        <x:v>Dried Mango</x:v>
      </x:c>
      <x:c r="D497" t="str">
        <x:v>Dryer 2</x:v>
      </x:c>
      <x:c r="E497" t="str">
        <x:v>Sup 1</x:v>
      </x:c>
      <x:c r="F497" t="n">
        <x:v>480</x:v>
      </x:c>
      <x:c r="G497" t="n">
        <x:v>20</x:v>
      </x:c>
      <x:c r="H497" t="n">
        <x:v>27</x:v>
      </x:c>
      <x:c r="I497" t="n">
        <x:v>1608</x:v>
      </x:c>
      <x:c r="J497" t="n">
        <x:v>1487</x:v>
      </x:c>
      <x:c r="K497" t="n">
        <x:v>65</x:v>
      </x:c>
      <x:c r="L497" t="n">
        <x:v>30</x:v>
      </x:c>
      <x:c r="M497" t="n">
        <x:v>93.4</x:v>
      </x:c>
      <x:c r="N497" t="n">
        <x:v>90</x:v>
      </x:c>
      <x:c r="O497" t="n">
        <x:v>63.9</x:v>
      </x:c>
      <x:c r="P497" t="n">
        <x:v>1</x:v>
      </x:c>
      <x:c r="Q497" t="str">
        <x:v>No incident</x:v>
      </x:c>
      <x:c r="R497" t="str">
        <x:v>N/A</x:v>
      </x:c>
      <x:c r="S497" t="str">
        <x:v>Inspection</x:v>
      </x:c>
      <x:c r="T497" t="n">
        <x:v>0.62</x:v>
      </x:c>
      <x:c r="U497" t="n">
        <x:v>11.9</x:v>
      </x:c>
      <x:c r="V497" t="n">
        <x:f>IFERROR(J497/I497*100,0)</x:f>
        <x:v>92.47512437810946</x:v>
      </x:c>
      <x:c r="W497" t="n">
        <x:f>IFERROR(K497/J497*100,0)</x:f>
        <x:v>4.371217215870881</x:v>
      </x:c>
      <x:c r="X497" t="n">
        <x:f>IFERROR(H497/F497*100,0)</x:f>
        <x:v>5.625</x:v>
      </x:c>
      <x:c r="Y497" t="n">
        <x:f>J497-K497</x:f>
        <x:v>1422</x:v>
      </x:c>
      <x:c r="Z497" t="n">
        <x:f>MAX(0,MIN(100,(V497/100)*(1-X497/100)*(1-W497/100)*100))</x:f>
        <x:v>83.45848880597015</x:v>
      </x:c>
    </x:row>
    <x:row r="498">
      <x:c r="A498" s="12" t="n">
        <x:v>46192</x:v>
      </x:c>
      <x:c r="B498" t="str">
        <x:v>B</x:v>
      </x:c>
      <x:c r="C498" t="str">
        <x:v>Desiccated Coconut</x:v>
      </x:c>
      <x:c r="D498" t="str">
        <x:v>Dryer 4</x:v>
      </x:c>
      <x:c r="E498" t="str">
        <x:v>Sup 1</x:v>
      </x:c>
      <x:c r="F498" t="n">
        <x:v>420</x:v>
      </x:c>
      <x:c r="G498" t="n">
        <x:v>30</x:v>
      </x:c>
      <x:c r="H498" t="n">
        <x:v>67</x:v>
      </x:c>
      <x:c r="I498" t="n">
        <x:v>1243</x:v>
      </x:c>
      <x:c r="J498" t="n">
        <x:v>928</x:v>
      </x:c>
      <x:c r="K498" t="n">
        <x:v>18</x:v>
      </x:c>
      <x:c r="L498" t="n">
        <x:v>8</x:v>
      </x:c>
      <x:c r="M498" t="n">
        <x:v>91.9</x:v>
      </x:c>
      <x:c r="N498" t="n">
        <x:v>55</x:v>
      </x:c>
      <x:c r="O498" t="n">
        <x:v>71.1</x:v>
      </x:c>
      <x:c r="P498" t="n">
        <x:v>1</x:v>
      </x:c>
      <x:c r="Q498" t="str">
        <x:v>No incident</x:v>
      </x:c>
      <x:c r="R498" t="str">
        <x:v>N/A</x:v>
      </x:c>
      <x:c r="S498" t="str">
        <x:v>Corrective</x:v>
      </x:c>
      <x:c r="T498" t="n">
        <x:v>0.93</x:v>
      </x:c>
      <x:c r="U498" t="n">
        <x:v>7.7</x:v>
      </x:c>
      <x:c r="V498" t="n">
        <x:f>IFERROR(J498/I498*100,0)</x:f>
        <x:v>74.6580852775543</x:v>
      </x:c>
      <x:c r="W498" t="n">
        <x:f>IFERROR(K498/J498*100,0)</x:f>
        <x:v>1.9396551724137931</x:v>
      </x:c>
      <x:c r="X498" t="n">
        <x:f>IFERROR(H498/F498*100,0)</x:f>
        <x:v>15.95238095238095</x:v>
      </x:c>
      <x:c r="Y498" t="n">
        <x:f>J498-K498</x:f>
        <x:v>910</x:v>
      </x:c>
      <x:c r="Z498" t="n">
        <x:f>MAX(0,MIN(100,(V498/100)*(1-X498/100)*(1-W498/100)*100))</x:f>
        <x:v>61.53124161973721</x:v>
      </x:c>
    </x:row>
    <x:row r="499">
      <x:c r="A499" s="12" t="n">
        <x:v>46192</x:v>
      </x:c>
      <x:c r="B499" t="str">
        <x:v>C</x:v>
      </x:c>
      <x:c r="C499" t="str">
        <x:v>Dried Pineapple</x:v>
      </x:c>
      <x:c r="D499" t="str">
        <x:v>Dryer 1</x:v>
      </x:c>
      <x:c r="E499" t="str">
        <x:v>Sup 1</x:v>
      </x:c>
      <x:c r="F499" t="n">
        <x:v>420</x:v>
      </x:c>
      <x:c r="G499" t="n">
        <x:v>30</x:v>
      </x:c>
      <x:c r="H499" t="n">
        <x:v>59</x:v>
      </x:c>
      <x:c r="I499" t="n">
        <x:v>1642</x:v>
      </x:c>
      <x:c r="J499" t="n">
        <x:v>1383</x:v>
      </x:c>
      <x:c r="K499" t="n">
        <x:v>32</x:v>
      </x:c>
      <x:c r="L499" t="n">
        <x:v>10</x:v>
      </x:c>
      <x:c r="M499" t="n">
        <x:v>82.7</x:v>
      </x:c>
      <x:c r="N499" t="n">
        <x:v>72.9</x:v>
      </x:c>
      <x:c r="O499" t="n">
        <x:v>75.1</x:v>
      </x:c>
      <x:c r="P499" t="n">
        <x:v>2</x:v>
      </x:c>
      <x:c r="Q499" t="str">
        <x:v>No incident</x:v>
      </x:c>
      <x:c r="R499" t="str">
        <x:v>N/A</x:v>
      </x:c>
      <x:c r="S499" t="str">
        <x:v>Inspection</x:v>
      </x:c>
      <x:c r="T499" t="n">
        <x:v>1.14</x:v>
      </x:c>
      <x:c r="U499" t="n">
        <x:v>12</x:v>
      </x:c>
      <x:c r="V499" t="n">
        <x:f>IFERROR(J499/I499*100,0)</x:f>
        <x:v>84.22655298416565</x:v>
      </x:c>
      <x:c r="W499" t="n">
        <x:f>IFERROR(K499/J499*100,0)</x:f>
        <x:v>2.3138105567606653</x:v>
      </x:c>
      <x:c r="X499" t="n">
        <x:f>IFERROR(H499/F499*100,0)</x:f>
        <x:v>14.047619047619047</x:v>
      </x:c>
      <x:c r="Y499" t="n">
        <x:f>J499-K499</x:f>
        <x:v>1351</x:v>
      </x:c>
      <x:c r="Z499" t="n">
        <x:f>MAX(0,MIN(100,(V499/100)*(1-X499/100)*(1-W499/100)*100))</x:f>
        <x:v>70.71965083231831</x:v>
      </x:c>
    </x:row>
    <x:row r="500">
      <x:c r="A500" s="12" t="n">
        <x:v>46193</x:v>
      </x:c>
      <x:c r="B500" t="str">
        <x:v>A</x:v>
      </x:c>
      <x:c r="C500" t="str">
        <x:v>Dried Pineapple</x:v>
      </x:c>
      <x:c r="D500" t="str">
        <x:v>Dryer 4</x:v>
      </x:c>
      <x:c r="E500" t="str">
        <x:v>Sup 3</x:v>
      </x:c>
      <x:c r="F500" t="n">
        <x:v>420</x:v>
      </x:c>
      <x:c r="G500" t="n">
        <x:v>20</x:v>
      </x:c>
      <x:c r="H500" t="n">
        <x:v>28</x:v>
      </x:c>
      <x:c r="I500" t="n">
        <x:v>1665</x:v>
      </x:c>
      <x:c r="J500" t="n">
        <x:v>1422</x:v>
      </x:c>
      <x:c r="K500" t="n">
        <x:v>47</x:v>
      </x:c>
      <x:c r="L500" t="n">
        <x:v>27</x:v>
      </x:c>
      <x:c r="M500" t="n">
        <x:v>95.8</x:v>
      </x:c>
      <x:c r="N500" t="n">
        <x:v>86.1</x:v>
      </x:c>
      <x:c r="O500" t="n">
        <x:v>63.5</x:v>
      </x:c>
      <x:c r="P500" t="n">
        <x:v>4</x:v>
      </x:c>
      <x:c r="Q500" t="str">
        <x:v>No incident</x:v>
      </x:c>
      <x:c r="R500" t="str">
        <x:v>N/A</x:v>
      </x:c>
      <x:c r="S500" t="str">
        <x:v>Corrective</x:v>
      </x:c>
      <x:c r="T500" t="n">
        <x:v>1.3</x:v>
      </x:c>
      <x:c r="U500" t="n">
        <x:v>10.8</x:v>
      </x:c>
      <x:c r="V500" t="n">
        <x:f>IFERROR(J500/I500*100,0)</x:f>
        <x:v>85.4054054054054</x:v>
      </x:c>
      <x:c r="W500" t="n">
        <x:f>IFERROR(K500/J500*100,0)</x:f>
        <x:v>3.305203938115331</x:v>
      </x:c>
      <x:c r="X500" t="n">
        <x:f>IFERROR(H500/F500*100,0)</x:f>
        <x:v>6.666666666666667</x:v>
      </x:c>
      <x:c r="Y500" t="n">
        <x:f>J500-K500</x:f>
        <x:v>1375</x:v>
      </x:c>
      <x:c r="Z500" t="n">
        <x:f>MAX(0,MIN(100,(V500/100)*(1-X500/100)*(1-W500/100)*100))</x:f>
        <x:v>77.07707707707708</x:v>
      </x:c>
    </x:row>
    <x:row r="501">
      <x:c r="A501" s="12" t="n">
        <x:v>46193</x:v>
      </x:c>
      <x:c r="B501" t="str">
        <x:v>B</x:v>
      </x:c>
      <x:c r="C501" t="str">
        <x:v>Dried Mango</x:v>
      </x:c>
      <x:c r="D501" t="str">
        <x:v>Dryer 4</x:v>
      </x:c>
      <x:c r="E501" t="str">
        <x:v>Sup 2</x:v>
      </x:c>
      <x:c r="F501" t="n">
        <x:v>480</x:v>
      </x:c>
      <x:c r="G501" t="n">
        <x:v>20</x:v>
      </x:c>
      <x:c r="H501" t="n">
        <x:v>40</x:v>
      </x:c>
      <x:c r="I501" t="n">
        <x:v>1647</x:v>
      </x:c>
      <x:c r="J501" t="n">
        <x:v>1549</x:v>
      </x:c>
      <x:c r="K501" t="n">
        <x:v>47</x:v>
      </x:c>
      <x:c r="L501" t="n">
        <x:v>19</x:v>
      </x:c>
      <x:c r="M501" t="n">
        <x:v>86.1</x:v>
      </x:c>
      <x:c r="N501" t="n">
        <x:v>80.2</x:v>
      </x:c>
      <x:c r="O501" t="n">
        <x:v>74.8</x:v>
      </x:c>
      <x:c r="P501" t="n">
        <x:v>5</x:v>
      </x:c>
      <x:c r="Q501" t="str">
        <x:v>No incident</x:v>
      </x:c>
      <x:c r="R501" t="str">
        <x:v>N/A</x:v>
      </x:c>
      <x:c r="S501" t="str">
        <x:v>Preventive</x:v>
      </x:c>
      <x:c r="T501" t="n">
        <x:v>1.01</x:v>
      </x:c>
      <x:c r="U501" t="n">
        <x:v>13.2</x:v>
      </x:c>
      <x:c r="V501" t="n">
        <x:f>IFERROR(J501/I501*100,0)</x:f>
        <x:v>94.04978749241045</x:v>
      </x:c>
      <x:c r="W501" t="n">
        <x:f>IFERROR(K501/J501*100,0)</x:f>
        <x:v>3.0342156229825696</x:v>
      </x:c>
      <x:c r="X501" t="n">
        <x:f>IFERROR(H501/F501*100,0)</x:f>
        <x:v>8.333333333333332</x:v>
      </x:c>
      <x:c r="Y501" t="n">
        <x:f>J501-K501</x:f>
        <x:v>1502</x:v>
      </x:c>
      <x:c r="Z501" t="n">
        <x:f>MAX(0,MIN(100,(V501/100)*(1-X501/100)*(1-W501/100)*100))</x:f>
        <x:v>83.59643796802267</x:v>
      </x:c>
    </x:row>
    <x:row r="502">
      <x:c r="A502" s="12" t="n">
        <x:v>46193</x:v>
      </x:c>
      <x:c r="B502" t="str">
        <x:v>C</x:v>
      </x:c>
      <x:c r="C502" t="str">
        <x:v>Dried Pineapple</x:v>
      </x:c>
      <x:c r="D502" t="str">
        <x:v>Dryer 1</x:v>
      </x:c>
      <x:c r="E502" t="str">
        <x:v>Sup 3</x:v>
      </x:c>
      <x:c r="F502" t="n">
        <x:v>450</x:v>
      </x:c>
      <x:c r="G502" t="n">
        <x:v>30</x:v>
      </x:c>
      <x:c r="H502" t="n">
        <x:v>43</x:v>
      </x:c>
      <x:c r="I502" t="n">
        <x:v>1662</x:v>
      </x:c>
      <x:c r="J502" t="n">
        <x:v>1423</x:v>
      </x:c>
      <x:c r="K502" t="n">
        <x:v>34</x:v>
      </x:c>
      <x:c r="L502" t="n">
        <x:v>13</x:v>
      </x:c>
      <x:c r="M502" t="n">
        <x:v>91.3</x:v>
      </x:c>
      <x:c r="N502" t="n">
        <x:v>72.8</x:v>
      </x:c>
      <x:c r="O502" t="n">
        <x:v>73.2</x:v>
      </x:c>
      <x:c r="P502" t="n">
        <x:v>3</x:v>
      </x:c>
      <x:c r="Q502" t="str">
        <x:v>No incident</x:v>
      </x:c>
      <x:c r="R502" t="str">
        <x:v>N/A</x:v>
      </x:c>
      <x:c r="S502" t="str">
        <x:v>Inspection</x:v>
      </x:c>
      <x:c r="T502" t="n">
        <x:v>0.85</x:v>
      </x:c>
      <x:c r="U502" t="n">
        <x:v>12</x:v>
      </x:c>
      <x:c r="V502" t="n">
        <x:f>IFERROR(J502/I502*100,0)</x:f>
        <x:v>85.61973525872443</x:v>
      </x:c>
      <x:c r="W502" t="n">
        <x:f>IFERROR(K502/J502*100,0)</x:f>
        <x:v>2.3893183415319745</x:v>
      </x:c>
      <x:c r="X502" t="n">
        <x:f>IFERROR(H502/F502*100,0)</x:f>
        <x:v>9.555555555555555</x:v>
      </x:c>
      <x:c r="Y502" t="n">
        <x:f>J502-K502</x:f>
        <x:v>1389</x:v>
      </x:c>
      <x:c r="Z502" t="n">
        <x:f>MAX(0,MIN(100,(V502/100)*(1-X502/100)*(1-W502/100)*100))</x:f>
        <x:v>75.58804653028479</x:v>
      </x:c>
    </x:row>
    <x:row r="503">
      <x:c r="A503" s="12" t="n">
        <x:v>46194</x:v>
      </x:c>
      <x:c r="B503" t="str">
        <x:v>A</x:v>
      </x:c>
      <x:c r="C503" t="str">
        <x:v>Dried Mango</x:v>
      </x:c>
      <x:c r="D503" t="str">
        <x:v>Dryer 1</x:v>
      </x:c>
      <x:c r="E503" t="str">
        <x:v>Sup 3</x:v>
      </x:c>
      <x:c r="F503" t="n">
        <x:v>480</x:v>
      </x:c>
      <x:c r="G503" t="n">
        <x:v>30</x:v>
      </x:c>
      <x:c r="H503" t="n">
        <x:v>19</x:v>
      </x:c>
      <x:c r="I503" t="n">
        <x:v>1574</x:v>
      </x:c>
      <x:c r="J503" t="n">
        <x:v>1339</x:v>
      </x:c>
      <x:c r="K503" t="n">
        <x:v>51</x:v>
      </x:c>
      <x:c r="L503" t="n">
        <x:v>30</x:v>
      </x:c>
      <x:c r="M503" t="n">
        <x:v>83.4</x:v>
      </x:c>
      <x:c r="N503" t="n">
        <x:v>83.9</x:v>
      </x:c>
      <x:c r="O503" t="n">
        <x:v>82.8</x:v>
      </x:c>
      <x:c r="P503" t="n">
        <x:v>2</x:v>
      </x:c>
      <x:c r="Q503" t="str">
        <x:v>Near miss</x:v>
      </x:c>
      <x:c r="R503" t="str">
        <x:v>In progress</x:v>
      </x:c>
      <x:c r="S503" t="str">
        <x:v>Inspection</x:v>
      </x:c>
      <x:c r="T503" t="n">
        <x:v>0.82</x:v>
      </x:c>
      <x:c r="U503" t="n">
        <x:v>10.6</x:v>
      </x:c>
      <x:c r="V503" t="n">
        <x:f>IFERROR(J503/I503*100,0)</x:f>
        <x:v>85.06988564167726</x:v>
      </x:c>
      <x:c r="W503" t="n">
        <x:f>IFERROR(K503/J503*100,0)</x:f>
        <x:v>3.8088125466766245</x:v>
      </x:c>
      <x:c r="X503" t="n">
        <x:f>IFERROR(H503/F503*100,0)</x:f>
        <x:v>3.958333333333333</x:v>
      </x:c>
      <x:c r="Y503" t="n">
        <x:f>J503-K503</x:f>
        <x:v>1288</x:v>
      </x:c>
      <x:c r="Z503" t="n">
        <x:f>MAX(0,MIN(100,(V503/100)*(1-X503/100)*(1-W503/100)*100))</x:f>
        <x:v>78.59063955950869</x:v>
      </x:c>
    </x:row>
    <x:row r="504">
      <x:c r="A504" s="12" t="n">
        <x:v>46194</x:v>
      </x:c>
      <x:c r="B504" t="str">
        <x:v>B</x:v>
      </x:c>
      <x:c r="C504" t="str">
        <x:v>Dried Pineapple</x:v>
      </x:c>
      <x:c r="D504" t="str">
        <x:v>Dryer 4</x:v>
      </x:c>
      <x:c r="E504" t="str">
        <x:v>Sup 2</x:v>
      </x:c>
      <x:c r="F504" t="n">
        <x:v>450</x:v>
      </x:c>
      <x:c r="G504" t="n">
        <x:v>40</x:v>
      </x:c>
      <x:c r="H504" t="n">
        <x:v>48</x:v>
      </x:c>
      <x:c r="I504" t="n">
        <x:v>1672</x:v>
      </x:c>
      <x:c r="J504" t="n">
        <x:v>1453</x:v>
      </x:c>
      <x:c r="K504" t="n">
        <x:v>33</x:v>
      </x:c>
      <x:c r="L504" t="n">
        <x:v>10</x:v>
      </x:c>
      <x:c r="M504" t="n">
        <x:v>95.4</x:v>
      </x:c>
      <x:c r="N504" t="n">
        <x:v>81.2</x:v>
      </x:c>
      <x:c r="O504" t="n">
        <x:v>79.8</x:v>
      </x:c>
      <x:c r="P504" t="n">
        <x:v>2</x:v>
      </x:c>
      <x:c r="Q504" t="str">
        <x:v>No incident</x:v>
      </x:c>
      <x:c r="R504" t="str">
        <x:v>N/A</x:v>
      </x:c>
      <x:c r="S504" t="str">
        <x:v>Inspection</x:v>
      </x:c>
      <x:c r="T504" t="n">
        <x:v>0.5</x:v>
      </x:c>
      <x:c r="U504" t="n">
        <x:v>11.9</x:v>
      </x:c>
      <x:c r="V504" t="n">
        <x:f>IFERROR(J504/I504*100,0)</x:f>
        <x:v>86.9019138755981</x:v>
      </x:c>
      <x:c r="W504" t="n">
        <x:f>IFERROR(K504/J504*100,0)</x:f>
        <x:v>2.271163110805231</x:v>
      </x:c>
      <x:c r="X504" t="n">
        <x:f>IFERROR(H504/F504*100,0)</x:f>
        <x:v>10.666666666666668</x:v>
      </x:c>
      <x:c r="Y504" t="n">
        <x:f>J504-K504</x:f>
        <x:v>1420</x:v>
      </x:c>
      <x:c r="Z504" t="n">
        <x:f>MAX(0,MIN(100,(V504/100)*(1-X504/100)*(1-W504/100)*100))</x:f>
        <x:v>75.86921850079746</x:v>
      </x:c>
    </x:row>
    <x:row r="505">
      <x:c r="A505" s="12" t="n">
        <x:v>46194</x:v>
      </x:c>
      <x:c r="B505" t="str">
        <x:v>C</x:v>
      </x:c>
      <x:c r="C505" t="str">
        <x:v>Dried Pineapple</x:v>
      </x:c>
      <x:c r="D505" t="str">
        <x:v>Dryer 3</x:v>
      </x:c>
      <x:c r="E505" t="str">
        <x:v>Sup 1</x:v>
      </x:c>
      <x:c r="F505" t="n">
        <x:v>480</x:v>
      </x:c>
      <x:c r="G505" t="n">
        <x:v>20</x:v>
      </x:c>
      <x:c r="H505" t="n">
        <x:v>62</x:v>
      </x:c>
      <x:c r="I505" t="n">
        <x:v>1791</x:v>
      </x:c>
      <x:c r="J505" t="n">
        <x:v>1558</x:v>
      </x:c>
      <x:c r="K505" t="n">
        <x:v>65</x:v>
      </x:c>
      <x:c r="L505" t="n">
        <x:v>38</x:v>
      </x:c>
      <x:c r="M505" t="n">
        <x:v>94.8</x:v>
      </x:c>
      <x:c r="N505" t="n">
        <x:v>69.2</x:v>
      </x:c>
      <x:c r="O505" t="n">
        <x:v>78.9</x:v>
      </x:c>
      <x:c r="P505" t="n">
        <x:v>0</x:v>
      </x:c>
      <x:c r="Q505" t="str">
        <x:v>Near miss</x:v>
      </x:c>
      <x:c r="R505" t="str">
        <x:v>Closed</x:v>
      </x:c>
      <x:c r="S505" t="str">
        <x:v>Preventive</x:v>
      </x:c>
      <x:c r="T505" t="n">
        <x:v>0.78</x:v>
      </x:c>
      <x:c r="U505" t="n">
        <x:v>14.2</x:v>
      </x:c>
      <x:c r="V505" t="n">
        <x:f>IFERROR(J505/I505*100,0)</x:f>
        <x:v>86.99050809603574</x:v>
      </x:c>
      <x:c r="W505" t="n">
        <x:f>IFERROR(K505/J505*100,0)</x:f>
        <x:v>4.17201540436457</x:v>
      </x:c>
      <x:c r="X505" t="n">
        <x:f>IFERROR(H505/F505*100,0)</x:f>
        <x:v>12.916666666666668</x:v>
      </x:c>
      <x:c r="Y505" t="n">
        <x:f>J505-K505</x:f>
        <x:v>1493</x:v>
      </x:c>
      <x:c r="Z505" t="n">
        <x:f>MAX(0,MIN(100,(V505/100)*(1-X505/100)*(1-W505/100)*100))</x:f>
        <x:v>72.59375581611762</x:v>
      </x:c>
    </x:row>
    <x:row r="506">
      <x:c r="A506" s="12" t="n">
        <x:v>46195</x:v>
      </x:c>
      <x:c r="B506" t="str">
        <x:v>A</x:v>
      </x:c>
      <x:c r="C506" t="str">
        <x:v>Dried Pineapple</x:v>
      </x:c>
      <x:c r="D506" t="str">
        <x:v>Dryer 2</x:v>
      </x:c>
      <x:c r="E506" t="str">
        <x:v>Sup 3</x:v>
      </x:c>
      <x:c r="F506" t="n">
        <x:v>450</x:v>
      </x:c>
      <x:c r="G506" t="n">
        <x:v>40</x:v>
      </x:c>
      <x:c r="H506" t="n">
        <x:v>45</x:v>
      </x:c>
      <x:c r="I506" t="n">
        <x:v>1732</x:v>
      </x:c>
      <x:c r="J506" t="n">
        <x:v>1407</x:v>
      </x:c>
      <x:c r="K506" t="n">
        <x:v>42</x:v>
      </x:c>
      <x:c r="L506" t="n">
        <x:v>24</x:v>
      </x:c>
      <x:c r="M506" t="n">
        <x:v>93.3</x:v>
      </x:c>
      <x:c r="N506" t="n">
        <x:v>61.9</x:v>
      </x:c>
      <x:c r="O506" t="n">
        <x:v>67.1</x:v>
      </x:c>
      <x:c r="P506" t="n">
        <x:v>5</x:v>
      </x:c>
      <x:c r="Q506" t="str">
        <x:v>Near miss</x:v>
      </x:c>
      <x:c r="R506" t="str">
        <x:v>Closed</x:v>
      </x:c>
      <x:c r="S506" t="str">
        <x:v>Corrective</x:v>
      </x:c>
      <x:c r="T506" t="n">
        <x:v>1.1</x:v>
      </x:c>
      <x:c r="U506" t="n">
        <x:v>11.5</x:v>
      </x:c>
      <x:c r="V506" t="n">
        <x:f>IFERROR(J506/I506*100,0)</x:f>
        <x:v>81.23556581986143</x:v>
      </x:c>
      <x:c r="W506" t="n">
        <x:f>IFERROR(K506/J506*100,0)</x:f>
        <x:v>2.9850746268656714</x:v>
      </x:c>
      <x:c r="X506" t="n">
        <x:f>IFERROR(H506/F506*100,0)</x:f>
        <x:v>10</x:v>
      </x:c>
      <x:c r="Y506" t="n">
        <x:f>J506-K506</x:f>
        <x:v>1365</x:v>
      </x:c>
      <x:c r="Z506" t="n">
        <x:f>MAX(0,MIN(100,(V506/100)*(1-X506/100)*(1-W506/100)*100))</x:f>
        <x:v>70.92956120092379</x:v>
      </x:c>
    </x:row>
    <x:row r="507">
      <x:c r="A507" s="12" t="n">
        <x:v>46195</x:v>
      </x:c>
      <x:c r="B507" t="str">
        <x:v>B</x:v>
      </x:c>
      <x:c r="C507" t="str">
        <x:v>Desiccated Coconut</x:v>
      </x:c>
      <x:c r="D507" t="str">
        <x:v>Dryer 2</x:v>
      </x:c>
      <x:c r="E507" t="str">
        <x:v>Sup 3</x:v>
      </x:c>
      <x:c r="F507" t="n">
        <x:v>480</x:v>
      </x:c>
      <x:c r="G507" t="n">
        <x:v>20</x:v>
      </x:c>
      <x:c r="H507" t="n">
        <x:v>36</x:v>
      </x:c>
      <x:c r="I507" t="n">
        <x:v>1188</x:v>
      </x:c>
      <x:c r="J507" t="n">
        <x:v>1024</x:v>
      </x:c>
      <x:c r="K507" t="n">
        <x:v>24</x:v>
      </x:c>
      <x:c r="L507" t="n">
        <x:v>10</x:v>
      </x:c>
      <x:c r="M507" t="n">
        <x:v>85.8</x:v>
      </x:c>
      <x:c r="N507" t="n">
        <x:v>69.5</x:v>
      </x:c>
      <x:c r="O507" t="n">
        <x:v>66.3</x:v>
      </x:c>
      <x:c r="P507" t="n">
        <x:v>3</x:v>
      </x:c>
      <x:c r="Q507" t="str">
        <x:v>No incident</x:v>
      </x:c>
      <x:c r="R507" t="str">
        <x:v>N/A</x:v>
      </x:c>
      <x:c r="S507" t="str">
        <x:v>Inspection</x:v>
      </x:c>
      <x:c r="T507" t="n">
        <x:v>1</x:v>
      </x:c>
      <x:c r="U507" t="n">
        <x:v>8.2</x:v>
      </x:c>
      <x:c r="V507" t="n">
        <x:f>IFERROR(J507/I507*100,0)</x:f>
        <x:v>86.19528619528619</x:v>
      </x:c>
      <x:c r="W507" t="n">
        <x:f>IFERROR(K507/J507*100,0)</x:f>
        <x:v>2.34375</x:v>
      </x:c>
      <x:c r="X507" t="n">
        <x:f>IFERROR(H507/F507*100,0)</x:f>
        <x:v>7.5</x:v>
      </x:c>
      <x:c r="Y507" t="n">
        <x:f>J507-K507</x:f>
        <x:v>1000</x:v>
      </x:c>
      <x:c r="Z507" t="n">
        <x:f>MAX(0,MIN(100,(V507/100)*(1-X507/100)*(1-W507/100)*100))</x:f>
        <x:v>77.86195286195287</x:v>
      </x:c>
    </x:row>
    <x:row r="508">
      <x:c r="A508" s="12" t="n">
        <x:v>46195</x:v>
      </x:c>
      <x:c r="B508" t="str">
        <x:v>C</x:v>
      </x:c>
      <x:c r="C508" t="str">
        <x:v>Desiccated Coconut</x:v>
      </x:c>
      <x:c r="D508" t="str">
        <x:v>Dryer 1</x:v>
      </x:c>
      <x:c r="E508" t="str">
        <x:v>Sup 2</x:v>
      </x:c>
      <x:c r="F508" t="n">
        <x:v>420</x:v>
      </x:c>
      <x:c r="G508" t="n">
        <x:v>30</x:v>
      </x:c>
      <x:c r="H508" t="n">
        <x:v>20</x:v>
      </x:c>
      <x:c r="I508" t="n">
        <x:v>1168</x:v>
      </x:c>
      <x:c r="J508" t="n">
        <x:v>987</x:v>
      </x:c>
      <x:c r="K508" t="n">
        <x:v>34</x:v>
      </x:c>
      <x:c r="L508" t="n">
        <x:v>12</x:v>
      </x:c>
      <x:c r="M508" t="n">
        <x:v>91.3</x:v>
      </x:c>
      <x:c r="N508" t="n">
        <x:v>76</x:v>
      </x:c>
      <x:c r="O508" t="n">
        <x:v>71.5</x:v>
      </x:c>
      <x:c r="P508" t="n">
        <x:v>4</x:v>
      </x:c>
      <x:c r="Q508" t="str">
        <x:v>No incident</x:v>
      </x:c>
      <x:c r="R508" t="str">
        <x:v>N/A</x:v>
      </x:c>
      <x:c r="S508" t="str">
        <x:v>Corrective</x:v>
      </x:c>
      <x:c r="T508" t="n">
        <x:v>1.13</x:v>
      </x:c>
      <x:c r="U508" t="n">
        <x:v>7.4</x:v>
      </x:c>
      <x:c r="V508" t="n">
        <x:f>IFERROR(J508/I508*100,0)</x:f>
        <x:v>84.50342465753424</x:v>
      </x:c>
      <x:c r="W508" t="n">
        <x:f>IFERROR(K508/J508*100,0)</x:f>
        <x:v>3.4447821681864235</x:v>
      </x:c>
      <x:c r="X508" t="n">
        <x:f>IFERROR(H508/F508*100,0)</x:f>
        <x:v>4.761904761904762</x:v>
      </x:c>
      <x:c r="Y508" t="n">
        <x:f>J508-K508</x:f>
        <x:v>953</x:v>
      </x:c>
      <x:c r="Z508" t="n">
        <x:f>MAX(0,MIN(100,(V508/100)*(1-X508/100)*(1-W508/100)*100))</x:f>
        <x:v>77.7071102413568</x:v>
      </x:c>
    </x:row>
    <x:row r="509">
      <x:c r="A509" s="12" t="n">
        <x:v>46196</x:v>
      </x:c>
      <x:c r="B509" t="str">
        <x:v>A</x:v>
      </x:c>
      <x:c r="C509" t="str">
        <x:v>Dried Pineapple</x:v>
      </x:c>
      <x:c r="D509" t="str">
        <x:v>Dryer 3</x:v>
      </x:c>
      <x:c r="E509" t="str">
        <x:v>Sup 3</x:v>
      </x:c>
      <x:c r="F509" t="n">
        <x:v>450</x:v>
      </x:c>
      <x:c r="G509" t="n">
        <x:v>30</x:v>
      </x:c>
      <x:c r="H509" t="n">
        <x:v>65</x:v>
      </x:c>
      <x:c r="I509" t="n">
        <x:v>1716</x:v>
      </x:c>
      <x:c r="J509" t="n">
        <x:v>1316</x:v>
      </x:c>
      <x:c r="K509" t="n">
        <x:v>70</x:v>
      </x:c>
      <x:c r="L509" t="n">
        <x:v>46</x:v>
      </x:c>
      <x:c r="M509" t="n">
        <x:v>91.4</x:v>
      </x:c>
      <x:c r="N509" t="n">
        <x:v>81.9</x:v>
      </x:c>
      <x:c r="O509" t="n">
        <x:v>70.5</x:v>
      </x:c>
      <x:c r="P509" t="n">
        <x:v>4</x:v>
      </x:c>
      <x:c r="Q509" t="str">
        <x:v>No incident</x:v>
      </x:c>
      <x:c r="R509" t="str">
        <x:v>N/A</x:v>
      </x:c>
      <x:c r="S509" t="str">
        <x:v>Corrective</x:v>
      </x:c>
      <x:c r="T509" t="n">
        <x:v>1.65</x:v>
      </x:c>
      <x:c r="U509" t="n">
        <x:v>10</x:v>
      </x:c>
      <x:c r="V509" t="n">
        <x:f>IFERROR(J509/I509*100,0)</x:f>
        <x:v>76.68997668997669</x:v>
      </x:c>
      <x:c r="W509" t="n">
        <x:f>IFERROR(K509/J509*100,0)</x:f>
        <x:v>5.319148936170213</x:v>
      </x:c>
      <x:c r="X509" t="n">
        <x:f>IFERROR(H509/F509*100,0)</x:f>
        <x:v>14.444444444444443</x:v>
      </x:c>
      <x:c r="Y509" t="n">
        <x:f>J509-K509</x:f>
        <x:v>1246</x:v>
      </x:c>
      <x:c r="Z509" t="n">
        <x:f>MAX(0,MIN(100,(V509/100)*(1-X509/100)*(1-W509/100)*100))</x:f>
        <x:v>62.12250712250712</x:v>
      </x:c>
    </x:row>
    <x:row r="510">
      <x:c r="A510" s="12" t="n">
        <x:v>46196</x:v>
      </x:c>
      <x:c r="B510" t="str">
        <x:v>B</x:v>
      </x:c>
      <x:c r="C510" t="str">
        <x:v>Dried Mango</x:v>
      </x:c>
      <x:c r="D510" t="str">
        <x:v>Dryer 1</x:v>
      </x:c>
      <x:c r="E510" t="str">
        <x:v>Sup 1</x:v>
      </x:c>
      <x:c r="F510" t="n">
        <x:v>480</x:v>
      </x:c>
      <x:c r="G510" t="n">
        <x:v>30</x:v>
      </x:c>
      <x:c r="H510" t="n">
        <x:v>35</x:v>
      </x:c>
      <x:c r="I510" t="n">
        <x:v>1611</x:v>
      </x:c>
      <x:c r="J510" t="n">
        <x:v>1418</x:v>
      </x:c>
      <x:c r="K510" t="n">
        <x:v>57</x:v>
      </x:c>
      <x:c r="L510" t="n">
        <x:v>26</x:v>
      </x:c>
      <x:c r="M510" t="n">
        <x:v>84.4</x:v>
      </x:c>
      <x:c r="N510" t="n">
        <x:v>76</x:v>
      </x:c>
      <x:c r="O510" t="n">
        <x:v>67.7</x:v>
      </x:c>
      <x:c r="P510" t="n">
        <x:v>3</x:v>
      </x:c>
      <x:c r="Q510" t="str">
        <x:v>No incident</x:v>
      </x:c>
      <x:c r="R510" t="str">
        <x:v>N/A</x:v>
      </x:c>
      <x:c r="S510" t="str">
        <x:v>Preventive</x:v>
      </x:c>
      <x:c r="T510" t="n">
        <x:v>1.4</x:v>
      </x:c>
      <x:c r="U510" t="n">
        <x:v>12.9</x:v>
      </x:c>
      <x:c r="V510" t="n">
        <x:f>IFERROR(J510/I510*100,0)</x:f>
        <x:v>88.01986343885785</x:v>
      </x:c>
      <x:c r="W510" t="n">
        <x:f>IFERROR(K510/J510*100,0)</x:f>
        <x:v>4.019746121297603</x:v>
      </x:c>
      <x:c r="X510" t="n">
        <x:f>IFERROR(H510/F510*100,0)</x:f>
        <x:v>7.291666666666667</x:v>
      </x:c>
      <x:c r="Y510" t="n">
        <x:f>J510-K510</x:f>
        <x:v>1361</x:v>
      </x:c>
      <x:c r="Z510" t="n">
        <x:f>MAX(0,MIN(100,(V510/100)*(1-X510/100)*(1-W510/100)*100))</x:f>
        <x:v>78.32156528036417</x:v>
      </x:c>
    </x:row>
    <x:row r="511">
      <x:c r="A511" s="12" t="n">
        <x:v>46196</x:v>
      </x:c>
      <x:c r="B511" t="str">
        <x:v>C</x:v>
      </x:c>
      <x:c r="C511" t="str">
        <x:v>Dried Mango</x:v>
      </x:c>
      <x:c r="D511" t="str">
        <x:v>Dryer 1</x:v>
      </x:c>
      <x:c r="E511" t="str">
        <x:v>Sup 2</x:v>
      </x:c>
      <x:c r="F511" t="n">
        <x:v>450</x:v>
      </x:c>
      <x:c r="G511" t="n">
        <x:v>30</x:v>
      </x:c>
      <x:c r="H511" t="n">
        <x:v>38</x:v>
      </x:c>
      <x:c r="I511" t="n">
        <x:v>1616</x:v>
      </x:c>
      <x:c r="J511" t="n">
        <x:v>1313</x:v>
      </x:c>
      <x:c r="K511" t="n">
        <x:v>40</x:v>
      </x:c>
      <x:c r="L511" t="n">
        <x:v>11</x:v>
      </x:c>
      <x:c r="M511" t="n">
        <x:v>92.1</x:v>
      </x:c>
      <x:c r="N511" t="n">
        <x:v>64.3</x:v>
      </x:c>
      <x:c r="O511" t="n">
        <x:v>74.2</x:v>
      </x:c>
      <x:c r="P511" t="n">
        <x:v>5</x:v>
      </x:c>
      <x:c r="Q511" t="str">
        <x:v>No incident</x:v>
      </x:c>
      <x:c r="R511" t="str">
        <x:v>N/A</x:v>
      </x:c>
      <x:c r="S511" t="str">
        <x:v>Corrective</x:v>
      </x:c>
      <x:c r="T511" t="n">
        <x:v>1.22</x:v>
      </x:c>
      <x:c r="U511" t="n">
        <x:v>10.6</x:v>
      </x:c>
      <x:c r="V511" t="n">
        <x:f>IFERROR(J511/I511*100,0)</x:f>
        <x:v>81.25</x:v>
      </x:c>
      <x:c r="W511" t="n">
        <x:f>IFERROR(K511/J511*100,0)</x:f>
        <x:v>3.0464584920030466</x:v>
      </x:c>
      <x:c r="X511" t="n">
        <x:f>IFERROR(H511/F511*100,0)</x:f>
        <x:v>8.444444444444445</x:v>
      </x:c>
      <x:c r="Y511" t="n">
        <x:f>J511-K511</x:f>
        <x:v>1273</x:v>
      </x:c>
      <x:c r="Z511" t="n">
        <x:f>MAX(0,MIN(100,(V511/100)*(1-X511/100)*(1-W511/100)*100))</x:f>
        <x:v>72.12266226622663</x:v>
      </x:c>
    </x:row>
    <x:row r="512">
      <x:c r="A512" s="12" t="n">
        <x:v>46197</x:v>
      </x:c>
      <x:c r="B512" t="str">
        <x:v>A</x:v>
      </x:c>
      <x:c r="C512" t="str">
        <x:v>Dried Mango</x:v>
      </x:c>
      <x:c r="D512" t="str">
        <x:v>Dryer 3</x:v>
      </x:c>
      <x:c r="E512" t="str">
        <x:v>Sup 3</x:v>
      </x:c>
      <x:c r="F512" t="n">
        <x:v>450</x:v>
      </x:c>
      <x:c r="G512" t="n">
        <x:v>0</x:v>
      </x:c>
      <x:c r="H512" t="n">
        <x:v>55</x:v>
      </x:c>
      <x:c r="I512" t="n">
        <x:v>1557</x:v>
      </x:c>
      <x:c r="J512" t="n">
        <x:v>1412</x:v>
      </x:c>
      <x:c r="K512" t="n">
        <x:v>55</x:v>
      </x:c>
      <x:c r="L512" t="n">
        <x:v>20</x:v>
      </x:c>
      <x:c r="M512" t="n">
        <x:v>99.6</x:v>
      </x:c>
      <x:c r="N512" t="n">
        <x:v>82.5</x:v>
      </x:c>
      <x:c r="O512" t="n">
        <x:v>76.5</x:v>
      </x:c>
      <x:c r="P512" t="n">
        <x:v>3</x:v>
      </x:c>
      <x:c r="Q512" t="str">
        <x:v>No incident</x:v>
      </x:c>
      <x:c r="R512" t="str">
        <x:v>N/A</x:v>
      </x:c>
      <x:c r="S512" t="str">
        <x:v>Inspection</x:v>
      </x:c>
      <x:c r="T512" t="n">
        <x:v>0.7</x:v>
      </x:c>
      <x:c r="U512" t="n">
        <x:v>12.2</x:v>
      </x:c>
      <x:c r="V512" t="n">
        <x:f>IFERROR(J512/I512*100,0)</x:f>
        <x:v>90.68721901091843</x:v>
      </x:c>
      <x:c r="W512" t="n">
        <x:f>IFERROR(K512/J512*100,0)</x:f>
        <x:v>3.8951841359773374</x:v>
      </x:c>
      <x:c r="X512" t="n">
        <x:f>IFERROR(H512/F512*100,0)</x:f>
        <x:v>12.222222222222221</x:v>
      </x:c>
      <x:c r="Y512" t="n">
        <x:f>J512-K512</x:f>
        <x:v>1357</x:v>
      </x:c>
      <x:c r="Z512" t="n">
        <x:f>MAX(0,MIN(100,(V512/100)*(1-X512/100)*(1-W512/100)*100))</x:f>
        <x:v>76.50253336187825</x:v>
      </x:c>
    </x:row>
    <x:row r="513">
      <x:c r="A513" s="12" t="n">
        <x:v>46197</x:v>
      </x:c>
      <x:c r="B513" t="str">
        <x:v>B</x:v>
      </x:c>
      <x:c r="C513" t="str">
        <x:v>Desiccated Coconut</x:v>
      </x:c>
      <x:c r="D513" t="str">
        <x:v>Dryer 1</x:v>
      </x:c>
      <x:c r="E513" t="str">
        <x:v>Sup 2</x:v>
      </x:c>
      <x:c r="F513" t="n">
        <x:v>450</x:v>
      </x:c>
      <x:c r="G513" t="n">
        <x:v>0</x:v>
      </x:c>
      <x:c r="H513" t="n">
        <x:v>22</x:v>
      </x:c>
      <x:c r="I513" t="n">
        <x:v>1134</x:v>
      </x:c>
      <x:c r="J513" t="n">
        <x:v>1029</x:v>
      </x:c>
      <x:c r="K513" t="n">
        <x:v>27</x:v>
      </x:c>
      <x:c r="L513" t="n">
        <x:v>7</x:v>
      </x:c>
      <x:c r="M513" t="n">
        <x:v>99.5</x:v>
      </x:c>
      <x:c r="N513" t="n">
        <x:v>78.1</x:v>
      </x:c>
      <x:c r="O513" t="n">
        <x:v>76.5</x:v>
      </x:c>
      <x:c r="P513" t="n">
        <x:v>4</x:v>
      </x:c>
      <x:c r="Q513" t="str">
        <x:v>No incident</x:v>
      </x:c>
      <x:c r="R513" t="str">
        <x:v>N/A</x:v>
      </x:c>
      <x:c r="S513" t="str">
        <x:v>Preventive</x:v>
      </x:c>
      <x:c r="T513" t="n">
        <x:v>0.69</x:v>
      </x:c>
      <x:c r="U513" t="n">
        <x:v>9</x:v>
      </x:c>
      <x:c r="V513" t="n">
        <x:f>IFERROR(J513/I513*100,0)</x:f>
        <x:v>90.74074074074075</x:v>
      </x:c>
      <x:c r="W513" t="n">
        <x:f>IFERROR(K513/J513*100,0)</x:f>
        <x:v>2.623906705539359</x:v>
      </x:c>
      <x:c r="X513" t="n">
        <x:f>IFERROR(H513/F513*100,0)</x:f>
        <x:v>4.888888888888889</x:v>
      </x:c>
      <x:c r="Y513" t="n">
        <x:f>J513-K513</x:f>
        <x:v>1002</x:v>
      </x:c>
      <x:c r="Z513" t="n">
        <x:f>MAX(0,MIN(100,(V513/100)*(1-X513/100)*(1-W513/100)*100))</x:f>
        <x:v>84.03997648442093</x:v>
      </x:c>
    </x:row>
    <x:row r="514">
      <x:c r="A514" s="12" t="n">
        <x:v>46197</x:v>
      </x:c>
      <x:c r="B514" t="str">
        <x:v>C</x:v>
      </x:c>
      <x:c r="C514" t="str">
        <x:v>Dried Pineapple</x:v>
      </x:c>
      <x:c r="D514" t="str">
        <x:v>Dryer 4</x:v>
      </x:c>
      <x:c r="E514" t="str">
        <x:v>Sup 2</x:v>
      </x:c>
      <x:c r="F514" t="n">
        <x:v>450</x:v>
      </x:c>
      <x:c r="G514" t="n">
        <x:v>0</x:v>
      </x:c>
      <x:c r="H514" t="n">
        <x:v>38</x:v>
      </x:c>
      <x:c r="I514" t="n">
        <x:v>1866</x:v>
      </x:c>
      <x:c r="J514" t="n">
        <x:v>1667</x:v>
      </x:c>
      <x:c r="K514" t="n">
        <x:v>50</x:v>
      </x:c>
      <x:c r="L514" t="n">
        <x:v>22</x:v>
      </x:c>
      <x:c r="M514" t="n">
        <x:v>85.6</x:v>
      </x:c>
      <x:c r="N514" t="n">
        <x:v>74.9</x:v>
      </x:c>
      <x:c r="O514" t="n">
        <x:v>68.9</x:v>
      </x:c>
      <x:c r="P514" t="n">
        <x:v>6</x:v>
      </x:c>
      <x:c r="Q514" t="str">
        <x:v>No incident</x:v>
      </x:c>
      <x:c r="R514" t="str">
        <x:v>N/A</x:v>
      </x:c>
      <x:c r="S514" t="str">
        <x:v>Inspection</x:v>
      </x:c>
      <x:c r="T514" t="n">
        <x:v>0.85</x:v>
      </x:c>
      <x:c r="U514" t="n">
        <x:v>13.3</x:v>
      </x:c>
      <x:c r="V514" t="n">
        <x:f>IFERROR(J514/I514*100,0)</x:f>
        <x:v>89.33547695605574</x:v>
      </x:c>
      <x:c r="W514" t="n">
        <x:f>IFERROR(K514/J514*100,0)</x:f>
        <x:v>2.9994001199760048</x:v>
      </x:c>
      <x:c r="X514" t="n">
        <x:f>IFERROR(H514/F514*100,0)</x:f>
        <x:v>8.444444444444445</x:v>
      </x:c>
      <x:c r="Y514" t="n">
        <x:f>J514-K514</x:f>
        <x:v>1617</x:v>
      </x:c>
      <x:c r="Z514" t="n">
        <x:f>MAX(0,MIN(100,(V514/100)*(1-X514/100)*(1-W514/100)*100))</x:f>
        <x:v>79.33833511968562</x:v>
      </x:c>
    </x:row>
    <x:row r="515">
      <x:c r="A515" s="12" t="n">
        <x:v>46198</x:v>
      </x:c>
      <x:c r="B515" t="str">
        <x:v>A</x:v>
      </x:c>
      <x:c r="C515" t="str">
        <x:v>Dried Mango</x:v>
      </x:c>
      <x:c r="D515" t="str">
        <x:v>Dryer 1</x:v>
      </x:c>
      <x:c r="E515" t="str">
        <x:v>Sup 2</x:v>
      </x:c>
      <x:c r="F515" t="n">
        <x:v>480</x:v>
      </x:c>
      <x:c r="G515" t="n">
        <x:v>0</x:v>
      </x:c>
      <x:c r="H515" t="n">
        <x:v>58</x:v>
      </x:c>
      <x:c r="I515" t="n">
        <x:v>1540</x:v>
      </x:c>
      <x:c r="J515" t="n">
        <x:v>1258</x:v>
      </x:c>
      <x:c r="K515" t="n">
        <x:v>41</x:v>
      </x:c>
      <x:c r="L515" t="n">
        <x:v>20</x:v>
      </x:c>
      <x:c r="M515" t="n">
        <x:v>95.5</x:v>
      </x:c>
      <x:c r="N515" t="n">
        <x:v>78.8</x:v>
      </x:c>
      <x:c r="O515" t="n">
        <x:v>68.2</x:v>
      </x:c>
      <x:c r="P515" t="n">
        <x:v>7</x:v>
      </x:c>
      <x:c r="Q515" t="str">
        <x:v>No incident</x:v>
      </x:c>
      <x:c r="R515" t="str">
        <x:v>N/A</x:v>
      </x:c>
      <x:c r="S515" t="str">
        <x:v>Corrective</x:v>
      </x:c>
      <x:c r="T515" t="n">
        <x:v>0.92</x:v>
      </x:c>
      <x:c r="U515" t="n">
        <x:v>11.4</x:v>
      </x:c>
      <x:c r="V515" t="n">
        <x:f>IFERROR(J515/I515*100,0)</x:f>
        <x:v>81.68831168831169</x:v>
      </x:c>
      <x:c r="W515" t="n">
        <x:f>IFERROR(K515/J515*100,0)</x:f>
        <x:v>3.259141494435612</x:v>
      </x:c>
      <x:c r="X515" t="n">
        <x:f>IFERROR(H515/F515*100,0)</x:f>
        <x:v>12.083333333333334</x:v>
      </x:c>
      <x:c r="Y515" t="n">
        <x:f>J515-K515</x:f>
        <x:v>1217</x:v>
      </x:c>
      <x:c r="Z515" t="n">
        <x:f>MAX(0,MIN(100,(V515/100)*(1-X515/100)*(1-W515/100)*100))</x:f>
        <x:v>69.47700216450217</x:v>
      </x:c>
    </x:row>
    <x:row r="516">
      <x:c r="A516" s="12" t="n">
        <x:v>46198</x:v>
      </x:c>
      <x:c r="B516" t="str">
        <x:v>B</x:v>
      </x:c>
      <x:c r="C516" t="str">
        <x:v>Desiccated Coconut</x:v>
      </x:c>
      <x:c r="D516" t="str">
        <x:v>Dryer 1</x:v>
      </x:c>
      <x:c r="E516" t="str">
        <x:v>Sup 1</x:v>
      </x:c>
      <x:c r="F516" t="n">
        <x:v>420</x:v>
      </x:c>
      <x:c r="G516" t="n">
        <x:v>30</x:v>
      </x:c>
      <x:c r="H516" t="n">
        <x:v>34</x:v>
      </x:c>
      <x:c r="I516" t="n">
        <x:v>1239</x:v>
      </x:c>
      <x:c r="J516" t="n">
        <x:v>1065</x:v>
      </x:c>
      <x:c r="K516" t="n">
        <x:v>38</x:v>
      </x:c>
      <x:c r="L516" t="n">
        <x:v>9</x:v>
      </x:c>
      <x:c r="M516" t="n">
        <x:v>86.2</x:v>
      </x:c>
      <x:c r="N516" t="n">
        <x:v>76.7</x:v>
      </x:c>
      <x:c r="O516" t="n">
        <x:v>73.9</x:v>
      </x:c>
      <x:c r="P516" t="n">
        <x:v>1</x:v>
      </x:c>
      <x:c r="Q516" t="str">
        <x:v>No incident</x:v>
      </x:c>
      <x:c r="R516" t="str">
        <x:v>N/A</x:v>
      </x:c>
      <x:c r="S516" t="str">
        <x:v>Inspection</x:v>
      </x:c>
      <x:c r="T516" t="n">
        <x:v>1.11</x:v>
      </x:c>
      <x:c r="U516" t="n">
        <x:v>9</x:v>
      </x:c>
      <x:c r="V516" t="n">
        <x:f>IFERROR(J516/I516*100,0)</x:f>
        <x:v>85.95641646489103</x:v>
      </x:c>
      <x:c r="W516" t="n">
        <x:f>IFERROR(K516/J516*100,0)</x:f>
        <x:v>3.568075117370892</x:v>
      </x:c>
      <x:c r="X516" t="n">
        <x:f>IFERROR(H516/F516*100,0)</x:f>
        <x:v>8.095238095238095</x:v>
      </x:c>
      <x:c r="Y516" t="n">
        <x:f>J516-K516</x:f>
        <x:v>1027</x:v>
      </x:c>
      <x:c r="Z516" t="n">
        <x:f>MAX(0,MIN(100,(V516/100)*(1-X516/100)*(1-W516/100)*100))</x:f>
        <x:v>76.17933048925785</x:v>
      </x:c>
    </x:row>
    <x:row r="517">
      <x:c r="A517" s="12" t="n">
        <x:v>46198</x:v>
      </x:c>
      <x:c r="B517" t="str">
        <x:v>C</x:v>
      </x:c>
      <x:c r="C517" t="str">
        <x:v>Dried Mango</x:v>
      </x:c>
      <x:c r="D517" t="str">
        <x:v>Dryer 2</x:v>
      </x:c>
      <x:c r="E517" t="str">
        <x:v>Sup 3</x:v>
      </x:c>
      <x:c r="F517" t="n">
        <x:v>480</x:v>
      </x:c>
      <x:c r="G517" t="n">
        <x:v>40</x:v>
      </x:c>
      <x:c r="H517" t="n">
        <x:v>35</x:v>
      </x:c>
      <x:c r="I517" t="n">
        <x:v>1725</x:v>
      </x:c>
      <x:c r="J517" t="n">
        <x:v>1599</x:v>
      </x:c>
      <x:c r="K517" t="n">
        <x:v>45</x:v>
      </x:c>
      <x:c r="L517" t="n">
        <x:v>27</x:v>
      </x:c>
      <x:c r="M517" t="n">
        <x:v>88.9</x:v>
      </x:c>
      <x:c r="N517" t="n">
        <x:v>71.4</x:v>
      </x:c>
      <x:c r="O517" t="n">
        <x:v>80.2</x:v>
      </x:c>
      <x:c r="P517" t="n">
        <x:v>1</x:v>
      </x:c>
      <x:c r="Q517" t="str">
        <x:v>Near miss</x:v>
      </x:c>
      <x:c r="R517" t="str">
        <x:v>Closed</x:v>
      </x:c>
      <x:c r="S517" t="str">
        <x:v>Preventive</x:v>
      </x:c>
      <x:c r="T517" t="n">
        <x:v>0.79</x:v>
      </x:c>
      <x:c r="U517" t="n">
        <x:v>12.6</x:v>
      </x:c>
      <x:c r="V517" t="n">
        <x:f>IFERROR(J517/I517*100,0)</x:f>
        <x:v>92.69565217391305</x:v>
      </x:c>
      <x:c r="W517" t="n">
        <x:f>IFERROR(K517/J517*100,0)</x:f>
        <x:v>2.8142589118198873</x:v>
      </x:c>
      <x:c r="X517" t="n">
        <x:f>IFERROR(H517/F517*100,0)</x:f>
        <x:v>7.291666666666667</x:v>
      </x:c>
      <x:c r="Y517" t="n">
        <x:f>J517-K517</x:f>
        <x:v>1554</x:v>
      </x:c>
      <x:c r="Z517" t="n">
        <x:f>MAX(0,MIN(100,(V517/100)*(1-X517/100)*(1-W517/100)*100))</x:f>
        <x:v>83.51811594202898</x:v>
      </x:c>
    </x:row>
    <x:row r="518">
      <x:c r="A518" s="12" t="n">
        <x:v>46199</x:v>
      </x:c>
      <x:c r="B518" t="str">
        <x:v>A</x:v>
      </x:c>
      <x:c r="C518" t="str">
        <x:v>Dried Pineapple</x:v>
      </x:c>
      <x:c r="D518" t="str">
        <x:v>Dryer 4</x:v>
      </x:c>
      <x:c r="E518" t="str">
        <x:v>Sup 2</x:v>
      </x:c>
      <x:c r="F518" t="n">
        <x:v>450</x:v>
      </x:c>
      <x:c r="G518" t="n">
        <x:v>0</x:v>
      </x:c>
      <x:c r="H518" t="n">
        <x:v>64</x:v>
      </x:c>
      <x:c r="I518" t="n">
        <x:v>1787</x:v>
      </x:c>
      <x:c r="J518" t="n">
        <x:v>1367</x:v>
      </x:c>
      <x:c r="K518" t="n">
        <x:v>48</x:v>
      </x:c>
      <x:c r="L518" t="n">
        <x:v>26</x:v>
      </x:c>
      <x:c r="M518" t="n">
        <x:v>83.2</x:v>
      </x:c>
      <x:c r="N518" t="n">
        <x:v>86.5</x:v>
      </x:c>
      <x:c r="O518" t="n">
        <x:v>78.4</x:v>
      </x:c>
      <x:c r="P518" t="n">
        <x:v>4</x:v>
      </x:c>
      <x:c r="Q518" t="str">
        <x:v>No incident</x:v>
      </x:c>
      <x:c r="R518" t="str">
        <x:v>N/A</x:v>
      </x:c>
      <x:c r="S518" t="str">
        <x:v>Corrective</x:v>
      </x:c>
      <x:c r="T518" t="n">
        <x:v>1.19</x:v>
      </x:c>
      <x:c r="U518" t="n">
        <x:v>12.1</x:v>
      </x:c>
      <x:c r="V518" t="n">
        <x:f>IFERROR(J518/I518*100,0)</x:f>
        <x:v>76.49692221600448</x:v>
      </x:c>
      <x:c r="W518" t="n">
        <x:f>IFERROR(K518/J518*100,0)</x:f>
        <x:v>3.511338697878566</x:v>
      </x:c>
      <x:c r="X518" t="n">
        <x:f>IFERROR(H518/F518*100,0)</x:f>
        <x:v>14.222222222222221</x:v>
      </x:c>
      <x:c r="Y518" t="n">
        <x:f>J518-K518</x:f>
        <x:v>1319</x:v>
      </x:c>
      <x:c r="Z518" t="n">
        <x:f>MAX(0,MIN(100,(V518/100)*(1-X518/100)*(1-W518/100)*100))</x:f>
        <x:v>63.313312192998815</x:v>
      </x:c>
    </x:row>
    <x:row r="519">
      <x:c r="A519" s="12" t="n">
        <x:v>46199</x:v>
      </x:c>
      <x:c r="B519" t="str">
        <x:v>B</x:v>
      </x:c>
      <x:c r="C519" t="str">
        <x:v>Desiccated Coconut</x:v>
      </x:c>
      <x:c r="D519" t="str">
        <x:v>Dryer 4</x:v>
      </x:c>
      <x:c r="E519" t="str">
        <x:v>Sup 1</x:v>
      </x:c>
      <x:c r="F519" t="n">
        <x:v>480</x:v>
      </x:c>
      <x:c r="G519" t="n">
        <x:v>30</x:v>
      </x:c>
      <x:c r="H519" t="n">
        <x:v>38</x:v>
      </x:c>
      <x:c r="I519" t="n">
        <x:v>1148</x:v>
      </x:c>
      <x:c r="J519" t="n">
        <x:v>1039</x:v>
      </x:c>
      <x:c r="K519" t="n">
        <x:v>24</x:v>
      </x:c>
      <x:c r="L519" t="n">
        <x:v>8</x:v>
      </x:c>
      <x:c r="M519" t="n">
        <x:v>90.1</x:v>
      </x:c>
      <x:c r="N519" t="n">
        <x:v>82.1</x:v>
      </x:c>
      <x:c r="O519" t="n">
        <x:v>68</x:v>
      </x:c>
      <x:c r="P519" t="n">
        <x:v>6</x:v>
      </x:c>
      <x:c r="Q519" t="str">
        <x:v>No incident</x:v>
      </x:c>
      <x:c r="R519" t="str">
        <x:v>N/A</x:v>
      </x:c>
      <x:c r="S519" t="str">
        <x:v>Preventive</x:v>
      </x:c>
      <x:c r="T519" t="n">
        <x:v>1.14</x:v>
      </x:c>
      <x:c r="U519" t="n">
        <x:v>8.5</x:v>
      </x:c>
      <x:c r="V519" t="n">
        <x:f>IFERROR(J519/I519*100,0)</x:f>
        <x:v>90.50522648083623</x:v>
      </x:c>
      <x:c r="W519" t="n">
        <x:f>IFERROR(K519/J519*100,0)</x:f>
        <x:v>2.3099133782483157</x:v>
      </x:c>
      <x:c r="X519" t="n">
        <x:f>IFERROR(H519/F519*100,0)</x:f>
        <x:v>7.916666666666666</x:v>
      </x:c>
      <x:c r="Y519" t="n">
        <x:f>J519-K519</x:f>
        <x:v>1015</x:v>
      </x:c>
      <x:c r="Z519" t="n">
        <x:f>MAX(0,MIN(100,(V519/100)*(1-X519/100)*(1-W519/100)*100))</x:f>
        <x:v>81.41514227642277</x:v>
      </x:c>
    </x:row>
    <x:row r="520">
      <x:c r="A520" s="12" t="n">
        <x:v>46199</x:v>
      </x:c>
      <x:c r="B520" t="str">
        <x:v>C</x:v>
      </x:c>
      <x:c r="C520" t="str">
        <x:v>Dried Pineapple</x:v>
      </x:c>
      <x:c r="D520" t="str">
        <x:v>Dryer 4</x:v>
      </x:c>
      <x:c r="E520" t="str">
        <x:v>Sup 1</x:v>
      </x:c>
      <x:c r="F520" t="n">
        <x:v>480</x:v>
      </x:c>
      <x:c r="G520" t="n">
        <x:v>20</x:v>
      </x:c>
      <x:c r="H520" t="n">
        <x:v>55</x:v>
      </x:c>
      <x:c r="I520" t="n">
        <x:v>1833</x:v>
      </x:c>
      <x:c r="J520" t="n">
        <x:v>1542</x:v>
      </x:c>
      <x:c r="K520" t="n">
        <x:v>51</x:v>
      </x:c>
      <x:c r="L520" t="n">
        <x:v>33</x:v>
      </x:c>
      <x:c r="M520" t="n">
        <x:v>93</x:v>
      </x:c>
      <x:c r="N520" t="n">
        <x:v>79.2</x:v>
      </x:c>
      <x:c r="O520" t="n">
        <x:v>73.8</x:v>
      </x:c>
      <x:c r="P520" t="n">
        <x:v>3</x:v>
      </x:c>
      <x:c r="Q520" t="str">
        <x:v>First aid</x:v>
      </x:c>
      <x:c r="R520" t="str">
        <x:v>In progress</x:v>
      </x:c>
      <x:c r="S520" t="str">
        <x:v>Corrective</x:v>
      </x:c>
      <x:c r="T520" t="n">
        <x:v>1.8</x:v>
      </x:c>
      <x:c r="U520" t="n">
        <x:v>12.1</x:v>
      </x:c>
      <x:c r="V520" t="n">
        <x:f>IFERROR(J520/I520*100,0)</x:f>
        <x:v>84.12438625204582</x:v>
      </x:c>
      <x:c r="W520" t="n">
        <x:f>IFERROR(K520/J520*100,0)</x:f>
        <x:v>3.3073929961089497</x:v>
      </x:c>
      <x:c r="X520" t="n">
        <x:f>IFERROR(H520/F520*100,0)</x:f>
        <x:v>11.458333333333332</x:v>
      </x:c>
      <x:c r="Y520" t="n">
        <x:f>J520-K520</x:f>
        <x:v>1491</x:v>
      </x:c>
      <x:c r="Z520" t="n">
        <x:f>MAX(0,MIN(100,(V520/100)*(1-X520/100)*(1-W520/100)*100))</x:f>
        <x:v>72.02161756683034</x:v>
      </x:c>
    </x:row>
    <x:row r="521">
      <x:c r="A521" s="12" t="n">
        <x:v>46200</x:v>
      </x:c>
      <x:c r="B521" t="str">
        <x:v>A</x:v>
      </x:c>
      <x:c r="C521" t="str">
        <x:v>Dried Mango</x:v>
      </x:c>
      <x:c r="D521" t="str">
        <x:v>Dryer 1</x:v>
      </x:c>
      <x:c r="E521" t="str">
        <x:v>Sup 1</x:v>
      </x:c>
      <x:c r="F521" t="n">
        <x:v>420</x:v>
      </x:c>
      <x:c r="G521" t="n">
        <x:v>40</x:v>
      </x:c>
      <x:c r="H521" t="n">
        <x:v>52</x:v>
      </x:c>
      <x:c r="I521" t="n">
        <x:v>1543</x:v>
      </x:c>
      <x:c r="J521" t="n">
        <x:v>1286</x:v>
      </x:c>
      <x:c r="K521" t="n">
        <x:v>55</x:v>
      </x:c>
      <x:c r="L521" t="n">
        <x:v>31</x:v>
      </x:c>
      <x:c r="M521" t="n">
        <x:v>87.2</x:v>
      </x:c>
      <x:c r="N521" t="n">
        <x:v>71.2</x:v>
      </x:c>
      <x:c r="O521" t="n">
        <x:v>71.8</x:v>
      </x:c>
      <x:c r="P521" t="n">
        <x:v>6</x:v>
      </x:c>
      <x:c r="Q521" t="str">
        <x:v>No incident</x:v>
      </x:c>
      <x:c r="R521" t="str">
        <x:v>N/A</x:v>
      </x:c>
      <x:c r="S521" t="str">
        <x:v>Inspection</x:v>
      </x:c>
      <x:c r="T521" t="n">
        <x:v>0.55</x:v>
      </x:c>
      <x:c r="U521" t="n">
        <x:v>9.8</x:v>
      </x:c>
      <x:c r="V521" t="n">
        <x:f>IFERROR(J521/I521*100,0)</x:f>
        <x:v>83.34413480233312</x:v>
      </x:c>
      <x:c r="W521" t="n">
        <x:f>IFERROR(K521/J521*100,0)</x:f>
        <x:v>4.276827371695179</x:v>
      </x:c>
      <x:c r="X521" t="n">
        <x:f>IFERROR(H521/F521*100,0)</x:f>
        <x:v>12.380952380952381</x:v>
      </x:c>
      <x:c r="Y521" t="n">
        <x:f>J521-K521</x:f>
        <x:v>1231</x:v>
      </x:c>
      <x:c r="Z521" t="n">
        <x:f>MAX(0,MIN(100,(V521/100)*(1-X521/100)*(1-W521/100)*100))</x:f>
        <x:v>69.90216955220195</x:v>
      </x:c>
    </x:row>
    <x:row r="522">
      <x:c r="A522" s="12" t="n">
        <x:v>46200</x:v>
      </x:c>
      <x:c r="B522" t="str">
        <x:v>B</x:v>
      </x:c>
      <x:c r="C522" t="str">
        <x:v>Dried Mango</x:v>
      </x:c>
      <x:c r="D522" t="str">
        <x:v>Dryer 3</x:v>
      </x:c>
      <x:c r="E522" t="str">
        <x:v>Sup 2</x:v>
      </x:c>
      <x:c r="F522" t="n">
        <x:v>480</x:v>
      </x:c>
      <x:c r="G522" t="n">
        <x:v>40</x:v>
      </x:c>
      <x:c r="H522" t="n">
        <x:v>36</x:v>
      </x:c>
      <x:c r="I522" t="n">
        <x:v>1581</x:v>
      </x:c>
      <x:c r="J522" t="n">
        <x:v>1378</x:v>
      </x:c>
      <x:c r="K522" t="n">
        <x:v>55</x:v>
      </x:c>
      <x:c r="L522" t="n">
        <x:v>26</x:v>
      </x:c>
      <x:c r="M522" t="n">
        <x:v>98.8</x:v>
      </x:c>
      <x:c r="N522" t="n">
        <x:v>84.7</x:v>
      </x:c>
      <x:c r="O522" t="n">
        <x:v>83.5</x:v>
      </x:c>
      <x:c r="P522" t="n">
        <x:v>4</x:v>
      </x:c>
      <x:c r="Q522" t="str">
        <x:v>No incident</x:v>
      </x:c>
      <x:c r="R522" t="str">
        <x:v>N/A</x:v>
      </x:c>
      <x:c r="S522" t="str">
        <x:v>Corrective</x:v>
      </x:c>
      <x:c r="T522" t="n">
        <x:v>2.02</x:v>
      </x:c>
      <x:c r="U522" t="n">
        <x:v>12.6</x:v>
      </x:c>
      <x:c r="V522" t="n">
        <x:f>IFERROR(J522/I522*100,0)</x:f>
        <x:v>87.16002530044275</x:v>
      </x:c>
      <x:c r="W522" t="n">
        <x:f>IFERROR(K522/J522*100,0)</x:f>
        <x:v>3.991291727140784</x:v>
      </x:c>
      <x:c r="X522" t="n">
        <x:f>IFERROR(H522/F522*100,0)</x:f>
        <x:v>7.5</x:v>
      </x:c>
      <x:c r="Y522" t="n">
        <x:f>J522-K522</x:f>
        <x:v>1323</x:v>
      </x:c>
      <x:c r="Z522" t="n">
        <x:f>MAX(0,MIN(100,(V522/100)*(1-X522/100)*(1-W522/100)*100))</x:f>
        <x:v>77.40512333965845</x:v>
      </x:c>
    </x:row>
    <x:row r="523">
      <x:c r="A523" s="12" t="n">
        <x:v>46200</x:v>
      </x:c>
      <x:c r="B523" t="str">
        <x:v>C</x:v>
      </x:c>
      <x:c r="C523" t="str">
        <x:v>Dried Mango</x:v>
      </x:c>
      <x:c r="D523" t="str">
        <x:v>Dryer 3</x:v>
      </x:c>
      <x:c r="E523" t="str">
        <x:v>Sup 3</x:v>
      </x:c>
      <x:c r="F523" t="n">
        <x:v>450</x:v>
      </x:c>
      <x:c r="G523" t="n">
        <x:v>30</x:v>
      </x:c>
      <x:c r="H523" t="n">
        <x:v>73</x:v>
      </x:c>
      <x:c r="I523" t="n">
        <x:v>1774</x:v>
      </x:c>
      <x:c r="J523" t="n">
        <x:v>1520</x:v>
      </x:c>
      <x:c r="K523" t="n">
        <x:v>75</x:v>
      </x:c>
      <x:c r="L523" t="n">
        <x:v>33</x:v>
      </x:c>
      <x:c r="M523" t="n">
        <x:v>80.1</x:v>
      </x:c>
      <x:c r="N523" t="n">
        <x:v>75.7</x:v>
      </x:c>
      <x:c r="O523" t="n">
        <x:v>72.4</x:v>
      </x:c>
      <x:c r="P523" t="n">
        <x:v>3</x:v>
      </x:c>
      <x:c r="Q523" t="str">
        <x:v>Near miss</x:v>
      </x:c>
      <x:c r="R523" t="str">
        <x:v>In progress</x:v>
      </x:c>
      <x:c r="S523" t="str">
        <x:v>Corrective</x:v>
      </x:c>
      <x:c r="T523" t="n">
        <x:v>1.24</x:v>
      </x:c>
      <x:c r="U523" t="n">
        <x:v>12.3</x:v>
      </x:c>
      <x:c r="V523" t="n">
        <x:f>IFERROR(J523/I523*100,0)</x:f>
        <x:v>85.68207440811724</x:v>
      </x:c>
      <x:c r="W523" t="n">
        <x:f>IFERROR(K523/J523*100,0)</x:f>
        <x:v>4.934210526315789</x:v>
      </x:c>
      <x:c r="X523" t="n">
        <x:f>IFERROR(H523/F523*100,0)</x:f>
        <x:v>16.22222222222222</x:v>
      </x:c>
      <x:c r="Y523" t="n">
        <x:f>J523-K523</x:f>
        <x:v>1445</x:v>
      </x:c>
      <x:c r="Z523" t="n">
        <x:f>MAX(0,MIN(100,(V523/100)*(1-X523/100)*(1-W523/100)*100))</x:f>
        <x:v>68.24063635224853</x:v>
      </x:c>
    </x:row>
    <x:row r="524">
      <x:c r="A524" s="12" t="n">
        <x:v>46201</x:v>
      </x:c>
      <x:c r="B524" t="str">
        <x:v>A</x:v>
      </x:c>
      <x:c r="C524" t="str">
        <x:v>Dried Pineapple</x:v>
      </x:c>
      <x:c r="D524" t="str">
        <x:v>Dryer 4</x:v>
      </x:c>
      <x:c r="E524" t="str">
        <x:v>Sup 3</x:v>
      </x:c>
      <x:c r="F524" t="n">
        <x:v>420</x:v>
      </x:c>
      <x:c r="G524" t="n">
        <x:v>0</x:v>
      </x:c>
      <x:c r="H524" t="n">
        <x:v>74</x:v>
      </x:c>
      <x:c r="I524" t="n">
        <x:v>1694</x:v>
      </x:c>
      <x:c r="J524" t="n">
        <x:v>1296</x:v>
      </x:c>
      <x:c r="K524" t="n">
        <x:v>30</x:v>
      </x:c>
      <x:c r="L524" t="n">
        <x:v>20</x:v>
      </x:c>
      <x:c r="M524" t="n">
        <x:v>85.9</x:v>
      </x:c>
      <x:c r="N524" t="n">
        <x:v>84.2</x:v>
      </x:c>
      <x:c r="O524" t="n">
        <x:v>78.6</x:v>
      </x:c>
      <x:c r="P524" t="n">
        <x:v>1</x:v>
      </x:c>
      <x:c r="Q524" t="str">
        <x:v>No incident</x:v>
      </x:c>
      <x:c r="R524" t="str">
        <x:v>N/A</x:v>
      </x:c>
      <x:c r="S524" t="str">
        <x:v>Preventive</x:v>
      </x:c>
      <x:c r="T524" t="n">
        <x:v>0.65</x:v>
      </x:c>
      <x:c r="U524" t="n">
        <x:v>11.7</x:v>
      </x:c>
      <x:c r="V524" t="n">
        <x:f>IFERROR(J524/I524*100,0)</x:f>
        <x:v>76.50531286894923</x:v>
      </x:c>
      <x:c r="W524" t="n">
        <x:f>IFERROR(K524/J524*100,0)</x:f>
        <x:v>2.314814814814815</x:v>
      </x:c>
      <x:c r="X524" t="n">
        <x:f>IFERROR(H524/F524*100,0)</x:f>
        <x:v>17.61904761904762</x:v>
      </x:c>
      <x:c r="Y524" t="n">
        <x:f>J524-K524</x:f>
        <x:v>1266</x:v>
      </x:c>
      <x:c r="Z524" t="n">
        <x:f>MAX(0,MIN(100,(V524/100)*(1-X524/100)*(1-W524/100)*100))</x:f>
        <x:v>61.5668746837578</x:v>
      </x:c>
    </x:row>
    <x:row r="525">
      <x:c r="A525" s="12" t="n">
        <x:v>46201</x:v>
      </x:c>
      <x:c r="B525" t="str">
        <x:v>B</x:v>
      </x:c>
      <x:c r="C525" t="str">
        <x:v>Dried Mango</x:v>
      </x:c>
      <x:c r="D525" t="str">
        <x:v>Dryer 4</x:v>
      </x:c>
      <x:c r="E525" t="str">
        <x:v>Sup 3</x:v>
      </x:c>
      <x:c r="F525" t="n">
        <x:v>420</x:v>
      </x:c>
      <x:c r="G525" t="n">
        <x:v>30</x:v>
      </x:c>
      <x:c r="H525" t="n">
        <x:v>44</x:v>
      </x:c>
      <x:c r="I525" t="n">
        <x:v>1720</x:v>
      </x:c>
      <x:c r="J525" t="n">
        <x:v>1525</x:v>
      </x:c>
      <x:c r="K525" t="n">
        <x:v>65</x:v>
      </x:c>
      <x:c r="L525" t="n">
        <x:v>35</x:v>
      </x:c>
      <x:c r="M525" t="n">
        <x:v>92.5</x:v>
      </x:c>
      <x:c r="N525" t="n">
        <x:v>78.8</x:v>
      </x:c>
      <x:c r="O525" t="n">
        <x:v>79.3</x:v>
      </x:c>
      <x:c r="P525" t="n">
        <x:v>4</x:v>
      </x:c>
      <x:c r="Q525" t="str">
        <x:v>No incident</x:v>
      </x:c>
      <x:c r="R525" t="str">
        <x:v>N/A</x:v>
      </x:c>
      <x:c r="S525" t="str">
        <x:v>Inspection</x:v>
      </x:c>
      <x:c r="T525" t="n">
        <x:v>1</x:v>
      </x:c>
      <x:c r="U525" t="n">
        <x:v>13.4</x:v>
      </x:c>
      <x:c r="V525" t="n">
        <x:f>IFERROR(J525/I525*100,0)</x:f>
        <x:v>88.66279069767442</x:v>
      </x:c>
      <x:c r="W525" t="n">
        <x:f>IFERROR(K525/J525*100,0)</x:f>
        <x:v>4.2622950819672125</x:v>
      </x:c>
      <x:c r="X525" t="n">
        <x:f>IFERROR(H525/F525*100,0)</x:f>
        <x:v>10.476190476190476</x:v>
      </x:c>
      <x:c r="Y525" t="n">
        <x:f>J525-K525</x:f>
        <x:v>1460</x:v>
      </x:c>
      <x:c r="Z525" t="n">
        <x:f>MAX(0,MIN(100,(V525/100)*(1-X525/100)*(1-W525/100)*100))</x:f>
        <x:v>75.99114064230344</x:v>
      </x:c>
    </x:row>
    <x:row r="526">
      <x:c r="A526" s="12" t="n">
        <x:v>46201</x:v>
      </x:c>
      <x:c r="B526" t="str">
        <x:v>C</x:v>
      </x:c>
      <x:c r="C526" t="str">
        <x:v>Dried Mango</x:v>
      </x:c>
      <x:c r="D526" t="str">
        <x:v>Dryer 2</x:v>
      </x:c>
      <x:c r="E526" t="str">
        <x:v>Sup 1</x:v>
      </x:c>
      <x:c r="F526" t="n">
        <x:v>450</x:v>
      </x:c>
      <x:c r="G526" t="n">
        <x:v>40</x:v>
      </x:c>
      <x:c r="H526" t="n">
        <x:v>55</x:v>
      </x:c>
      <x:c r="I526" t="n">
        <x:v>1653</x:v>
      </x:c>
      <x:c r="J526" t="n">
        <x:v>1432</x:v>
      </x:c>
      <x:c r="K526" t="n">
        <x:v>43</x:v>
      </x:c>
      <x:c r="L526" t="n">
        <x:v>22</x:v>
      </x:c>
      <x:c r="M526" t="n">
        <x:v>97.8</x:v>
      </x:c>
      <x:c r="N526" t="n">
        <x:v>89.6</x:v>
      </x:c>
      <x:c r="O526" t="n">
        <x:v>78.1</x:v>
      </x:c>
      <x:c r="P526" t="n">
        <x:v>4</x:v>
      </x:c>
      <x:c r="Q526" t="str">
        <x:v>First aid</x:v>
      </x:c>
      <x:c r="R526" t="str">
        <x:v>In progress</x:v>
      </x:c>
      <x:c r="S526" t="str">
        <x:v>Corrective</x:v>
      </x:c>
      <x:c r="T526" t="n">
        <x:v>1.03</x:v>
      </x:c>
      <x:c r="U526" t="n">
        <x:v>10.9</x:v>
      </x:c>
      <x:c r="V526" t="n">
        <x:f>IFERROR(J526/I526*100,0)</x:f>
        <x:v>86.63036902601331</x:v>
      </x:c>
      <x:c r="W526" t="n">
        <x:f>IFERROR(K526/J526*100,0)</x:f>
        <x:v>3.0027932960893855</x:v>
      </x:c>
      <x:c r="X526" t="n">
        <x:f>IFERROR(H526/F526*100,0)</x:f>
        <x:v>12.222222222222221</x:v>
      </x:c>
      <x:c r="Y526" t="n">
        <x:f>J526-K526</x:f>
        <x:v>1389</x:v>
      </x:c>
      <x:c r="Z526" t="n">
        <x:f>MAX(0,MIN(100,(V526/100)*(1-X526/100)*(1-W526/100)*100))</x:f>
        <x:v>73.75882234321436</x:v>
      </x:c>
    </x:row>
    <x:row r="527">
      <x:c r="A527" s="12" t="n">
        <x:v>46202</x:v>
      </x:c>
      <x:c r="B527" t="str">
        <x:v>A</x:v>
      </x:c>
      <x:c r="C527" t="str">
        <x:v>Dried Pineapple</x:v>
      </x:c>
      <x:c r="D527" t="str">
        <x:v>Dryer 3</x:v>
      </x:c>
      <x:c r="E527" t="str">
        <x:v>Sup 3</x:v>
      </x:c>
      <x:c r="F527" t="n">
        <x:v>450</x:v>
      </x:c>
      <x:c r="G527" t="n">
        <x:v>40</x:v>
      </x:c>
      <x:c r="H527" t="n">
        <x:v>77</x:v>
      </x:c>
      <x:c r="I527" t="n">
        <x:v>1801</x:v>
      </x:c>
      <x:c r="J527" t="n">
        <x:v>1463</x:v>
      </x:c>
      <x:c r="K527" t="n">
        <x:v>73</x:v>
      </x:c>
      <x:c r="L527" t="n">
        <x:v>24</x:v>
      </x:c>
      <x:c r="M527" t="n">
        <x:v>82</x:v>
      </x:c>
      <x:c r="N527" t="n">
        <x:v>82.8</x:v>
      </x:c>
      <x:c r="O527" t="n">
        <x:v>76.6</x:v>
      </x:c>
      <x:c r="P527" t="n">
        <x:v>4</x:v>
      </x:c>
      <x:c r="Q527" t="str">
        <x:v>No incident</x:v>
      </x:c>
      <x:c r="R527" t="str">
        <x:v>N/A</x:v>
      </x:c>
      <x:c r="S527" t="str">
        <x:v>Preventive</x:v>
      </x:c>
      <x:c r="T527" t="n">
        <x:v>0.76</x:v>
      </x:c>
      <x:c r="U527" t="n">
        <x:v>11.8</x:v>
      </x:c>
      <x:c r="V527" t="n">
        <x:f>IFERROR(J527/I527*100,0)</x:f>
        <x:v>81.23264852859522</x:v>
      </x:c>
      <x:c r="W527" t="n">
        <x:f>IFERROR(K527/J527*100,0)</x:f>
        <x:v>4.989747095010253</x:v>
      </x:c>
      <x:c r="X527" t="n">
        <x:f>IFERROR(H527/F527*100,0)</x:f>
        <x:v>17.11111111111111</x:v>
      </x:c>
      <x:c r="Y527" t="n">
        <x:f>J527-K527</x:f>
        <x:v>1390</x:v>
      </x:c>
      <x:c r="Z527" t="n">
        <x:f>MAX(0,MIN(100,(V527/100)*(1-X527/100)*(1-W527/100)*100))</x:f>
        <x:v>63.97310136344005</x:v>
      </x:c>
    </x:row>
    <x:row r="528">
      <x:c r="A528" s="12" t="n">
        <x:v>46202</x:v>
      </x:c>
      <x:c r="B528" t="str">
        <x:v>B</x:v>
      </x:c>
      <x:c r="C528" t="str">
        <x:v>Desiccated Coconut</x:v>
      </x:c>
      <x:c r="D528" t="str">
        <x:v>Dryer 4</x:v>
      </x:c>
      <x:c r="E528" t="str">
        <x:v>Sup 3</x:v>
      </x:c>
      <x:c r="F528" t="n">
        <x:v>480</x:v>
      </x:c>
      <x:c r="G528" t="n">
        <x:v>40</x:v>
      </x:c>
      <x:c r="H528" t="n">
        <x:v>45</x:v>
      </x:c>
      <x:c r="I528" t="n">
        <x:v>1109</x:v>
      </x:c>
      <x:c r="J528" t="n">
        <x:v>947</x:v>
      </x:c>
      <x:c r="K528" t="n">
        <x:v>32</x:v>
      </x:c>
      <x:c r="L528" t="n">
        <x:v>21</x:v>
      </x:c>
      <x:c r="M528" t="n">
        <x:v>93</x:v>
      </x:c>
      <x:c r="N528" t="n">
        <x:v>82</x:v>
      </x:c>
      <x:c r="O528" t="n">
        <x:v>81.6</x:v>
      </x:c>
      <x:c r="P528" t="n">
        <x:v>4</x:v>
      </x:c>
      <x:c r="Q528" t="str">
        <x:v>No incident</x:v>
      </x:c>
      <x:c r="R528" t="str">
        <x:v>N/A</x:v>
      </x:c>
      <x:c r="S528" t="str">
        <x:v>Inspection</x:v>
      </x:c>
      <x:c r="T528" t="n">
        <x:v>0.53</x:v>
      </x:c>
      <x:c r="U528" t="n">
        <x:v>7.4</x:v>
      </x:c>
      <x:c r="V528" t="n">
        <x:f>IFERROR(J528/I528*100,0)</x:f>
        <x:v>85.3922452660054</x:v>
      </x:c>
      <x:c r="W528" t="n">
        <x:f>IFERROR(K528/J528*100,0)</x:f>
        <x:v>3.37909186906019</x:v>
      </x:c>
      <x:c r="X528" t="n">
        <x:f>IFERROR(H528/F528*100,0)</x:f>
        <x:v>9.375</x:v>
      </x:c>
      <x:c r="Y528" t="n">
        <x:f>J528-K528</x:f>
        <x:v>915</x:v>
      </x:c>
      <x:c r="Z528" t="n">
        <x:f>MAX(0,MIN(100,(V528/100)*(1-X528/100)*(1-W528/100)*100))</x:f>
        <x:v>74.77175383228133</x:v>
      </x:c>
    </x:row>
    <x:row r="529">
      <x:c r="A529" s="12" t="n">
        <x:v>46202</x:v>
      </x:c>
      <x:c r="B529" t="str">
        <x:v>C</x:v>
      </x:c>
      <x:c r="C529" t="str">
        <x:v>Dried Pineapple</x:v>
      </x:c>
      <x:c r="D529" t="str">
        <x:v>Dryer 3</x:v>
      </x:c>
      <x:c r="E529" t="str">
        <x:v>Sup 3</x:v>
      </x:c>
      <x:c r="F529" t="n">
        <x:v>480</x:v>
      </x:c>
      <x:c r="G529" t="n">
        <x:v>30</x:v>
      </x:c>
      <x:c r="H529" t="n">
        <x:v>64</x:v>
      </x:c>
      <x:c r="I529" t="n">
        <x:v>1647</x:v>
      </x:c>
      <x:c r="J529" t="n">
        <x:v>1439</x:v>
      </x:c>
      <x:c r="K529" t="n">
        <x:v>75</x:v>
      </x:c>
      <x:c r="L529" t="n">
        <x:v>36</x:v>
      </x:c>
      <x:c r="M529" t="n">
        <x:v>87</x:v>
      </x:c>
      <x:c r="N529" t="n">
        <x:v>70.2</x:v>
      </x:c>
      <x:c r="O529" t="n">
        <x:v>77.4</x:v>
      </x:c>
      <x:c r="P529" t="n">
        <x:v>4</x:v>
      </x:c>
      <x:c r="Q529" t="str">
        <x:v>Near miss</x:v>
      </x:c>
      <x:c r="R529" t="str">
        <x:v>Open</x:v>
      </x:c>
      <x:c r="S529" t="str">
        <x:v>Preventive</x:v>
      </x:c>
      <x:c r="T529" t="n">
        <x:v>0.63</x:v>
      </x:c>
      <x:c r="U529" t="n">
        <x:v>12.1</x:v>
      </x:c>
      <x:c r="V529" t="n">
        <x:f>IFERROR(J529/I529*100,0)</x:f>
        <x:v>87.37097753491196</x:v>
      </x:c>
      <x:c r="W529" t="n">
        <x:f>IFERROR(K529/J529*100,0)</x:f>
        <x:v>5.2119527449617795</x:v>
      </x:c>
      <x:c r="X529" t="n">
        <x:f>IFERROR(H529/F529*100,0)</x:f>
        <x:v>13.333333333333334</x:v>
      </x:c>
      <x:c r="Y529" t="n">
        <x:f>J529-K529</x:f>
        <x:v>1364</x:v>
      </x:c>
      <x:c r="Z529" t="n">
        <x:f>MAX(0,MIN(100,(V529/100)*(1-X529/100)*(1-W529/100)*100))</x:f>
        <x:v>71.77494434325034</x:v>
      </x:c>
    </x:row>
    <x:row r="530">
      <x:c r="A530" s="12" t="n">
        <x:v>46203</x:v>
      </x:c>
      <x:c r="B530" t="str">
        <x:v>A</x:v>
      </x:c>
      <x:c r="C530" t="str">
        <x:v>Dried Pineapple</x:v>
      </x:c>
      <x:c r="D530" t="str">
        <x:v>Dryer 2</x:v>
      </x:c>
      <x:c r="E530" t="str">
        <x:v>Sup 3</x:v>
      </x:c>
      <x:c r="F530" t="n">
        <x:v>450</x:v>
      </x:c>
      <x:c r="G530" t="n">
        <x:v>0</x:v>
      </x:c>
      <x:c r="H530" t="n">
        <x:v>33</x:v>
      </x:c>
      <x:c r="I530" t="n">
        <x:v>1621</x:v>
      </x:c>
      <x:c r="J530" t="n">
        <x:v>1513</x:v>
      </x:c>
      <x:c r="K530" t="n">
        <x:v>43</x:v>
      </x:c>
      <x:c r="L530" t="n">
        <x:v>13</x:v>
      </x:c>
      <x:c r="M530" t="n">
        <x:v>85.8</x:v>
      </x:c>
      <x:c r="N530" t="n">
        <x:v>78.8</x:v>
      </x:c>
      <x:c r="O530" t="n">
        <x:v>76.1</x:v>
      </x:c>
      <x:c r="P530" t="n">
        <x:v>4</x:v>
      </x:c>
      <x:c r="Q530" t="str">
        <x:v>No incident</x:v>
      </x:c>
      <x:c r="R530" t="str">
        <x:v>N/A</x:v>
      </x:c>
      <x:c r="S530" t="str">
        <x:v>Corrective</x:v>
      </x:c>
      <x:c r="T530" t="n">
        <x:v>1.24</x:v>
      </x:c>
      <x:c r="U530" t="n">
        <x:v>12.3</x:v>
      </x:c>
      <x:c r="V530" t="n">
        <x:f>IFERROR(J530/I530*100,0)</x:f>
        <x:v>93.3374460209747</x:v>
      </x:c>
      <x:c r="W530" t="n">
        <x:f>IFERROR(K530/J530*100,0)</x:f>
        <x:v>2.842035690680767</x:v>
      </x:c>
      <x:c r="X530" t="n">
        <x:f>IFERROR(H530/F530*100,0)</x:f>
        <x:v>7.333333333333333</x:v>
      </x:c>
      <x:c r="Y530" t="n">
        <x:f>J530-K530</x:f>
        <x:v>1470</x:v>
      </x:c>
      <x:c r="Z530" t="n">
        <x:f>MAX(0,MIN(100,(V530/100)*(1-X530/100)*(1-W530/100)*100))</x:f>
        <x:v>84.03454657618752</x:v>
      </x:c>
    </x:row>
    <x:row r="531">
      <x:c r="A531" s="12" t="n">
        <x:v>46203</x:v>
      </x:c>
      <x:c r="B531" t="str">
        <x:v>B</x:v>
      </x:c>
      <x:c r="C531" t="str">
        <x:v>Dried Pineapple</x:v>
      </x:c>
      <x:c r="D531" t="str">
        <x:v>Dryer 2</x:v>
      </x:c>
      <x:c r="E531" t="str">
        <x:v>Sup 2</x:v>
      </x:c>
      <x:c r="F531" t="n">
        <x:v>450</x:v>
      </x:c>
      <x:c r="G531" t="n">
        <x:v>0</x:v>
      </x:c>
      <x:c r="H531" t="n">
        <x:v>37</x:v>
      </x:c>
      <x:c r="I531" t="n">
        <x:v>1723</x:v>
      </x:c>
      <x:c r="J531" t="n">
        <x:v>1641</x:v>
      </x:c>
      <x:c r="K531" t="n">
        <x:v>61</x:v>
      </x:c>
      <x:c r="L531" t="n">
        <x:v>17</x:v>
      </x:c>
      <x:c r="M531" t="n">
        <x:v>97.8</x:v>
      </x:c>
      <x:c r="N531" t="n">
        <x:v>82.2</x:v>
      </x:c>
      <x:c r="O531" t="n">
        <x:v>76.2</x:v>
      </x:c>
      <x:c r="P531" t="n">
        <x:v>7</x:v>
      </x:c>
      <x:c r="Q531" t="str">
        <x:v>No incident</x:v>
      </x:c>
      <x:c r="R531" t="str">
        <x:v>N/A</x:v>
      </x:c>
      <x:c r="S531" t="str">
        <x:v>Preventive</x:v>
      </x:c>
      <x:c r="T531" t="n">
        <x:v>0.61</x:v>
      </x:c>
      <x:c r="U531" t="n">
        <x:v>13.2</x:v>
      </x:c>
      <x:c r="V531" t="n">
        <x:f>IFERROR(J531/I531*100,0)</x:f>
        <x:v>95.24085896691817</x:v>
      </x:c>
      <x:c r="W531" t="n">
        <x:f>IFERROR(K531/J531*100,0)</x:f>
        <x:v>3.717245581962218</x:v>
      </x:c>
      <x:c r="X531" t="n">
        <x:f>IFERROR(H531/F531*100,0)</x:f>
        <x:v>8.222222222222223</x:v>
      </x:c>
      <x:c r="Y531" t="n">
        <x:f>J531-K531</x:f>
        <x:v>1580</x:v>
      </x:c>
      <x:c r="Z531" t="n">
        <x:f>MAX(0,MIN(100,(V531/100)*(1-X531/100)*(1-W531/100)*100))</x:f>
        <x:v>84.16070161862386</x:v>
      </x:c>
    </x:row>
    <x:row r="532">
      <x:c r="A532" s="12" t="n">
        <x:v>46203</x:v>
      </x:c>
      <x:c r="B532" t="str">
        <x:v>C</x:v>
      </x:c>
      <x:c r="C532" t="str">
        <x:v>Dried Pineapple</x:v>
      </x:c>
      <x:c r="D532" t="str">
        <x:v>Dryer 3</x:v>
      </x:c>
      <x:c r="E532" t="str">
        <x:v>Sup 3</x:v>
      </x:c>
      <x:c r="F532" t="n">
        <x:v>420</x:v>
      </x:c>
      <x:c r="G532" t="n">
        <x:v>20</x:v>
      </x:c>
      <x:c r="H532" t="n">
        <x:v>86</x:v>
      </x:c>
      <x:c r="I532" t="n">
        <x:v>1746</x:v>
      </x:c>
      <x:c r="J532" t="n">
        <x:v>1251</x:v>
      </x:c>
      <x:c r="K532" t="n">
        <x:v>44</x:v>
      </x:c>
      <x:c r="L532" t="n">
        <x:v>19</x:v>
      </x:c>
      <x:c r="M532" t="n">
        <x:v>80.6</x:v>
      </x:c>
      <x:c r="N532" t="n">
        <x:v>78.3</x:v>
      </x:c>
      <x:c r="O532" t="n">
        <x:v>81.8</x:v>
      </x:c>
      <x:c r="P532" t="n">
        <x:v>4</x:v>
      </x:c>
      <x:c r="Q532" t="str">
        <x:v>No incident</x:v>
      </x:c>
      <x:c r="R532" t="str">
        <x:v>N/A</x:v>
      </x:c>
      <x:c r="S532" t="str">
        <x:v>Preventive</x:v>
      </x:c>
      <x:c r="T532" t="n">
        <x:v>0.96</x:v>
      </x:c>
      <x:c r="U532" t="n">
        <x:v>11.1</x:v>
      </x:c>
      <x:c r="V532" t="n">
        <x:f>IFERROR(J532/I532*100,0)</x:f>
        <x:v>71.64948453608247</x:v>
      </x:c>
      <x:c r="W532" t="n">
        <x:f>IFERROR(K532/J532*100,0)</x:f>
        <x:v>3.5171862509992007</x:v>
      </x:c>
      <x:c r="X532" t="n">
        <x:f>IFERROR(H532/F532*100,0)</x:f>
        <x:v>20.476190476190474</x:v>
      </x:c>
      <x:c r="Y532" t="n">
        <x:f>J532-K532</x:f>
        <x:v>1207</x:v>
      </x:c>
      <x:c r="Z532" t="n">
        <x:f>MAX(0,MIN(100,(V532/100)*(1-X532/100)*(1-W532/100)*100))</x:f>
        <x:v>54.97436317023945</x:v>
      </x:c>
    </x:row>
    <x:row r="533">
      <x:c r="A533" s="12" t="n">
        <x:v>46204</x:v>
      </x:c>
      <x:c r="B533" t="str">
        <x:v>A</x:v>
      </x:c>
      <x:c r="C533" t="str">
        <x:v>Dried Pineapple</x:v>
      </x:c>
      <x:c r="D533" t="str">
        <x:v>Dryer 2</x:v>
      </x:c>
      <x:c r="E533" t="str">
        <x:v>Sup 1</x:v>
      </x:c>
      <x:c r="F533" t="n">
        <x:v>420</x:v>
      </x:c>
      <x:c r="G533" t="n">
        <x:v>30</x:v>
      </x:c>
      <x:c r="H533" t="n">
        <x:v>44</x:v>
      </x:c>
      <x:c r="I533" t="n">
        <x:v>1813</x:v>
      </x:c>
      <x:c r="J533" t="n">
        <x:v>1450</x:v>
      </x:c>
      <x:c r="K533" t="n">
        <x:v>40</x:v>
      </x:c>
      <x:c r="L533" t="n">
        <x:v>25</x:v>
      </x:c>
      <x:c r="M533" t="n">
        <x:v>85.5</x:v>
      </x:c>
      <x:c r="N533" t="n">
        <x:v>85.3</x:v>
      </x:c>
      <x:c r="O533" t="n">
        <x:v>71.6</x:v>
      </x:c>
      <x:c r="P533" t="n">
        <x:v>5</x:v>
      </x:c>
      <x:c r="Q533" t="str">
        <x:v>No incident</x:v>
      </x:c>
      <x:c r="R533" t="str">
        <x:v>N/A</x:v>
      </x:c>
      <x:c r="S533" t="str">
        <x:v>Preventive</x:v>
      </x:c>
      <x:c r="T533" t="n">
        <x:v>0.56</x:v>
      </x:c>
      <x:c r="U533" t="n">
        <x:v>12.3</x:v>
      </x:c>
      <x:c r="V533" t="n">
        <x:f>IFERROR(J533/I533*100,0)</x:f>
        <x:v>79.97793712079427</x:v>
      </x:c>
      <x:c r="W533" t="n">
        <x:f>IFERROR(K533/J533*100,0)</x:f>
        <x:v>2.7586206896551726</x:v>
      </x:c>
      <x:c r="X533" t="n">
        <x:f>IFERROR(H533/F533*100,0)</x:f>
        <x:v>10.476190476190476</x:v>
      </x:c>
      <x:c r="Y533" t="n">
        <x:f>J533-K533</x:f>
        <x:v>1410</x:v>
      </x:c>
      <x:c r="Z533" t="n">
        <x:f>MAX(0,MIN(100,(V533/100)*(1-X533/100)*(1-W533/100)*100))</x:f>
        <x:v>69.62414309353086</x:v>
      </x:c>
    </x:row>
    <x:row r="534">
      <x:c r="A534" s="12" t="n">
        <x:v>46204</x:v>
      </x:c>
      <x:c r="B534" t="str">
        <x:v>B</x:v>
      </x:c>
      <x:c r="C534" t="str">
        <x:v>Dried Mango</x:v>
      </x:c>
      <x:c r="D534" t="str">
        <x:v>Dryer 4</x:v>
      </x:c>
      <x:c r="E534" t="str">
        <x:v>Sup 2</x:v>
      </x:c>
      <x:c r="F534" t="n">
        <x:v>480</x:v>
      </x:c>
      <x:c r="G534" t="n">
        <x:v>0</x:v>
      </x:c>
      <x:c r="H534" t="n">
        <x:v>26</x:v>
      </x:c>
      <x:c r="I534" t="n">
        <x:v>1597</x:v>
      </x:c>
      <x:c r="J534" t="n">
        <x:v>1530</x:v>
      </x:c>
      <x:c r="K534" t="n">
        <x:v>55</x:v>
      </x:c>
      <x:c r="L534" t="n">
        <x:v>32</x:v>
      </x:c>
      <x:c r="M534" t="n">
        <x:v>96.7</x:v>
      </x:c>
      <x:c r="N534" t="n">
        <x:v>75.7</x:v>
      </x:c>
      <x:c r="O534" t="n">
        <x:v>76.2</x:v>
      </x:c>
      <x:c r="P534" t="n">
        <x:v>5</x:v>
      </x:c>
      <x:c r="Q534" t="str">
        <x:v>No incident</x:v>
      </x:c>
      <x:c r="R534" t="str">
        <x:v>N/A</x:v>
      </x:c>
      <x:c r="S534" t="str">
        <x:v>Preventive</x:v>
      </x:c>
      <x:c r="T534" t="n">
        <x:v>0.88</x:v>
      </x:c>
      <x:c r="U534" t="n">
        <x:v>13.1</x:v>
      </x:c>
      <x:c r="V534" t="n">
        <x:f>IFERROR(J534/I534*100,0)</x:f>
        <x:v>95.80463368816531</x:v>
      </x:c>
      <x:c r="W534" t="n">
        <x:f>IFERROR(K534/J534*100,0)</x:f>
        <x:v>3.594771241830065</x:v>
      </x:c>
      <x:c r="X534" t="n">
        <x:f>IFERROR(H534/F534*100,0)</x:f>
        <x:v>5.416666666666667</x:v>
      </x:c>
      <x:c r="Y534" t="n">
        <x:f>J534-K534</x:f>
        <x:v>1475</x:v>
      </x:c>
      <x:c r="Z534" t="n">
        <x:f>MAX(0,MIN(100,(V534/100)*(1-X534/100)*(1-W534/100)*100))</x:f>
        <x:v>87.3578063034857</x:v>
      </x:c>
    </x:row>
    <x:row r="535">
      <x:c r="A535" s="12" t="n">
        <x:v>46204</x:v>
      </x:c>
      <x:c r="B535" t="str">
        <x:v>C</x:v>
      </x:c>
      <x:c r="C535" t="str">
        <x:v>Dried Pineapple</x:v>
      </x:c>
      <x:c r="D535" t="str">
        <x:v>Dryer 3</x:v>
      </x:c>
      <x:c r="E535" t="str">
        <x:v>Sup 1</x:v>
      </x:c>
      <x:c r="F535" t="n">
        <x:v>480</x:v>
      </x:c>
      <x:c r="G535" t="n">
        <x:v>30</x:v>
      </x:c>
      <x:c r="H535" t="n">
        <x:v>66</x:v>
      </x:c>
      <x:c r="I535" t="n">
        <x:v>1788</x:v>
      </x:c>
      <x:c r="J535" t="n">
        <x:v>1570</x:v>
      </x:c>
      <x:c r="K535" t="n">
        <x:v>82</x:v>
      </x:c>
      <x:c r="L535" t="n">
        <x:v>19</x:v>
      </x:c>
      <x:c r="M535" t="n">
        <x:v>87.9</x:v>
      </x:c>
      <x:c r="N535" t="n">
        <x:v>64.6</x:v>
      </x:c>
      <x:c r="O535" t="n">
        <x:v>59.5</x:v>
      </x:c>
      <x:c r="P535" t="n">
        <x:v>5</x:v>
      </x:c>
      <x:c r="Q535" t="str">
        <x:v>Near miss</x:v>
      </x:c>
      <x:c r="R535" t="str">
        <x:v>In progress</x:v>
      </x:c>
      <x:c r="S535" t="str">
        <x:v>Corrective</x:v>
      </x:c>
      <x:c r="T535" t="n">
        <x:v>0.81</x:v>
      </x:c>
      <x:c r="U535" t="n">
        <x:v>13.5</x:v>
      </x:c>
      <x:c r="V535" t="n">
        <x:f>IFERROR(J535/I535*100,0)</x:f>
        <x:v>87.80760626398211</x:v>
      </x:c>
      <x:c r="W535" t="n">
        <x:f>IFERROR(K535/J535*100,0)</x:f>
        <x:v>5.222929936305733</x:v>
      </x:c>
      <x:c r="X535" t="n">
        <x:f>IFERROR(H535/F535*100,0)</x:f>
        <x:v>13.750000000000002</x:v>
      </x:c>
      <x:c r="Y535" t="n">
        <x:f>J535-K535</x:f>
        <x:v>1488</x:v>
      </x:c>
      <x:c r="Z535" t="n">
        <x:f>MAX(0,MIN(100,(V535/100)*(1-X535/100)*(1-W535/100)*100))</x:f>
        <x:v>71.7785234899329</x:v>
      </x:c>
    </x:row>
    <x:row r="536">
      <x:c r="A536" s="12" t="n">
        <x:v>46205</x:v>
      </x:c>
      <x:c r="B536" t="str">
        <x:v>A</x:v>
      </x:c>
      <x:c r="C536" t="str">
        <x:v>Dried Pineapple</x:v>
      </x:c>
      <x:c r="D536" t="str">
        <x:v>Dryer 2</x:v>
      </x:c>
      <x:c r="E536" t="str">
        <x:v>Sup 1</x:v>
      </x:c>
      <x:c r="F536" t="n">
        <x:v>480</x:v>
      </x:c>
      <x:c r="G536" t="n">
        <x:v>0</x:v>
      </x:c>
      <x:c r="H536" t="n">
        <x:v>35</x:v>
      </x:c>
      <x:c r="I536" t="n">
        <x:v>1747</x:v>
      </x:c>
      <x:c r="J536" t="n">
        <x:v>1451</x:v>
      </x:c>
      <x:c r="K536" t="n">
        <x:v>33</x:v>
      </x:c>
      <x:c r="L536" t="n">
        <x:v>17</x:v>
      </x:c>
      <x:c r="M536" t="n">
        <x:v>100</x:v>
      </x:c>
      <x:c r="N536" t="n">
        <x:v>86.3</x:v>
      </x:c>
      <x:c r="O536" t="n">
        <x:v>72.8</x:v>
      </x:c>
      <x:c r="P536" t="n">
        <x:v>5</x:v>
      </x:c>
      <x:c r="Q536" t="str">
        <x:v>Near miss</x:v>
      </x:c>
      <x:c r="R536" t="str">
        <x:v>In progress</x:v>
      </x:c>
      <x:c r="S536" t="str">
        <x:v>Inspection</x:v>
      </x:c>
      <x:c r="T536" t="n">
        <x:v>0.5</x:v>
      </x:c>
      <x:c r="U536" t="n">
        <x:v>12.6</x:v>
      </x:c>
      <x:c r="V536" t="n">
        <x:f>IFERROR(J536/I536*100,0)</x:f>
        <x:v>83.05666857469949</x:v>
      </x:c>
      <x:c r="W536" t="n">
        <x:f>IFERROR(K536/J536*100,0)</x:f>
        <x:v>2.2742935906271535</x:v>
      </x:c>
      <x:c r="X536" t="n">
        <x:f>IFERROR(H536/F536*100,0)</x:f>
        <x:v>7.291666666666667</x:v>
      </x:c>
      <x:c r="Y536" t="n">
        <x:f>J536-K536</x:f>
        <x:v>1418</x:v>
      </x:c>
      <x:c r="Z536" t="n">
        <x:f>MAX(0,MIN(100,(V536/100)*(1-X536/100)*(1-W536/100)*100))</x:f>
        <x:v>75.24923678687274</x:v>
      </x:c>
    </x:row>
    <x:row r="537">
      <x:c r="A537" s="12" t="n">
        <x:v>46205</x:v>
      </x:c>
      <x:c r="B537" t="str">
        <x:v>B</x:v>
      </x:c>
      <x:c r="C537" t="str">
        <x:v>Dried Pineapple</x:v>
      </x:c>
      <x:c r="D537" t="str">
        <x:v>Dryer 1</x:v>
      </x:c>
      <x:c r="E537" t="str">
        <x:v>Sup 1</x:v>
      </x:c>
      <x:c r="F537" t="n">
        <x:v>420</x:v>
      </x:c>
      <x:c r="G537" t="n">
        <x:v>20</x:v>
      </x:c>
      <x:c r="H537" t="n">
        <x:v>41</x:v>
      </x:c>
      <x:c r="I537" t="n">
        <x:v>1883</x:v>
      </x:c>
      <x:c r="J537" t="n">
        <x:v>1554</x:v>
      </x:c>
      <x:c r="K537" t="n">
        <x:v>43</x:v>
      </x:c>
      <x:c r="L537" t="n">
        <x:v>10</x:v>
      </x:c>
      <x:c r="M537" t="n">
        <x:v>92.1</x:v>
      </x:c>
      <x:c r="N537" t="n">
        <x:v>78.7</x:v>
      </x:c>
      <x:c r="O537" t="n">
        <x:v>68.4</x:v>
      </x:c>
      <x:c r="P537" t="n">
        <x:v>1</x:v>
      </x:c>
      <x:c r="Q537" t="str">
        <x:v>No incident</x:v>
      </x:c>
      <x:c r="R537" t="str">
        <x:v>N/A</x:v>
      </x:c>
      <x:c r="S537" t="str">
        <x:v>Preventive</x:v>
      </x:c>
      <x:c r="T537" t="n">
        <x:v>1.07</x:v>
      </x:c>
      <x:c r="U537" t="n">
        <x:v>13.7</x:v>
      </x:c>
      <x:c r="V537" t="n">
        <x:f>IFERROR(J537/I537*100,0)</x:f>
        <x:v>82.5278810408922</x:v>
      </x:c>
      <x:c r="W537" t="n">
        <x:f>IFERROR(K537/J537*100,0)</x:f>
        <x:v>2.767052767052767</x:v>
      </x:c>
      <x:c r="X537" t="n">
        <x:f>IFERROR(H537/F537*100,0)</x:f>
        <x:v>9.761904761904763</x:v>
      </x:c>
      <x:c r="Y537" t="n">
        <x:f>J537-K537</x:f>
        <x:v>1511</x:v>
      </x:c>
      <x:c r="Z537" t="n">
        <x:f>MAX(0,MIN(100,(V537/100)*(1-X537/100)*(1-W537/100)*100))</x:f>
        <x:v>72.41091975823787</x:v>
      </x:c>
    </x:row>
    <x:row r="538">
      <x:c r="A538" s="12" t="n">
        <x:v>46205</x:v>
      </x:c>
      <x:c r="B538" t="str">
        <x:v>C</x:v>
      </x:c>
      <x:c r="C538" t="str">
        <x:v>Desiccated Coconut</x:v>
      </x:c>
      <x:c r="D538" t="str">
        <x:v>Dryer 4</x:v>
      </x:c>
      <x:c r="E538" t="str">
        <x:v>Sup 2</x:v>
      </x:c>
      <x:c r="F538" t="n">
        <x:v>420</x:v>
      </x:c>
      <x:c r="G538" t="n">
        <x:v>30</x:v>
      </x:c>
      <x:c r="H538" t="n">
        <x:v>69</x:v>
      </x:c>
      <x:c r="I538" t="n">
        <x:v>1157</x:v>
      </x:c>
      <x:c r="J538" t="n">
        <x:v>964</x:v>
      </x:c>
      <x:c r="K538" t="n">
        <x:v>22</x:v>
      </x:c>
      <x:c r="L538" t="n">
        <x:v>5</x:v>
      </x:c>
      <x:c r="M538" t="n">
        <x:v>91.6</x:v>
      </x:c>
      <x:c r="N538" t="n">
        <x:v>75</x:v>
      </x:c>
      <x:c r="O538" t="n">
        <x:v>67.6</x:v>
      </x:c>
      <x:c r="P538" t="n">
        <x:v>2</x:v>
      </x:c>
      <x:c r="Q538" t="str">
        <x:v>No incident</x:v>
      </x:c>
      <x:c r="R538" t="str">
        <x:v>N/A</x:v>
      </x:c>
      <x:c r="S538" t="str">
        <x:v>Preventive</x:v>
      </x:c>
      <x:c r="T538" t="n">
        <x:v>1.39</x:v>
      </x:c>
      <x:c r="U538" t="n">
        <x:v>8.3</x:v>
      </x:c>
      <x:c r="V538" t="n">
        <x:f>IFERROR(J538/I538*100,0)</x:f>
        <x:v>83.3189282627485</x:v>
      </x:c>
      <x:c r="W538" t="n">
        <x:f>IFERROR(K538/J538*100,0)</x:f>
        <x:v>2.2821576763485476</x:v>
      </x:c>
      <x:c r="X538" t="n">
        <x:f>IFERROR(H538/F538*100,0)</x:f>
        <x:v>16.428571428571427</x:v>
      </x:c>
      <x:c r="Y538" t="n">
        <x:f>J538-K538</x:f>
        <x:v>942</x:v>
      </x:c>
      <x:c r="Z538" t="n">
        <x:f>MAX(0,MIN(100,(V538/100)*(1-X538/100)*(1-W538/100)*100))</x:f>
        <x:v>68.04173354735154</x:v>
      </x:c>
    </x:row>
    <x:row r="539">
      <x:c r="A539" s="12" t="n">
        <x:v>46206</x:v>
      </x:c>
      <x:c r="B539" t="str">
        <x:v>A</x:v>
      </x:c>
      <x:c r="C539" t="str">
        <x:v>Dried Mango</x:v>
      </x:c>
      <x:c r="D539" t="str">
        <x:v>Dryer 2</x:v>
      </x:c>
      <x:c r="E539" t="str">
        <x:v>Sup 2</x:v>
      </x:c>
      <x:c r="F539" t="n">
        <x:v>450</x:v>
      </x:c>
      <x:c r="G539" t="n">
        <x:v>0</x:v>
      </x:c>
      <x:c r="H539" t="n">
        <x:v>32</x:v>
      </x:c>
      <x:c r="I539" t="n">
        <x:v>1715</x:v>
      </x:c>
      <x:c r="J539" t="n">
        <x:v>1489</x:v>
      </x:c>
      <x:c r="K539" t="n">
        <x:v>58</x:v>
      </x:c>
      <x:c r="L539" t="n">
        <x:v>22</x:v>
      </x:c>
      <x:c r="M539" t="n">
        <x:v>91.4</x:v>
      </x:c>
      <x:c r="N539" t="n">
        <x:v>74.1</x:v>
      </x:c>
      <x:c r="O539" t="n">
        <x:v>69.5</x:v>
      </x:c>
      <x:c r="P539" t="n">
        <x:v>3</x:v>
      </x:c>
      <x:c r="Q539" t="str">
        <x:v>No incident</x:v>
      </x:c>
      <x:c r="R539" t="str">
        <x:v>N/A</x:v>
      </x:c>
      <x:c r="S539" t="str">
        <x:v>Inspection</x:v>
      </x:c>
      <x:c r="T539" t="n">
        <x:v>1.2</x:v>
      </x:c>
      <x:c r="U539" t="n">
        <x:v>12.8</x:v>
      </x:c>
      <x:c r="V539" t="n">
        <x:f>IFERROR(J539/I539*100,0)</x:f>
        <x:v>86.82215743440234</x:v>
      </x:c>
      <x:c r="W539" t="n">
        <x:f>IFERROR(K539/J539*100,0)</x:f>
        <x:v>3.895231699126931</x:v>
      </x:c>
      <x:c r="X539" t="n">
        <x:f>IFERROR(H539/F539*100,0)</x:f>
        <x:v>7.111111111111111</x:v>
      </x:c>
      <x:c r="Y539" t="n">
        <x:f>J539-K539</x:f>
        <x:v>1431</x:v>
      </x:c>
      <x:c r="Z539" t="n">
        <x:f>MAX(0,MIN(100,(V539/100)*(1-X539/100)*(1-W539/100)*100))</x:f>
        <x:v>77.5067055393586</x:v>
      </x:c>
    </x:row>
    <x:row r="540">
      <x:c r="A540" s="12" t="n">
        <x:v>46206</x:v>
      </x:c>
      <x:c r="B540" t="str">
        <x:v>B</x:v>
      </x:c>
      <x:c r="C540" t="str">
        <x:v>Dried Pineapple</x:v>
      </x:c>
      <x:c r="D540" t="str">
        <x:v>Dryer 1</x:v>
      </x:c>
      <x:c r="E540" t="str">
        <x:v>Sup 3</x:v>
      </x:c>
      <x:c r="F540" t="n">
        <x:v>450</x:v>
      </x:c>
      <x:c r="G540" t="n">
        <x:v>20</x:v>
      </x:c>
      <x:c r="H540" t="n">
        <x:v>51</x:v>
      </x:c>
      <x:c r="I540" t="n">
        <x:v>1841</x:v>
      </x:c>
      <x:c r="J540" t="n">
        <x:v>1594</x:v>
      </x:c>
      <x:c r="K540" t="n">
        <x:v>44</x:v>
      </x:c>
      <x:c r="L540" t="n">
        <x:v>21</x:v>
      </x:c>
      <x:c r="M540" t="n">
        <x:v>97.2</x:v>
      </x:c>
      <x:c r="N540" t="n">
        <x:v>82.8</x:v>
      </x:c>
      <x:c r="O540" t="n">
        <x:v>70</x:v>
      </x:c>
      <x:c r="P540" t="n">
        <x:v>0</x:v>
      </x:c>
      <x:c r="Q540" t="str">
        <x:v>No incident</x:v>
      </x:c>
      <x:c r="R540" t="str">
        <x:v>N/A</x:v>
      </x:c>
      <x:c r="S540" t="str">
        <x:v>Preventive</x:v>
      </x:c>
      <x:c r="T540" t="n">
        <x:v>0.71</x:v>
      </x:c>
      <x:c r="U540" t="n">
        <x:v>13.5</x:v>
      </x:c>
      <x:c r="V540" t="n">
        <x:f>IFERROR(J540/I540*100,0)</x:f>
        <x:v>86.58337859858773</x:v>
      </x:c>
      <x:c r="W540" t="n">
        <x:f>IFERROR(K540/J540*100,0)</x:f>
        <x:v>2.7603513174404015</x:v>
      </x:c>
      <x:c r="X540" t="n">
        <x:f>IFERROR(H540/F540*100,0)</x:f>
        <x:v>11.333333333333332</x:v>
      </x:c>
      <x:c r="Y540" t="n">
        <x:f>J540-K540</x:f>
        <x:v>1550</x:v>
      </x:c>
      <x:c r="Z540" t="n">
        <x:f>MAX(0,MIN(100,(V540/100)*(1-X540/100)*(1-W540/100)*100))</x:f>
        <x:v>74.65145754119139</x:v>
      </x:c>
    </x:row>
    <x:row r="541">
      <x:c r="A541" s="12" t="n">
        <x:v>46206</x:v>
      </x:c>
      <x:c r="B541" t="str">
        <x:v>C</x:v>
      </x:c>
      <x:c r="C541" t="str">
        <x:v>Dried Mango</x:v>
      </x:c>
      <x:c r="D541" t="str">
        <x:v>Dryer 2</x:v>
      </x:c>
      <x:c r="E541" t="str">
        <x:v>Sup 2</x:v>
      </x:c>
      <x:c r="F541" t="n">
        <x:v>420</x:v>
      </x:c>
      <x:c r="G541" t="n">
        <x:v>40</x:v>
      </x:c>
      <x:c r="H541" t="n">
        <x:v>74</x:v>
      </x:c>
      <x:c r="I541" t="n">
        <x:v>1580</x:v>
      </x:c>
      <x:c r="J541" t="n">
        <x:v>1199</x:v>
      </x:c>
      <x:c r="K541" t="n">
        <x:v>56</x:v>
      </x:c>
      <x:c r="L541" t="n">
        <x:v>30</x:v>
      </x:c>
      <x:c r="M541" t="n">
        <x:v>99.2</x:v>
      </x:c>
      <x:c r="N541" t="n">
        <x:v>79.6</x:v>
      </x:c>
      <x:c r="O541" t="n">
        <x:v>73.3</x:v>
      </x:c>
      <x:c r="P541" t="n">
        <x:v>5</x:v>
      </x:c>
      <x:c r="Q541" t="str">
        <x:v>No incident</x:v>
      </x:c>
      <x:c r="R541" t="str">
        <x:v>N/A</x:v>
      </x:c>
      <x:c r="S541" t="str">
        <x:v>Preventive</x:v>
      </x:c>
      <x:c r="T541" t="n">
        <x:v>1.26</x:v>
      </x:c>
      <x:c r="U541" t="n">
        <x:v>9.1</x:v>
      </x:c>
      <x:c r="V541" t="n">
        <x:f>IFERROR(J541/I541*100,0)</x:f>
        <x:v>75.8860759493671</x:v>
      </x:c>
      <x:c r="W541" t="n">
        <x:f>IFERROR(K541/J541*100,0)</x:f>
        <x:v>4.670558798999166</x:v>
      </x:c>
      <x:c r="X541" t="n">
        <x:f>IFERROR(H541/F541*100,0)</x:f>
        <x:v>17.61904761904762</x:v>
      </x:c>
      <x:c r="Y541" t="n">
        <x:f>J541-K541</x:f>
        <x:v>1143</x:v>
      </x:c>
      <x:c r="Z541" t="n">
        <x:f>MAX(0,MIN(100,(V541/100)*(1-X541/100)*(1-W541/100)*100))</x:f>
        <x:v>59.595840867992756</x:v>
      </x:c>
    </x:row>
  </x:sheetData>
  <x:conditionalFormatting sqref="V2:V541">
    <x:cfRule type="colorScale" priority="1">
      <x:colorScale>
        <x:cfvo type="min"/>
        <x:cfvo type="percentile" val="50"/>
        <x:cfvo type="max"/>
        <x:color rgb="FFFEE2E2"/>
        <x:color rgb="FFFEF3C7"/>
        <x:color rgb="FFDCFCE7"/>
      </x:colorScale>
    </x:cfRule>
  </x:conditionalFormatting>
  <x:conditionalFormatting sqref="W2:W541">
    <x:cfRule type="colorScale" priority="2">
      <x:colorScale>
        <x:cfvo type="min"/>
        <x:cfvo type="percentile" val="50"/>
        <x:cfvo type="max"/>
        <x:color rgb="FFDCFCE7"/>
        <x:color rgb="FFFEF3C7"/>
        <x:color rgb="FFFECACA"/>
      </x:colorScale>
    </x:cfRule>
  </x:conditionalFormatting>
  <x:pageMargins left="0.7" right="0.7" top="0.75" bottom="0.75" header="0.3" footer="0.3"/>
  <x:tableParts count="1">
    <x:tablePart xmlns:r="http://schemas.openxmlformats.org/officeDocument/2006/relationships" r:id="R9bf10dabe6174dfe"/>
  </x:tableParts>
</x:worksheet>
</file>

<file path=xl/worksheets/sheet3.xml><?xml version="1.0" encoding="utf-8"?>
<x:worksheet xmlns:x="http://schemas.openxmlformats.org/spreadsheetml/2006/main">
  <x:sheetFormatPr defaultRowHeight="15"/>
  <x:sheetData>
    <x:row r="1">
      <x:c r="A1" s="4" t="str">
        <x:v>SIMULATED DRY-FRUIT MANUFACTURING ANALYTICS PROJECT</x:v>
      </x:c>
      <x:c r="B1" s="4"/>
      <x:c r="C1" s="4"/>
      <x:c r="D1" s="4"/>
      <x:c r="E1" s="4"/>
      <x:c r="F1" s="4"/>
      <x:c r="G1" s="4"/>
      <x:c r="H1" s="4"/>
    </x:row>
    <x:row r="2">
      <x:c r="A2" s="18" t="str">
        <x:v>Purpose</x:v>
      </x:c>
      <x:c r="B2" s="14" t="str">
        <x:v>Portfolio project designed for a beginner transitioning into Data Analytics using a manufacturing operations domain.</x:v>
      </x:c>
      <x:c r="C2" s="14"/>
      <x:c r="D2" s="14"/>
      <x:c r="E2" s="14"/>
      <x:c r="F2" s="14"/>
      <x:c r="G2" s="14"/>
      <x:c r="H2" s="14"/>
    </x:row>
    <x:row r="3">
      <x:c r="A3" s="18" t="str">
        <x:v>Important disclosure</x:v>
      </x:c>
      <x:c r="B3" s="14" t="str">
        <x:v>All data in this workbook is synthetic and fictional. It is NOT ReelFruit or any other company's confidential data.</x:v>
      </x:c>
      <x:c r="C3" s="14"/>
      <x:c r="D3" s="14"/>
      <x:c r="E3" s="14"/>
      <x:c r="F3" s="14"/>
      <x:c r="G3" s="14"/>
      <x:c r="H3" s="14"/>
    </x:row>
    <x:row r="4">
      <x:c r="A4" s="18" t="str">
        <x:v>Recommended tools</x:v>
      </x:c>
      <x:c r="B4" s="14" t="str">
        <x:v>Google Sheets / Excel-compatible spreadsheet, SQL (DuckDB/SQLite/PostgreSQL later), Power BI or Looker Studio, optional Python/Google Colab.</x:v>
      </x:c>
      <x:c r="C4" s="14"/>
      <x:c r="D4" s="14"/>
      <x:c r="E4" s="14"/>
      <x:c r="F4" s="14"/>
      <x:c r="G4" s="14"/>
      <x:c r="H4" s="14"/>
    </x:row>
    <x:row r="5">
      <x:c r="A5" s="18" t="str">
        <x:v>Core business question</x:v>
      </x:c>
      <x:c r="B5" s="14" t="str">
        <x:v>What operational factors appear to be driving production underperformance, quality losses and HSE exposure?</x:v>
      </x:c>
      <x:c r="C5" s="14"/>
      <x:c r="D5" s="14"/>
      <x:c r="E5" s="14"/>
      <x:c r="F5" s="14"/>
      <x:c r="G5" s="14"/>
      <x:c r="H5" s="14"/>
    </x:row>
    <x:row r="6">
      <x:c r="A6" s="18" t="str">
        <x:v>Primary outputs</x:v>
      </x:c>
      <x:c r="B6" s="14" t="str">
        <x:v>1) Cleaned dataset  2) SQL analysis  3) KPI calculations  4) Dashboard  5) 1–2 page executive case study</x:v>
      </x:c>
      <x:c r="C6" s="14"/>
      <x:c r="D6" s="14"/>
      <x:c r="E6" s="14"/>
      <x:c r="F6" s="14"/>
      <x:c r="G6" s="14"/>
      <x:c r="H6" s="14"/>
    </x:row>
    <x:row r="7">
      <x:c r="A7" s="18" t="str">
        <x:v>Suggested project questions</x:v>
      </x:c>
      <x:c r="B7" s="14" t="str">
        <x:v>1. Which machines have the highest downtime?
2. Which products have the highest reject rate?
3. Which shifts have the weakest attainment?
4. Does downtime appear associated with lower output?
5. Where are HSE signals concentrated?</x:v>
      </x:c>
      <x:c r="C7" s="14"/>
      <x:c r="D7" s="14"/>
      <x:c r="E7" s="14"/>
      <x:c r="F7" s="14"/>
      <x:c r="G7" s="14"/>
      <x:c r="H7" s="14"/>
    </x:row>
    <x:row r="8">
      <x:c r="A8" s="18" t="str">
        <x:v>Portfolio positioning</x:v>
      </x:c>
      <x:c r="B8" s="14" t="str">
        <x:v>Describe it honestly as a simulated case study inspired by manufacturing operations; do not claim the numbers are company data.</x:v>
      </x:c>
      <x:c r="C8" s="14"/>
      <x:c r="D8" s="14"/>
      <x:c r="E8" s="14"/>
      <x:c r="F8" s="14"/>
      <x:c r="G8" s="14"/>
      <x:c r="H8" s="14"/>
    </x:row>
    <x:row r="9">
      <x:c r="A9" s="18" t="str">
        <x:v>Beginner rule</x:v>
      </x:c>
      <x:c r="B9" s="14" t="str">
        <x:v>Do not try to master everything at once. Complete spreadsheet analysis first, then SQL, then dashboarding.</x:v>
      </x:c>
      <x:c r="C9" s="14"/>
      <x:c r="D9" s="14"/>
      <x:c r="E9" s="14"/>
      <x:c r="F9" s="14"/>
      <x:c r="G9" s="14"/>
      <x:c r="H9" s="14"/>
    </x:row>
    <x:row r="10">
      <x:c r="A10" s="18" t="str">
        <x:v>Hardware rule</x:v>
      </x:c>
      <x:c r="B10" s="14" t="str">
        <x:v>Use the borrowed 4GB/HDD PC for lightweight spreadsheet work. Use browser/cloud tools for heavier computation where possible.</x:v>
      </x:c>
      <x:c r="C10" s="14"/>
      <x:c r="D10" s="14"/>
      <x:c r="E10" s="14"/>
      <x:c r="F10" s="14"/>
      <x:c r="G10" s="14"/>
      <x:c r="H10" s="14"/>
    </x:row>
    <x:row r="11">
      <x:c r="A11" s="18" t="str">
        <x:v>Suggested folder</x:v>
      </x:c>
      <x:c r="B11" s="14" t="str">
        <x:v>01_Data  02_Cleaning  03_SQL  04_Dashboard  05_Case_Study  06_Interview</x:v>
      </x:c>
      <x:c r="C11" s="14"/>
      <x:c r="D11" s="14"/>
      <x:c r="E11" s="14"/>
      <x:c r="F11" s="14"/>
      <x:c r="G11" s="14"/>
      <x:c r="H11" s="14"/>
    </x:row>
    <x:row r="12">
      <x:c r="A12" s="18" t="str">
        <x:v>Finish line</x:v>
      </x:c>
      <x:c r="B12" s="14" t="str">
        <x:v>You should be able to explain the business question, cleaning decisions, formulas/SQL, 5 key findings, 3 recommendations and limitations.</x:v>
      </x:c>
      <x:c r="C12" s="14"/>
      <x:c r="D12" s="14"/>
      <x:c r="E12" s="14"/>
      <x:c r="F12" s="14"/>
      <x:c r="G12" s="14"/>
      <x:c r="H12" s="14"/>
    </x:row>
    <x:row r="13">
      <x:c r="A13" s="14" t="str"/>
      <x:c r="B13" s="14"/>
      <x:c r="C13" s="14"/>
      <x:c r="D13" s="14"/>
      <x:c r="E13" s="14"/>
      <x:c r="F13" s="14"/>
      <x:c r="G13" s="14"/>
      <x:c r="H13" s="14"/>
    </x:row>
    <x:row r="14">
      <x:c r="A14" s="14" t="str">
        <x:v>PROJECT PHASES</x:v>
      </x:c>
      <x:c r="B14" s="14" t="str">
        <x:v>WHAT TO DO</x:v>
      </x:c>
      <x:c r="C14" s="14" t="str">
        <x:v>EVIDENCE TO SAVE</x:v>
      </x:c>
      <x:c r="D14" s="14"/>
      <x:c r="E14" s="4" t="str">
        <x:v>Suggested KPI</x:v>
      </x:c>
      <x:c r="F14" s="4" t="str">
        <x:v>Formula</x:v>
      </x:c>
      <x:c r="G14" s="4" t="str">
        <x:v>Why it matters</x:v>
      </x:c>
      <x:c r="H14" s="4" t="str">
        <x:v>Target (example)</x:v>
      </x:c>
    </x:row>
    <x:row r="15">
      <x:c r="A15" s="14" t="str">
        <x:v>Phase 1</x:v>
      </x:c>
      <x:c r="B15" s="14" t="str">
        <x:v>Understand the data dictionary and spot data-quality issues</x:v>
      </x:c>
      <x:c r="C15" s="14" t="str">
        <x:v>Notes + cleaned CSV</x:v>
      </x:c>
      <x:c r="D15" s="14"/>
      <x:c r="E15" s="14" t="str">
        <x:v>Production attainment</x:v>
      </x:c>
      <x:c r="F15" s="14" t="str">
        <x:v>Actual ÷ Target</x:v>
      </x:c>
      <x:c r="G15" s="14" t="str">
        <x:v>Shows delivery vs plan</x:v>
      </x:c>
      <x:c r="H15" s="14" t="str">
        <x:v>≥95%</x:v>
      </x:c>
    </x:row>
    <x:row r="16">
      <x:c r="A16" s="14" t="str">
        <x:v>Phase 2</x:v>
      </x:c>
      <x:c r="B16" s="14" t="str">
        <x:v>Clean in Google Sheets</x:v>
      </x:c>
      <x:c r="C16" s="14" t="str">
        <x:v>cleaned_data.csv</x:v>
      </x:c>
      <x:c r="D16" s="14"/>
      <x:c r="E16" s="14" t="str">
        <x:v>Reject rate</x:v>
      </x:c>
      <x:c r="F16" s="14" t="str">
        <x:v>Rejects ÷ Actual</x:v>
      </x:c>
      <x:c r="G16" s="14" t="str">
        <x:v>Shows quality loss</x:v>
      </x:c>
      <x:c r="H16" s="14" t="str">
        <x:v>≤3%</x:v>
      </x:c>
    </x:row>
    <x:row r="17">
      <x:c r="A17" s="14" t="str">
        <x:v>Phase 3</x:v>
      </x:c>
      <x:c r="B17" s="14" t="str">
        <x:v>Calculate KPIs in spreadsheet</x:v>
      </x:c>
      <x:c r="C17" s="14" t="str">
        <x:v>KPI sheet / screenshots</x:v>
      </x:c>
      <x:c r="D17" s="14"/>
      <x:c r="E17" s="14" t="str">
        <x:v>Downtime rate</x:v>
      </x:c>
      <x:c r="F17" s="14" t="str">
        <x:v>Downtime ÷ Scheduled</x:v>
      </x:c>
      <x:c r="G17" s="14" t="str">
        <x:v>Shows lost time</x:v>
      </x:c>
      <x:c r="H17" s="14" t="str">
        <x:v>≤10%</x:v>
      </x:c>
    </x:row>
    <x:row r="18">
      <x:c r="A18" s="14" t="str">
        <x:v>Phase 4</x:v>
      </x:c>
      <x:c r="B18" s="14" t="str">
        <x:v>Reproduce key analysis in SQL</x:v>
      </x:c>
      <x:c r="C18" s="14" t="str">
        <x:v>analysis.sql + screenshots</x:v>
      </x:c>
      <x:c r="D18" s="14"/>
      <x:c r="E18" s="14" t="str">
        <x:v>PPE compliance</x:v>
      </x:c>
      <x:c r="F18" s="14" t="str">
        <x:v>Observed compliant ÷ total</x:v>
      </x:c>
      <x:c r="G18" s="14" t="str">
        <x:v>Shows safety discipline</x:v>
      </x:c>
      <x:c r="H18" s="14" t="str">
        <x:v>≥95%</x:v>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62" hidden="0" customWidth="1"/>
    <x:col min="3" max="3" width="18" hidden="0" customWidth="1"/>
    <x:col min="4" max="4" width="45" hidden="0" customWidth="1"/>
  </x:cols>
  <x:sheetData>
    <x:row r="1">
      <x:c r="A1" s="14" t="str">
        <x:v>Field</x:v>
      </x:c>
      <x:c r="B1" s="14" t="str">
        <x:v>Meaning</x:v>
      </x:c>
      <x:c r="C1" s="14" t="str">
        <x:v>Type</x:v>
      </x:c>
      <x:c r="D1" s="14" t="str">
        <x:v>Notes</x:v>
      </x:c>
    </x:row>
    <x:row r="2">
      <x:c r="A2" s="14" t="str">
        <x:v>Date</x:v>
      </x:c>
      <x:c r="B2" s="14" t="str">
        <x:v>Production date</x:v>
      </x:c>
      <x:c r="C2" s="14" t="str">
        <x:v>Date</x:v>
      </x:c>
      <x:c r="D2" s="14" t="str">
        <x:v>Synthetic</x:v>
      </x:c>
    </x:row>
    <x:row r="3">
      <x:c r="A3" s="14" t="str">
        <x:v>Shift</x:v>
      </x:c>
      <x:c r="B3" s="14" t="str">
        <x:v>Production shift</x:v>
      </x:c>
      <x:c r="C3" s="14" t="str">
        <x:v>Category</x:v>
      </x:c>
      <x:c r="D3" s="14" t="str">
        <x:v>A/B/C</x:v>
      </x:c>
    </x:row>
    <x:row r="4">
      <x:c r="A4" s="14" t="str">
        <x:v>Product</x:v>
      </x:c>
      <x:c r="B4" s="14" t="str">
        <x:v>Dry-fruit product</x:v>
      </x:c>
      <x:c r="C4" s="14" t="str">
        <x:v>Category</x:v>
      </x:c>
      <x:c r="D4" s="14" t="str">
        <x:v>Synthetic product mix</x:v>
      </x:c>
    </x:row>
    <x:row r="5">
      <x:c r="A5" s="14" t="str">
        <x:v>Machine</x:v>
      </x:c>
      <x:c r="B5" s="14" t="str">
        <x:v>Main dryer/equipment</x:v>
      </x:c>
      <x:c r="C5" s="14" t="str">
        <x:v>Category</x:v>
      </x:c>
      <x:c r="D5" s="14" t="str">
        <x:v>Dryer 1–4</x:v>
      </x:c>
    </x:row>
    <x:row r="6">
      <x:c r="A6" s="14" t="str">
        <x:v>Supervisor</x:v>
      </x:c>
      <x:c r="B6" s="14" t="str">
        <x:v>Shift supervisor label</x:v>
      </x:c>
      <x:c r="C6" s="14" t="str">
        <x:v>Category</x:v>
      </x:c>
      <x:c r="D6" s="14" t="str">
        <x:v>Synthetic</x:v>
      </x:c>
    </x:row>
    <x:row r="7">
      <x:c r="A7" s="14" t="str">
        <x:v>Scheduled_Minutes</x:v>
      </x:c>
      <x:c r="B7" s="14" t="str">
        <x:v>Scheduled production minutes</x:v>
      </x:c>
      <x:c r="C7" s="14" t="str">
        <x:v>Number</x:v>
      </x:c>
      <x:c r="D7" s="14" t="str">
        <x:v>Per shift record</x:v>
      </x:c>
    </x:row>
    <x:row r="8">
      <x:c r="A8" s="14" t="str">
        <x:v>Planned_Changeover_Min</x:v>
      </x:c>
      <x:c r="B8" s="14" t="str">
        <x:v>Planned changeover/setup time</x:v>
      </x:c>
      <x:c r="C8" s="14" t="str">
        <x:v>Number</x:v>
      </x:c>
      <x:c r="D8" s="14" t="str">
        <x:v>Included within scheduled time</x:v>
      </x:c>
    </x:row>
    <x:row r="9">
      <x:c r="A9" s="14" t="str">
        <x:v>Downtime_Minutes</x:v>
      </x:c>
      <x:c r="B9" s="14" t="str">
        <x:v>Unplanned lost production time</x:v>
      </x:c>
      <x:c r="C9" s="14" t="str">
        <x:v>Number</x:v>
      </x:c>
      <x:c r="D9" s="14" t="str">
        <x:v>Primary performance driver</x:v>
      </x:c>
    </x:row>
    <x:row r="10">
      <x:c r="A10" s="14" t="str">
        <x:v>Target_Output_kg</x:v>
      </x:c>
      <x:c r="B10" s="14" t="str">
        <x:v>Expected output</x:v>
      </x:c>
      <x:c r="C10" s="14" t="str">
        <x:v>Number</x:v>
      </x:c>
      <x:c r="D10" s="14" t="str">
        <x:v>Synthetic</x:v>
      </x:c>
    </x:row>
    <x:row r="11">
      <x:c r="A11" s="14" t="str">
        <x:v>Actual_Output_kg</x:v>
      </x:c>
      <x:c r="B11" s="14" t="str">
        <x:v>Actual produced output</x:v>
      </x:c>
      <x:c r="C11" s="14" t="str">
        <x:v>Number</x:v>
      </x:c>
      <x:c r="D11" s="14" t="str">
        <x:v>Synthetic</x:v>
      </x:c>
    </x:row>
    <x:row r="12">
      <x:c r="A12" s="14" t="str">
        <x:v>Rejects_kg</x:v>
      </x:c>
      <x:c r="B12" s="14" t="str">
        <x:v>Rejected output</x:v>
      </x:c>
      <x:c r="C12" s="14" t="str">
        <x:v>Number</x:v>
      </x:c>
      <x:c r="D12" s="14" t="str">
        <x:v>Synthetic</x:v>
      </x:c>
    </x:row>
    <x:row r="13">
      <x:c r="A13" s="14" t="str">
        <x:v>Rework_kg</x:v>
      </x:c>
      <x:c r="B13" s="14" t="str">
        <x:v>Quantity sent for rework</x:v>
      </x:c>
      <x:c r="C13" s="14" t="str">
        <x:v>Number</x:v>
      </x:c>
      <x:c r="D13" s="14" t="str">
        <x:v>Synthetic</x:v>
      </x:c>
    </x:row>
    <x:row r="14">
      <x:c r="A14" s="14" t="str">
        <x:v>PPE_Compliance_pct</x:v>
      </x:c>
      <x:c r="B14" s="14" t="str">
        <x:v>PPE compliance observed</x:v>
      </x:c>
      <x:c r="C14" s="14" t="str">
        <x:v>Number</x:v>
      </x:c>
      <x:c r="D14" s="14" t="str">
        <x:v>0–100</x:v>
      </x:c>
    </x:row>
    <x:row r="15">
      <x:c r="A15" s="14" t="str">
        <x:v>Housekeeping_Score</x:v>
      </x:c>
      <x:c r="B15" s="14" t="str">
        <x:v>Housekeeping score</x:v>
      </x:c>
      <x:c r="C15" s="14" t="str">
        <x:v>Number</x:v>
      </x:c>
      <x:c r="D15" s="14" t="str">
        <x:v>0–100</x:v>
      </x:c>
    </x:row>
    <x:row r="16">
      <x:c r="A16" s="14" t="str">
        <x:v>GMP_Score</x:v>
      </x:c>
      <x:c r="B16" s="14" t="str">
        <x:v>Synthetic GMP performance score</x:v>
      </x:c>
      <x:c r="C16" s="14" t="str">
        <x:v>Number</x:v>
      </x:c>
      <x:c r="D16" s="14" t="str">
        <x:v>0–100</x:v>
      </x:c>
    </x:row>
    <x:row r="17">
      <x:c r="A17" s="14" t="str">
        <x:v>Safety_Observations</x:v>
      </x:c>
      <x:c r="B17" s="14" t="str">
        <x:v>Count of recorded observations</x:v>
      </x:c>
      <x:c r="C17" s="14" t="str">
        <x:v>Number</x:v>
      </x:c>
      <x:c r="D17" s="14" t="str">
        <x:v>Synthetic</x:v>
      </x:c>
    </x:row>
    <x:row r="18">
      <x:c r="A18" s="14" t="str">
        <x:v>Incident_Type</x:v>
      </x:c>
      <x:c r="B18" s="14" t="str">
        <x:v>Incident outcome category</x:v>
      </x:c>
      <x:c r="C18" s="14" t="str">
        <x:v>Category</x:v>
      </x:c>
      <x:c r="D18" s="14" t="str">
        <x:v>Synthetic</x:v>
      </x:c>
    </x:row>
    <x:row r="19">
      <x:c r="A19" s="14" t="str">
        <x:v>Corrective_Action_Status</x:v>
      </x:c>
      <x:c r="B19" s="14" t="str">
        <x:v>Status of action after non-no incident</x:v>
      </x:c>
      <x:c r="C19" s="14" t="str">
        <x:v>Category</x:v>
      </x:c>
      <x:c r="D19" s="14" t="str">
        <x:v>Synthetic</x:v>
      </x:c>
    </x:row>
    <x:row r="20">
      <x:c r="A20" s="14" t="str">
        <x:v>Maintenance_Type</x:v>
      </x:c>
      <x:c r="B20" s="14" t="str">
        <x:v>Maintenance activity type</x:v>
      </x:c>
      <x:c r="C20" s="14" t="str">
        <x:v>Category</x:v>
      </x:c>
      <x:c r="D20" s="14" t="str">
        <x:v>Preventive/Corrective/Inspection</x:v>
      </x:c>
    </x:row>
    <x:row r="21">
      <x:c r="A21" s="14" t="str">
        <x:v>Maintenance_Duration_hr</x:v>
      </x:c>
      <x:c r="B21" s="14" t="str">
        <x:v>Maintenance duration</x:v>
      </x:c>
      <x:c r="C21" s="14" t="str">
        <x:v>Number</x:v>
      </x:c>
      <x:c r="D21" s="14" t="str">
        <x:v>Synthetic</x:v>
      </x:c>
    </x:row>
    <x:row r="22">
      <x:c r="A22" s="14" t="str">
        <x:v>Fuel_Units</x:v>
      </x:c>
      <x:c r="B22" s="14" t="str">
        <x:v>Fictional normalized fuel use</x:v>
      </x:c>
      <x:c r="C22" s="14" t="str">
        <x:v>Number</x:v>
      </x:c>
      <x:c r="D22" s="14" t="str">
        <x:v>Not a real LPG/CNG measure</x:v>
      </x:c>
    </x:row>
    <x:row r="23">
      <x:c r="A23" s="14" t="str">
        <x:v>Production_Attainment_pct</x:v>
      </x:c>
      <x:c r="B23" s="14" t="str">
        <x:v>Actual ÷ Target ×100</x:v>
      </x:c>
      <x:c r="C23" s="14" t="str">
        <x:v>Derived</x:v>
      </x:c>
      <x:c r="D23" s="14" t="str">
        <x:v>Formula in Analysis_Calc</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42" hidden="0" customWidth="1"/>
    <x:col min="5" max="5" width="3" hidden="0" customWidth="1"/>
    <x:col min="6" max="6" width="25" hidden="0" customWidth="1"/>
    <x:col min="7" max="7" width="42" hidden="0" customWidth="1"/>
    <x:col min="8" max="8" width="22" hidden="0" customWidth="1"/>
    <x:col min="9" max="9" width="22" hidden="0" customWidth="1"/>
  </x:cols>
  <x:sheetData>
    <x:row r="1">
      <x:c r="A1" s="45" t="str">
        <x:v>PHASE 4 — OPERATIONS ANALYSIS SUMMARY</x:v>
      </x:c>
      <x:c r="B1" s="45"/>
      <x:c r="C1" s="45"/>
      <x:c r="D1" s="45"/>
      <x:c r="E1" s="45"/>
      <x:c r="F1" s="45"/>
      <x:c r="G1" s="45"/>
      <x:c r="H1" s="45"/>
      <x:c r="I1" s="46"/>
      <x:c r="J1" s="47"/>
      <x:c r="K1" s="47"/>
      <x:c r="L1" s="47"/>
      <x:c r="M1" s="47"/>
      <x:c r="N1" s="47"/>
      <x:c r="O1" s="47"/>
      <x:c r="P1" s="47"/>
      <x:c r="Q1" s="47"/>
      <x:c r="R1" s="47"/>
      <x:c r="S1" s="47"/>
      <x:c r="T1" s="47"/>
      <x:c r="U1" s="47"/>
      <x:c r="V1" s="47"/>
      <x:c r="W1" s="47"/>
      <x:c r="X1" s="47"/>
      <x:c r="Y1" s="47"/>
      <x:c r="Z1" s="47"/>
    </x:row>
    <x:row r="2">
      <x:c r="A2" s="48" t="str">
        <x:v>Dry-Fruit Manufacturing Operations Performance &amp; HSE Analytics | Synthetic portfolio dataset | Analysis snapshot</x:v>
      </x:c>
      <x:c r="B2" s="48"/>
      <x:c r="C2" s="48"/>
      <x:c r="D2" s="48"/>
      <x:c r="E2" s="48"/>
      <x:c r="F2" s="48"/>
      <x:c r="G2" s="48"/>
      <x:c r="H2" s="48"/>
      <x:c r="I2" s="46"/>
      <x:c r="J2" s="47"/>
      <x:c r="K2" s="47"/>
      <x:c r="L2" s="47"/>
      <x:c r="M2" s="47"/>
      <x:c r="N2" s="47"/>
      <x:c r="O2" s="47"/>
      <x:c r="P2" s="47"/>
      <x:c r="Q2" s="47"/>
      <x:c r="R2" s="47"/>
      <x:c r="S2" s="47"/>
      <x:c r="T2" s="47"/>
      <x:c r="U2" s="47"/>
      <x:c r="V2" s="47"/>
      <x:c r="W2" s="47"/>
      <x:c r="X2" s="47"/>
      <x:c r="Y2" s="47"/>
      <x:c r="Z2" s="47"/>
    </x:row>
    <x:row r="3">
      <x:c r="A3" s="46"/>
      <x:c r="B3" s="46"/>
      <x:c r="C3" s="46"/>
      <x:c r="D3" s="46"/>
      <x:c r="E3" s="46"/>
      <x:c r="F3" s="46"/>
      <x:c r="G3" s="46"/>
      <x:c r="H3" s="46"/>
      <x:c r="I3" s="46"/>
      <x:c r="J3" s="47"/>
      <x:c r="K3" s="47"/>
      <x:c r="L3" s="47"/>
      <x:c r="M3" s="47"/>
      <x:c r="N3" s="47"/>
      <x:c r="O3" s="47"/>
      <x:c r="P3" s="47"/>
      <x:c r="Q3" s="47"/>
      <x:c r="R3" s="47"/>
      <x:c r="S3" s="47"/>
      <x:c r="T3" s="47"/>
      <x:c r="U3" s="47"/>
      <x:c r="V3" s="47"/>
      <x:c r="W3" s="47"/>
      <x:c r="X3" s="47"/>
      <x:c r="Y3" s="47"/>
      <x:c r="Z3" s="47"/>
    </x:row>
    <x:row r="4">
      <x:c r="A4" s="49" t="str">
        <x:v>DATASET / QUALITY STATUS</x:v>
      </x:c>
      <x:c r="B4" s="49"/>
      <x:c r="C4" s="49"/>
      <x:c r="D4" s="49"/>
      <x:c r="E4" s="46"/>
      <x:c r="F4" s="49" t="str">
        <x:v>EXECUTIVE KPI SNAPSHOT</x:v>
      </x:c>
      <x:c r="G4" s="49"/>
      <x:c r="H4" s="49"/>
      <x:c r="I4" s="49"/>
      <x:c r="J4" s="47"/>
      <x:c r="K4" s="47"/>
      <x:c r="L4" s="47"/>
      <x:c r="M4" s="47"/>
      <x:c r="N4" s="47"/>
      <x:c r="O4" s="47"/>
      <x:c r="P4" s="47"/>
      <x:c r="Q4" s="47"/>
      <x:c r="R4" s="47"/>
      <x:c r="S4" s="47"/>
      <x:c r="T4" s="47"/>
      <x:c r="U4" s="47"/>
      <x:c r="V4" s="47"/>
      <x:c r="W4" s="47"/>
      <x:c r="X4" s="47"/>
      <x:c r="Y4" s="47"/>
      <x:c r="Z4" s="47"/>
    </x:row>
    <x:row r="5">
      <x:c r="A5" s="46" t="str">
        <x:v>Records</x:v>
      </x:c>
      <x:c r="B5" s="46" t="n">
        <x:v>540</x:v>
      </x:c>
      <x:c r="C5" s="46" t="str">
        <x:v>Unique production dates</x:v>
      </x:c>
      <x:c r="D5" s="46" t="n">
        <x:v>180</x:v>
      </x:c>
      <x:c r="E5" s="46"/>
      <x:c r="F5" s="46" t="str">
        <x:v>Production attainment (%)</x:v>
      </x:c>
      <x:c r="G5" s="50" t="n">
        <x:v>85.30747903730173</x:v>
      </x:c>
      <x:c r="H5" s="46" t="str">
        <x:v>Downtime rate (%)</x:v>
      </x:c>
      <x:c r="I5" s="50" t="n">
        <x:v>10.355309098377491</x:v>
      </x:c>
      <x:c r="J5" s="47"/>
      <x:c r="K5" s="47"/>
      <x:c r="L5" s="47"/>
      <x:c r="M5" s="47"/>
      <x:c r="N5" s="47"/>
      <x:c r="O5" s="47"/>
      <x:c r="P5" s="47"/>
      <x:c r="Q5" s="47"/>
      <x:c r="R5" s="47"/>
      <x:c r="S5" s="47"/>
      <x:c r="T5" s="47"/>
      <x:c r="U5" s="47"/>
      <x:c r="V5" s="47"/>
      <x:c r="W5" s="47"/>
      <x:c r="X5" s="47"/>
      <x:c r="Y5" s="47"/>
      <x:c r="Z5" s="47"/>
    </x:row>
    <x:row r="6">
      <x:c r="A6" s="46" t="str">
        <x:v>Date range</x:v>
      </x:c>
      <x:c r="B6" s="46" t="str">
        <x:v>2026-01-05 to 2026-07-03</x:v>
      </x:c>
      <x:c r="C6" s="46" t="str">
        <x:v>Missing values</x:v>
      </x:c>
      <x:c r="D6" s="46" t="str">
        <x:v>None detected</x:v>
      </x:c>
      <x:c r="E6" s="46"/>
      <x:c r="F6" s="46" t="str">
        <x:v>Reject rate (%)</x:v>
      </x:c>
      <x:c r="G6" s="50" t="n">
        <x:v>3.5101409569693187</x:v>
      </x:c>
      <x:c r="H6" s="46" t="str">
        <x:v>Avg PPE compliance (%)</x:v>
      </x:c>
      <x:c r="I6" s="50" t="n">
        <x:v>90.38240740740741</x:v>
      </x:c>
      <x:c r="J6" s="47"/>
      <x:c r="K6" s="47"/>
      <x:c r="L6" s="47"/>
      <x:c r="M6" s="47"/>
      <x:c r="N6" s="47"/>
      <x:c r="O6" s="47"/>
      <x:c r="P6" s="47"/>
      <x:c r="Q6" s="47"/>
      <x:c r="R6" s="47"/>
      <x:c r="S6" s="47"/>
      <x:c r="T6" s="47"/>
      <x:c r="U6" s="47"/>
      <x:c r="V6" s="47"/>
      <x:c r="W6" s="47"/>
      <x:c r="X6" s="47"/>
      <x:c r="Y6" s="47"/>
      <x:c r="Z6" s="47"/>
    </x:row>
    <x:row r="7">
      <x:c r="A7" s="46" t="str">
        <x:v>Duplicate rows</x:v>
      </x:c>
      <x:c r="B7" s="46" t="str">
        <x:v>None detected</x:v>
      </x:c>
      <x:c r="C7" s="46" t="str">
        <x:v>Negative key values</x:v>
      </x:c>
      <x:c r="D7" s="46" t="str">
        <x:v>None detected</x:v>
      </x:c>
      <x:c r="E7" s="46"/>
      <x:c r="F7" s="46" t="str">
        <x:v>Avg GMP score</x:v>
      </x:c>
      <x:c r="G7" s="50" t="n">
        <x:v>75.22018518518519</x:v>
      </x:c>
      <x:c r="H7" s="46" t="str">
        <x:v>Safety observations</x:v>
      </x:c>
      <x:c r="I7" s="50" t="n">
        <x:v>1662</x:v>
      </x:c>
      <x:c r="J7" s="47"/>
      <x:c r="K7" s="47"/>
      <x:c r="L7" s="47"/>
      <x:c r="M7" s="47"/>
      <x:c r="N7" s="47"/>
      <x:c r="O7" s="47"/>
      <x:c r="P7" s="47"/>
      <x:c r="Q7" s="47"/>
      <x:c r="R7" s="47"/>
      <x:c r="S7" s="47"/>
      <x:c r="T7" s="47"/>
      <x:c r="U7" s="47"/>
      <x:c r="V7" s="47"/>
      <x:c r="W7" s="47"/>
      <x:c r="X7" s="47"/>
      <x:c r="Y7" s="47"/>
      <x:c r="Z7" s="47"/>
    </x:row>
    <x:row r="8">
      <x:c r="A8" s="46" t="str">
        <x:v>Percentage range checks</x:v>
      </x:c>
      <x:c r="B8" s="46" t="str">
        <x:v>Passed</x:v>
      </x:c>
      <x:c r="C8" s="46" t="str">
        <x:v>Actual/reject plausibility</x:v>
      </x:c>
      <x:c r="D8" s="46" t="str">
        <x:v>Passed</x:v>
      </x:c>
      <x:c r="E8" s="46"/>
      <x:c r="F8" s="46"/>
      <x:c r="G8" s="46"/>
      <x:c r="H8" s="46"/>
      <x:c r="I8" s="46"/>
      <x:c r="J8" s="47"/>
      <x:c r="K8" s="47"/>
      <x:c r="L8" s="47"/>
      <x:c r="M8" s="47"/>
      <x:c r="N8" s="47"/>
      <x:c r="O8" s="47"/>
      <x:c r="P8" s="47"/>
      <x:c r="Q8" s="47"/>
      <x:c r="R8" s="47"/>
      <x:c r="S8" s="47"/>
      <x:c r="T8" s="47"/>
      <x:c r="U8" s="47"/>
      <x:c r="V8" s="47"/>
      <x:c r="W8" s="47"/>
      <x:c r="X8" s="47"/>
      <x:c r="Y8" s="47"/>
      <x:c r="Z8" s="47"/>
    </x:row>
    <x:row r="9">
      <x:c r="A9" s="46"/>
      <x:c r="B9" s="46"/>
      <x:c r="C9" s="46"/>
      <x:c r="D9" s="46"/>
      <x:c r="E9" s="46"/>
      <x:c r="F9" s="46"/>
      <x:c r="G9" s="46"/>
      <x:c r="H9" s="46"/>
      <x:c r="I9" s="46"/>
      <x:c r="J9" s="47"/>
      <x:c r="K9" s="47"/>
      <x:c r="L9" s="47"/>
      <x:c r="M9" s="47"/>
      <x:c r="N9" s="47"/>
      <x:c r="O9" s="47"/>
      <x:c r="P9" s="47"/>
      <x:c r="Q9" s="47"/>
      <x:c r="R9" s="47"/>
      <x:c r="S9" s="47"/>
      <x:c r="T9" s="47"/>
      <x:c r="U9" s="47"/>
      <x:c r="V9" s="47"/>
      <x:c r="W9" s="47"/>
      <x:c r="X9" s="47"/>
      <x:c r="Y9" s="47"/>
      <x:c r="Z9" s="47"/>
    </x:row>
    <x:row r="10">
      <x:c r="A10" s="49" t="str">
        <x:v>PRIORITY READ-OUT</x:v>
      </x:c>
      <x:c r="B10" s="49"/>
      <x:c r="C10" s="49"/>
      <x:c r="D10" s="49"/>
      <x:c r="E10" s="49"/>
      <x:c r="F10" s="49" t="str">
        <x:v>ANALYTICAL GUARDRAILS</x:v>
      </x:c>
      <x:c r="G10" s="49"/>
      <x:c r="H10" s="49"/>
      <x:c r="I10" s="49"/>
      <x:c r="J10" s="47"/>
      <x:c r="K10" s="47"/>
      <x:c r="L10" s="47"/>
      <x:c r="M10" s="47"/>
      <x:c r="N10" s="47"/>
      <x:c r="O10" s="47"/>
      <x:c r="P10" s="47"/>
      <x:c r="Q10" s="47"/>
      <x:c r="R10" s="47"/>
      <x:c r="S10" s="47"/>
      <x:c r="T10" s="47"/>
      <x:c r="U10" s="47"/>
      <x:c r="V10" s="47"/>
      <x:c r="W10" s="47"/>
      <x:c r="X10" s="47"/>
      <x:c r="Y10" s="47"/>
      <x:c r="Z10" s="47"/>
    </x:row>
    <x:row r="11">
      <x:c r="A11" s="46" t="str">
        <x:v>1</x:v>
      </x:c>
      <x:c r="B11" s="46" t="str">
        <x:v>Dryer 3 is the primary operational hotspot.</x:v>
      </x:c>
      <x:c r="C11" s="46" t="str">
        <x:v>8,668 min downtime; 13.41% downtime rate; 82.42% attainment.</x:v>
      </x:c>
      <x:c r="D11" s="46" t="str">
        <x:v>Investigate downtime categories, recurring stoppages and maintenance history.</x:v>
      </x:c>
      <x:c r="E11" s="46"/>
      <x:c r="F11" s="37" t="str">
        <x:v>Synthetic dataset</x:v>
      </x:c>
      <x:c r="G11" s="37" t="str">
        <x:v>All numerical findings are illustrative and portfolio-only.</x:v>
      </x:c>
      <x:c r="H11" s="46"/>
      <x:c r="I11" s="46"/>
      <x:c r="J11" s="47"/>
      <x:c r="K11" s="47"/>
      <x:c r="L11" s="47"/>
      <x:c r="M11" s="47"/>
      <x:c r="N11" s="47"/>
      <x:c r="O11" s="47"/>
      <x:c r="P11" s="47"/>
      <x:c r="Q11" s="47"/>
      <x:c r="R11" s="47"/>
      <x:c r="S11" s="47"/>
      <x:c r="T11" s="47"/>
      <x:c r="U11" s="47"/>
      <x:c r="V11" s="47"/>
      <x:c r="W11" s="47"/>
      <x:c r="X11" s="47"/>
      <x:c r="Y11" s="47"/>
      <x:c r="Z11" s="47"/>
    </x:row>
    <x:row r="12">
      <x:c r="A12" s="46" t="str">
        <x:v>2</x:v>
      </x:c>
      <x:c r="B12" s="46" t="str">
        <x:v>Shift C combines weaker output with weaker HSE indicators.</x:v>
      </x:c>
      <x:c r="C12" s="46" t="str">
        <x:v>84.51% attainment; 11.13% downtime; 87.99% PPE compliance; 31.67% non-no-incident records.</x:v>
      </x:c>
      <x:c r="D12" s="46" t="str">
        <x:v>Review handover, staffing, operating discipline and escalation practices.</x:v>
      </x:c>
      <x:c r="E12" s="46"/>
      <x:c r="F12" s="37" t="str">
        <x:v>Association ≠ causation</x:v>
      </x:c>
      <x:c r="G12" s="37" t="str">
        <x:v>Do not state that downtime, shift, machine, GMP or PPE caused an outcome.</x:v>
      </x:c>
      <x:c r="H12" s="46"/>
      <x:c r="I12" s="46"/>
      <x:c r="J12" s="47"/>
      <x:c r="K12" s="47"/>
      <x:c r="L12" s="47"/>
      <x:c r="M12" s="47"/>
      <x:c r="N12" s="47"/>
      <x:c r="O12" s="47"/>
      <x:c r="P12" s="47"/>
      <x:c r="Q12" s="47"/>
      <x:c r="R12" s="47"/>
      <x:c r="S12" s="47"/>
      <x:c r="T12" s="47"/>
      <x:c r="U12" s="47"/>
      <x:c r="V12" s="47"/>
      <x:c r="W12" s="47"/>
      <x:c r="X12" s="47"/>
      <x:c r="Y12" s="47"/>
      <x:c r="Z12" s="47"/>
    </x:row>
    <x:row r="13">
      <x:c r="A13" s="46" t="str">
        <x:v>3</x:v>
      </x:c>
      <x:c r="B13" s="46" t="str">
        <x:v>Shift C + Dryer 3 is the weakest interaction cell.</x:v>
      </x:c>
      <x:c r="C13" s="46" t="str">
        <x:v>80.47% attainment; 15.38% downtime; 4.51% reject rate.</x:v>
      </x:c>
      <x:c r="D13" s="46" t="str">
        <x:v>Treat as a focused diagnostic cohort rather than proof of causation.</x:v>
      </x:c>
      <x:c r="E13" s="46"/>
      <x:c r="F13" s="37" t="str">
        <x:v>OEE-like metric</x:v>
      </x:c>
      <x:c r="G13" s="37" t="str">
        <x:v>Keep the workbook's OEE_like_pct label; do not call it formal OEE.</x:v>
      </x:c>
      <x:c r="H13" s="46"/>
      <x:c r="I13" s="46"/>
      <x:c r="J13" s="47"/>
      <x:c r="K13" s="47"/>
      <x:c r="L13" s="47"/>
      <x:c r="M13" s="47"/>
      <x:c r="N13" s="47"/>
      <x:c r="O13" s="47"/>
      <x:c r="P13" s="47"/>
      <x:c r="Q13" s="47"/>
      <x:c r="R13" s="47"/>
      <x:c r="S13" s="47"/>
      <x:c r="T13" s="47"/>
      <x:c r="U13" s="47"/>
      <x:c r="V13" s="47"/>
      <x:c r="W13" s="47"/>
      <x:c r="X13" s="47"/>
      <x:c r="Y13" s="47"/>
      <x:c r="Z13" s="47"/>
    </x:row>
    <x:row r="14">
      <x:c r="A14" s="46" t="str">
        <x:v>4</x:v>
      </x:c>
      <x:c r="B14" s="46" t="str">
        <x:v>Dried Mango has the highest reject rate.</x:v>
      </x:c>
      <x:c r="C14" s="46" t="str">
        <x:v>3.99% reject rate versus 3.00% Coconut and 3.40% Pineapple.</x:v>
      </x:c>
      <x:c r="D14" s="46" t="str">
        <x:v>Review product-specific process settings and quality checkpoints.</x:v>
      </x:c>
      <x:c r="E14" s="46"/>
      <x:c r="F14" s="37" t="str">
        <x:v>Real-world validation</x:v>
      </x:c>
      <x:c r="G14" s="37" t="str">
        <x:v>Real operational/HSE decisions require validated production records and event-level context.</x:v>
      </x:c>
      <x:c r="H14" s="46"/>
      <x:c r="I14" s="46"/>
      <x:c r="J14" s="47"/>
      <x:c r="K14" s="47"/>
      <x:c r="L14" s="47"/>
      <x:c r="M14" s="47"/>
      <x:c r="N14" s="47"/>
      <x:c r="O14" s="47"/>
      <x:c r="P14" s="47"/>
      <x:c r="Q14" s="47"/>
      <x:c r="R14" s="47"/>
      <x:c r="S14" s="47"/>
      <x:c r="T14" s="47"/>
      <x:c r="U14" s="47"/>
      <x:c r="V14" s="47"/>
      <x:c r="W14" s="47"/>
      <x:c r="X14" s="47"/>
      <x:c r="Y14" s="47"/>
      <x:c r="Z14" s="47"/>
    </x:row>
    <x:row r="15">
      <x:c r="A15" s="46" t="str">
        <x:v>5</x:v>
      </x:c>
      <x:c r="B15" s="46" t="str">
        <x:v>Downtime and attainment show a strong negative association.</x:v>
      </x:c>
      <x:c r="C15" s="46" t="str">
        <x:v>Pearson r ≈ -0.663 at record level.</x:v>
      </x:c>
      <x:c r="D15" s="46" t="str">
        <x:v>Prioritise downtime reduction, then validate causality with richer event data.</x:v>
      </x:c>
      <x:c r="E15" s="46"/>
      <x:c r="F15" s="46"/>
      <x:c r="G15" s="46"/>
      <x:c r="H15" s="46"/>
      <x:c r="I15" s="46"/>
      <x:c r="J15" s="47"/>
      <x:c r="K15" s="47"/>
      <x:c r="L15" s="47"/>
      <x:c r="M15" s="47"/>
      <x:c r="N15" s="47"/>
      <x:c r="O15" s="47"/>
      <x:c r="P15" s="47"/>
      <x:c r="Q15" s="47"/>
      <x:c r="R15" s="47"/>
      <x:c r="S15" s="47"/>
      <x:c r="T15" s="47"/>
      <x:c r="U15" s="47"/>
      <x:c r="V15" s="47"/>
      <x:c r="W15" s="47"/>
      <x:c r="X15" s="47"/>
      <x:c r="Y15" s="47"/>
      <x:c r="Z15" s="47"/>
    </x:row>
    <x:row r="16">
      <x:c r="A16" s="47"/>
      <x:c r="B16" s="47"/>
      <x:c r="C16" s="47"/>
      <x:c r="D16" s="47"/>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47"/>
      <x:c r="B17" s="47"/>
      <x:c r="C17" s="47"/>
      <x:c r="D17" s="47"/>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4:D4"/>
    <x:mergeCell ref="F4:H4"/>
    <x:mergeCell ref="F4:I4"/>
    <x:mergeCell ref="A10:I10"/>
    <x:mergeCell ref="F10:I10"/>
  </x:mergeCell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2" hidden="0" customWidth="1"/>
    <x:col min="3" max="3" width="55" hidden="0" customWidth="1"/>
    <x:col min="4" max="4" width="52" hidden="0" customWidth="1"/>
    <x:col min="5" max="5" width="16" hidden="0" customWidth="1"/>
    <x:col min="6" max="6" width="46" hidden="0" customWidth="1"/>
    <x:col min="7" max="7" width="48" hidden="0" customWidth="1"/>
    <x:col min="8" max="8" width="42" hidden="0" customWidth="1"/>
  </x:cols>
  <x:sheetData>
    <x:row r="1">
      <x:c r="A1" s="51" t="str">
        <x:v>PHASE 4 — KEY FINDINGS &amp; EVIDENCE</x:v>
      </x:c>
      <x:c r="B1" s="51"/>
      <x:c r="C1" s="51"/>
      <x:c r="D1" s="51"/>
      <x:c r="E1" s="51"/>
      <x:c r="F1" s="51"/>
      <x:c r="G1" s="51"/>
      <x:c r="H1" s="51"/>
      <x:c r="I1" s="47"/>
      <x:c r="J1" s="47"/>
      <x:c r="K1" s="47"/>
      <x:c r="L1" s="47"/>
      <x:c r="M1" s="47"/>
      <x:c r="N1" s="47"/>
      <x:c r="O1" s="47"/>
      <x:c r="P1" s="47"/>
      <x:c r="Q1" s="47"/>
      <x:c r="R1" s="47"/>
      <x:c r="S1" s="47"/>
      <x:c r="T1" s="47"/>
      <x:c r="U1" s="47"/>
      <x:c r="V1" s="47"/>
      <x:c r="W1" s="47"/>
      <x:c r="X1" s="47"/>
      <x:c r="Y1" s="47"/>
      <x:c r="Z1" s="47"/>
    </x:row>
    <x:row r="2">
      <x:c r="A2" s="37" t="str">
        <x:v>Evidence is calculated from the uploaded synthetic workbook. Language is deliberately limited to association, concentration and prioritisation.</x:v>
      </x:c>
      <x:c r="B2" s="37"/>
      <x:c r="C2" s="37"/>
      <x:c r="D2" s="37"/>
      <x:c r="E2" s="37"/>
      <x:c r="F2" s="37"/>
      <x:c r="G2" s="37"/>
      <x:c r="H2" s="37"/>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x:c r="A4" s="52" t="str">
        <x:v>ID</x:v>
      </x:c>
      <x:c r="B4" s="52" t="str">
        <x:v>Business question / hypothesis</x:v>
      </x:c>
      <x:c r="C4" s="52" t="str">
        <x:v>Evidence from dataset</x:v>
      </x:c>
      <x:c r="D4" s="52" t="str">
        <x:v>Analytical interpretation</x:v>
      </x:c>
      <x:c r="E4" s="52" t="str">
        <x:v>Confidence</x:v>
      </x:c>
      <x:c r="F4" s="52" t="str">
        <x:v>Recommended next test</x:v>
      </x:c>
      <x:c r="G4" s="52" t="str">
        <x:v>Management implication</x:v>
      </x:c>
      <x:c r="H4" s="52" t="str">
        <x:v>Data limitation</x:v>
      </x:c>
      <x:c r="I4" s="47"/>
      <x:c r="J4" s="47"/>
      <x:c r="K4" s="47"/>
      <x:c r="L4" s="47"/>
      <x:c r="M4" s="47"/>
      <x:c r="N4" s="47"/>
      <x:c r="O4" s="47"/>
      <x:c r="P4" s="47"/>
      <x:c r="Q4" s="47"/>
      <x:c r="R4" s="47"/>
      <x:c r="S4" s="47"/>
      <x:c r="T4" s="47"/>
      <x:c r="U4" s="47"/>
      <x:c r="V4" s="47"/>
      <x:c r="W4" s="47"/>
      <x:c r="X4" s="47"/>
      <x:c r="Y4" s="47"/>
      <x:c r="Z4" s="47"/>
    </x:row>
    <x:row r="5">
      <x:c r="A5" s="46" t="str">
        <x:v>F01</x:v>
      </x:c>
      <x:c r="B5" s="46" t="str">
        <x:v>Which machine has the highest downtime?</x:v>
      </x:c>
      <x:c r="C5" s="46" t="str">
        <x:v>Dryer 3: 8,668 min; 13.41% downtime rate; 82.42% attainment; 4.49% reject rate.</x:v>
      </x:c>
      <x:c r="D5" s="46" t="str">
        <x:v>Dryer 3 is the clearest simulated machine-level hotspot across downtime, attainment and reject loss.</x:v>
      </x:c>
      <x:c r="E5" s="46" t="str">
        <x:v>High within this dataset</x:v>
      </x:c>
      <x:c r="F5" s="46" t="str">
        <x:v>Break downtime into reason codes and compare repeated stoppages by date/product/shift.</x:v>
      </x:c>
      <x:c r="G5" s="46" t="str">
        <x:v>Prioritise Dryer 3 for focused loss-tree and maintenance review.</x:v>
      </x:c>
      <x:c r="H5" s="46" t="str">
        <x:v>No causal equipment-failure evidence is encoded.</x:v>
      </x:c>
      <x:c r="I5" s="47"/>
      <x:c r="J5" s="47"/>
      <x:c r="K5" s="47"/>
      <x:c r="L5" s="47"/>
      <x:c r="M5" s="47"/>
      <x:c r="N5" s="47"/>
      <x:c r="O5" s="47"/>
      <x:c r="P5" s="47"/>
      <x:c r="Q5" s="47"/>
      <x:c r="R5" s="47"/>
      <x:c r="S5" s="47"/>
      <x:c r="T5" s="47"/>
      <x:c r="U5" s="47"/>
      <x:c r="V5" s="47"/>
      <x:c r="W5" s="47"/>
      <x:c r="X5" s="47"/>
      <x:c r="Y5" s="47"/>
      <x:c r="Z5" s="47"/>
    </x:row>
    <x:row r="6">
      <x:c r="A6" s="46" t="str">
        <x:v>F02</x:v>
      </x:c>
      <x:c r="B6" s="46" t="str">
        <x:v>Which shift has the weakest attainment?</x:v>
      </x:c>
      <x:c r="C6" s="46" t="str">
        <x:v>Shift C: 84.51% attainment, lowest of A/B/C; 11.13% downtime rate, highest; PPE 87.99%, lowest.</x:v>
      </x:c>
      <x:c r="D6" s="46" t="str">
        <x:v>Shift C presents a multi-KPI concentration of weaker performance and HSE signals.</x:v>
      </x:c>
      <x:c r="E6" s="46" t="str">
        <x:v>High within this dataset</x:v>
      </x:c>
      <x:c r="F6" s="46" t="str">
        <x:v>Stratify by machine, product, supervisor and date before assigning an operational cause.</x:v>
      </x:c>
      <x:c r="G6" s="46" t="str">
        <x:v>Review Shift C handover, staffing, changeover discipline and escalation routines.</x:v>
      </x:c>
      <x:c r="H6" s="46" t="str">
        <x:v>Shift is observational; staffing and work-content details are absent.</x:v>
      </x:c>
      <x:c r="I6" s="47"/>
      <x:c r="J6" s="47"/>
      <x:c r="K6" s="47"/>
      <x:c r="L6" s="47"/>
      <x:c r="M6" s="47"/>
      <x:c r="N6" s="47"/>
      <x:c r="O6" s="47"/>
      <x:c r="P6" s="47"/>
      <x:c r="Q6" s="47"/>
      <x:c r="R6" s="47"/>
      <x:c r="S6" s="47"/>
      <x:c r="T6" s="47"/>
      <x:c r="U6" s="47"/>
      <x:c r="V6" s="47"/>
      <x:c r="W6" s="47"/>
      <x:c r="X6" s="47"/>
      <x:c r="Y6" s="47"/>
      <x:c r="Z6" s="47"/>
    </x:row>
    <x:row r="7">
      <x:c r="A7" s="46" t="str">
        <x:v>F03</x:v>
      </x:c>
      <x:c r="B7" s="46" t="str">
        <x:v>Where is the weakest machine-shift combination?</x:v>
      </x:c>
      <x:c r="C7" s="46" t="str">
        <x:v>Shift C + Dryer 3: 80.47% attainment; 15.38% downtime; 4.51% reject rate; 18/44 records non-'No incident' (40.9%).</x:v>
      </x:c>
      <x:c r="D7" s="46" t="str">
        <x:v>This is the highest-priority interaction cell for diagnostic follow-up in the simulated dataset.</x:v>
      </x:c>
      <x:c r="E7" s="46" t="str">
        <x:v>High within this dataset</x:v>
      </x:c>
      <x:c r="F7" s="46" t="str">
        <x:v>Compare the same machine across A/B/C and the same shift across Dryers 1–4.</x:v>
      </x:c>
      <x:c r="G7" s="46" t="str">
        <x:v>Use a targeted diagnostic rather than a broad plant-wide intervention.</x:v>
      </x:c>
      <x:c r="H7" s="46" t="str">
        <x:v>Cell sizes are modest and the pattern is synthetic.</x:v>
      </x:c>
      <x:c r="I7" s="47"/>
      <x:c r="J7" s="47"/>
      <x:c r="K7" s="47"/>
      <x:c r="L7" s="47"/>
      <x:c r="M7" s="47"/>
      <x:c r="N7" s="47"/>
      <x:c r="O7" s="47"/>
      <x:c r="P7" s="47"/>
      <x:c r="Q7" s="47"/>
      <x:c r="R7" s="47"/>
      <x:c r="S7" s="47"/>
      <x:c r="T7" s="47"/>
      <x:c r="U7" s="47"/>
      <x:c r="V7" s="47"/>
      <x:c r="W7" s="47"/>
      <x:c r="X7" s="47"/>
      <x:c r="Y7" s="47"/>
      <x:c r="Z7" s="47"/>
    </x:row>
    <x:row r="8">
      <x:c r="A8" s="46" t="str">
        <x:v>F04</x:v>
      </x:c>
      <x:c r="B8" s="46" t="str">
        <x:v>Which product has the highest quality loss?</x:v>
      </x:c>
      <x:c r="C8" s="46" t="str">
        <x:v>Dried Mango: 3.99% reject rate; 10,115 kg rejects; 85.05% attainment.</x:v>
      </x:c>
      <x:c r="D8" s="46" t="str">
        <x:v>Dried Mango has the highest simulated reject rate among the three products.</x:v>
      </x:c>
      <x:c r="E8" s="46" t="str">
        <x:v>High within this dataset</x:v>
      </x:c>
      <x:c r="F8" s="46" t="str">
        <x:v>Compare reject rate by product-machine and product-shift; inspect process-parameter fields if available.</x:v>
      </x:c>
      <x:c r="G8" s="46" t="str">
        <x:v>Prioritise product-specific quality review before generalising to all products.</x:v>
      </x:c>
      <x:c r="H8" s="46" t="str">
        <x:v>Process parameters such as moisture, temperature and settings are not included.</x:v>
      </x:c>
      <x:c r="I8" s="47"/>
      <x:c r="J8" s="47"/>
      <x:c r="K8" s="47"/>
      <x:c r="L8" s="47"/>
      <x:c r="M8" s="47"/>
      <x:c r="N8" s="47"/>
      <x:c r="O8" s="47"/>
      <x:c r="P8" s="47"/>
      <x:c r="Q8" s="47"/>
      <x:c r="R8" s="47"/>
      <x:c r="S8" s="47"/>
      <x:c r="T8" s="47"/>
      <x:c r="U8" s="47"/>
      <x:c r="V8" s="47"/>
      <x:c r="W8" s="47"/>
      <x:c r="X8" s="47"/>
      <x:c r="Y8" s="47"/>
      <x:c r="Z8" s="47"/>
    </x:row>
    <x:row r="9">
      <x:c r="A9" s="46" t="str">
        <x:v>F05</x:v>
      </x:c>
      <x:c r="B9" s="46" t="str">
        <x:v>Does downtime appear associated with lower output?</x:v>
      </x:c>
      <x:c r="C9" s="46" t="str">
        <x:v>Record-level Pearson correlation between Downtime_Rate_pct and Production_Attainment_pct ≈ -0.663.</x:v>
      </x:c>
      <x:c r="D9" s="46" t="str">
        <x:v>The simulated data shows a substantial negative association: higher downtime rate tends to coincide with lower attainment.</x:v>
      </x:c>
      <x:c r="E9" s="46" t="str">
        <x:v>Medium-High for association</x:v>
      </x:c>
      <x:c r="F9" s="46" t="str">
        <x:v>Repeat with downtime bands, machine/shift strata and ideally event-level downtime records.</x:v>
      </x:c>
      <x:c r="G9" s="46" t="str">
        <x:v>Downtime reduction is a reasonable investigation priority; causation still needs validation.</x:v>
      </x:c>
      <x:c r="H9" s="46" t="str">
        <x:v>Correlation is not causation and records may contain confounding.</x:v>
      </x:c>
      <x:c r="I9" s="47"/>
      <x:c r="J9" s="47"/>
      <x:c r="K9" s="47"/>
      <x:c r="L9" s="47"/>
      <x:c r="M9" s="47"/>
      <x:c r="N9" s="47"/>
      <x:c r="O9" s="47"/>
      <x:c r="P9" s="47"/>
      <x:c r="Q9" s="47"/>
      <x:c r="R9" s="47"/>
      <x:c r="S9" s="47"/>
      <x:c r="T9" s="47"/>
      <x:c r="U9" s="47"/>
      <x:c r="V9" s="47"/>
      <x:c r="W9" s="47"/>
      <x:c r="X9" s="47"/>
      <x:c r="Y9" s="47"/>
      <x:c r="Z9" s="47"/>
    </x:row>
    <x:row r="10">
      <x:c r="A10" s="46" t="str">
        <x:v>F06</x:v>
      </x:c>
      <x:c r="B10" s="46" t="str">
        <x:v>Is GMP clearly associated with reject rate?</x:v>
      </x:c>
      <x:c r="C10" s="46" t="str">
        <x:v>Pearson correlation between GMP_Score and Reject_Rate_pct ≈ -0.053.</x:v>
      </x:c>
      <x:c r="D10" s="46" t="str">
        <x:v>No meaningful linear association is evident in this synthetic dataset.</x:v>
      </x:c>
      <x:c r="E10" s="46" t="str">
        <x:v>Medium</x:v>
      </x:c>
      <x:c r="F10" s="46" t="str">
        <x:v>Test non-linear/threshold relationships and ensure GMP scoring is consistently applied.</x:v>
      </x:c>
      <x:c r="G10" s="46" t="str">
        <x:v>Do not build a GMP-based causal story from this dataset alone.</x:v>
      </x:c>
      <x:c r="H10" s="46" t="str">
        <x:v>One composite GMP score may mask specific control failures.</x:v>
      </x:c>
      <x:c r="I10" s="47"/>
      <x:c r="J10" s="47"/>
      <x:c r="K10" s="47"/>
      <x:c r="L10" s="47"/>
      <x:c r="M10" s="47"/>
      <x:c r="N10" s="47"/>
      <x:c r="O10" s="47"/>
      <x:c r="P10" s="47"/>
      <x:c r="Q10" s="47"/>
      <x:c r="R10" s="47"/>
      <x:c r="S10" s="47"/>
      <x:c r="T10" s="47"/>
      <x:c r="U10" s="47"/>
      <x:c r="V10" s="47"/>
      <x:c r="W10" s="47"/>
      <x:c r="X10" s="47"/>
      <x:c r="Y10" s="47"/>
      <x:c r="Z10" s="47"/>
    </x:row>
    <x:row r="11">
      <x:c r="A11" s="46" t="str">
        <x:v>F07</x:v>
      </x:c>
      <x:c r="B11" s="46" t="str">
        <x:v>Is PPE compliance clearly associated with safety observations?</x:v>
      </x:c>
      <x:c r="C11" s="46" t="str">
        <x:v>Pearson correlation between PPE_Compliance_pct and Safety_Observations ≈ 0.077.</x:v>
      </x:c>
      <x:c r="D11" s="46" t="str">
        <x:v>The record-level relationship is effectively weak/near-zero in this dataset.</x:v>
      </x:c>
      <x:c r="E11" s="46" t="str">
        <x:v>Medium</x:v>
      </x:c>
      <x:c r="F11" s="46" t="str">
        <x:v>Analyse incident severity, observation definitions and exposure/shift context.</x:v>
      </x:c>
      <x:c r="G11" s="46" t="str">
        <x:v>Do not assume higher/lower PPE scores explain observation counts.</x:v>
      </x:c>
      <x:c r="H11" s="46" t="str">
        <x:v>Observation counts depend on reporting behaviour and exposure.</x:v>
      </x:c>
      <x:c r="I11" s="47"/>
      <x:c r="J11" s="47"/>
      <x:c r="K11" s="47"/>
      <x:c r="L11" s="47"/>
      <x:c r="M11" s="47"/>
      <x:c r="N11" s="47"/>
      <x:c r="O11" s="47"/>
      <x:c r="P11" s="47"/>
      <x:c r="Q11" s="47"/>
      <x:c r="R11" s="47"/>
      <x:c r="S11" s="47"/>
      <x:c r="T11" s="47"/>
      <x:c r="U11" s="47"/>
      <x:c r="V11" s="47"/>
      <x:c r="W11" s="47"/>
      <x:c r="X11" s="47"/>
      <x:c r="Y11" s="47"/>
      <x:c r="Z11" s="47"/>
    </x:row>
    <x:row r="12">
      <x:c r="A12" s="46" t="str">
        <x:v>F08</x:v>
      </x:c>
      <x:c r="B12" s="46" t="str">
        <x:v>Do maintenance categories explain downtime?</x:v>
      </x:c>
      <x:c r="C12" s="46" t="str">
        <x:v>Correlation of Maintenance_Duration_hr with Downtime_Minutes ≈ -0.002; downtime rates are similar across Preventive/Inspection/Corrective (~10.24%–10.45%).</x:v>
      </x:c>
      <x:c r="D12" s="46" t="str">
        <x:v>Maintenance type alone does not distinguish high-downtime records in this simulation.</x:v>
      </x:c>
      <x:c r="E12" s="46" t="str">
        <x:v>Medium</x:v>
      </x:c>
      <x:c r="F12" s="46" t="str">
        <x:v>Add maintenance work-order detail, failure mode, planned/unplanned status and repeat-failure flags.</x:v>
      </x:c>
      <x:c r="G12" s="46" t="str">
        <x:v>Focus on specific failure modes and recurrence rather than maintenance type labels alone.</x:v>
      </x:c>
      <x:c r="H12" s="46" t="str">
        <x:v>Maintenance fields are too coarse for causal diagnosis.</x:v>
      </x:c>
      <x:c r="I12" s="47"/>
      <x:c r="J12" s="47"/>
      <x:c r="K12" s="47"/>
      <x:c r="L12" s="47"/>
      <x:c r="M12" s="47"/>
      <x:c r="N12" s="47"/>
      <x:c r="O12" s="47"/>
      <x:c r="P12" s="47"/>
      <x:c r="Q12" s="47"/>
      <x:c r="R12" s="47"/>
      <x:c r="S12" s="47"/>
      <x:c r="T12" s="47"/>
      <x:c r="U12" s="47"/>
      <x:c r="V12" s="47"/>
      <x:c r="W12" s="47"/>
      <x:c r="X12" s="47"/>
      <x:c r="Y12" s="47"/>
      <x:c r="Z12" s="47"/>
    </x:row>
    <x:row r="13">
      <x:c r="A13" s="46" t="str">
        <x:v>F09</x:v>
      </x:c>
      <x:c r="B13" s="46" t="str">
        <x:v>Where are unresolved corrective-action signals concentrated?</x:v>
      </x:c>
      <x:c r="C13" s="46" t="str">
        <x:v>77 records are marked Open or In progress; Shift C has 36/180 such records (20.0%) versus 12.8% A and 10.0% B.</x:v>
      </x:c>
      <x:c r="D13" s="46" t="str">
        <x:v>Unresolved-action status is disproportionately concentrated in Shift C within this dataset.</x:v>
      </x:c>
      <x:c r="E13" s="46" t="str">
        <x:v>Medium-High</x:v>
      </x:c>
      <x:c r="F13" s="46" t="str">
        <x:v>Link corrective actions to incident type, machine, date and closure duration.</x:v>
      </x:c>
      <x:c r="G13" s="46" t="str">
        <x:v>Review Shift C action backlog and ageing before broad intervention.</x:v>
      </x:c>
      <x:c r="H13" s="46" t="str">
        <x:v>Status is record-level, not a distinct action register with ageing/owners.</x:v>
      </x:c>
      <x:c r="I13" s="47"/>
      <x:c r="J13" s="47"/>
      <x:c r="K13" s="47"/>
      <x:c r="L13" s="47"/>
      <x:c r="M13" s="47"/>
      <x:c r="N13" s="47"/>
      <x:c r="O13" s="47"/>
      <x:c r="P13" s="47"/>
      <x:c r="Q13" s="47"/>
      <x:c r="R13" s="47"/>
      <x:c r="S13" s="47"/>
      <x:c r="T13" s="47"/>
      <x:c r="U13" s="47"/>
      <x:c r="V13" s="47"/>
      <x:c r="W13" s="47"/>
      <x:c r="X13" s="47"/>
      <x:c r="Y13" s="47"/>
      <x:c r="Z13" s="47"/>
    </x:row>
    <x:row r="14">
      <x:c r="A14" s="47"/>
      <x:c r="B14" s="47"/>
      <x:c r="C14" s="47"/>
      <x:c r="D14" s="47"/>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47"/>
      <x:c r="B15" s="47"/>
      <x:c r="C15" s="47"/>
      <x:c r="D15" s="47"/>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47"/>
      <x:c r="B16" s="47"/>
      <x:c r="C16" s="47"/>
      <x:c r="D16" s="47"/>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47"/>
      <x:c r="B17" s="47"/>
      <x:c r="C17" s="47"/>
      <x:c r="D17" s="47"/>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8" hidden="0" customWidth="1"/>
    <x:col min="3" max="3" width="48" hidden="0" customWidth="1"/>
    <x:col min="4" max="4" width="46" hidden="0" customWidth="1"/>
    <x:col min="5" max="5" width="24" hidden="0" customWidth="1"/>
    <x:col min="6" max="6" width="50" hidden="0" customWidth="1"/>
    <x:col min="7" max="7" width="38" hidden="0" customWidth="1"/>
    <x:col min="8" max="8" width="42" hidden="0" customWidth="1"/>
  </x:cols>
  <x:sheetData>
    <x:row r="1">
      <x:c r="A1" s="51" t="str">
        <x:v>PHASE 4 — PRIORITISED MANAGEMENT RECOMMENDATIONS</x:v>
      </x:c>
      <x:c r="B1" s="51"/>
      <x:c r="C1" s="51"/>
      <x:c r="D1" s="51"/>
      <x:c r="E1" s="51"/>
      <x:c r="F1" s="51"/>
      <x:c r="G1" s="51"/>
      <x:c r="H1" s="51"/>
      <x:c r="I1" s="47"/>
      <x:c r="J1" s="47"/>
      <x:c r="K1" s="47"/>
      <x:c r="L1" s="47"/>
      <x:c r="M1" s="47"/>
      <x:c r="N1" s="47"/>
      <x:c r="O1" s="47"/>
      <x:c r="P1" s="47"/>
      <x:c r="Q1" s="47"/>
      <x:c r="R1" s="47"/>
      <x:c r="S1" s="47"/>
      <x:c r="T1" s="47"/>
      <x:c r="U1" s="47"/>
      <x:c r="V1" s="47"/>
      <x:c r="W1" s="47"/>
      <x:c r="X1" s="47"/>
      <x:c r="Y1" s="47"/>
      <x:c r="Z1" s="47"/>
    </x:row>
    <x:row r="2">
      <x:c r="A2" s="37" t="str">
        <x:v>Recommendations are linked directly to synthetic findings. They are proposed investigation/management actions, not claims that a real facility has implemented them.</x:v>
      </x:c>
      <x:c r="B2" s="37"/>
      <x:c r="C2" s="37"/>
      <x:c r="D2" s="37"/>
      <x:c r="E2" s="37"/>
      <x:c r="F2" s="37"/>
      <x:c r="G2" s="37"/>
      <x:c r="H2" s="37"/>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x:c r="A4" s="52" t="str">
        <x:v>Priority</x:v>
      </x:c>
      <x:c r="B4" s="52" t="str">
        <x:v>Finding link</x:v>
      </x:c>
      <x:c r="C4" s="52" t="str">
        <x:v>Recommendation</x:v>
      </x:c>
      <x:c r="D4" s="52" t="str">
        <x:v>Why this is justified</x:v>
      </x:c>
      <x:c r="E4" s="52" t="str">
        <x:v>Suggested owner</x:v>
      </x:c>
      <x:c r="F4" s="52" t="str">
        <x:v>Suggested first action</x:v>
      </x:c>
      <x:c r="G4" s="52" t="str">
        <x:v>Measure of progress</x:v>
      </x:c>
      <x:c r="H4" s="52" t="str">
        <x:v>Caution</x:v>
      </x:c>
      <x:c r="I4" s="47"/>
      <x:c r="J4" s="47"/>
      <x:c r="K4" s="47"/>
      <x:c r="L4" s="47"/>
      <x:c r="M4" s="47"/>
      <x:c r="N4" s="47"/>
      <x:c r="O4" s="47"/>
      <x:c r="P4" s="47"/>
      <x:c r="Q4" s="47"/>
      <x:c r="R4" s="47"/>
      <x:c r="S4" s="47"/>
      <x:c r="T4" s="47"/>
      <x:c r="U4" s="47"/>
      <x:c r="V4" s="47"/>
      <x:c r="W4" s="47"/>
      <x:c r="X4" s="47"/>
      <x:c r="Y4" s="47"/>
      <x:c r="Z4" s="47"/>
    </x:row>
    <x:row r="5">
      <x:c r="A5" s="46" t="str">
        <x:v>P1</x:v>
      </x:c>
      <x:c r="B5" s="46" t="str">
        <x:v>F01 + F03</x:v>
      </x:c>
      <x:c r="C5" s="46" t="str">
        <x:v>Run a focused Dryer 3 loss-tree review, with special attention to Shift C.</x:v>
      </x:c>
      <x:c r="D5" s="46" t="str">
        <x:v>Dryer 3 has the highest downtime; Shift C + Dryer 3 is the weakest interaction cell.</x:v>
      </x:c>
      <x:c r="E5" s="46" t="str">
        <x:v>Maintenance + Production</x:v>
      </x:c>
      <x:c r="F5" s="46" t="str">
        <x:v>Pull downtime reason codes and recurring-stop history for Dryer 3; stratify by shift/product.</x:v>
      </x:c>
      <x:c r="G5" s="46" t="str">
        <x:v>Downtime rate and repeat-stop frequency decline in subsequent validated data.</x:v>
      </x:c>
      <x:c r="H5" s="46" t="str">
        <x:v>This is a diagnostic priority, not proof of mechanical causation.</x:v>
      </x:c>
      <x:c r="I5" s="47"/>
      <x:c r="J5" s="47"/>
      <x:c r="K5" s="47"/>
      <x:c r="L5" s="47"/>
      <x:c r="M5" s="47"/>
      <x:c r="N5" s="47"/>
      <x:c r="O5" s="47"/>
      <x:c r="P5" s="47"/>
      <x:c r="Q5" s="47"/>
      <x:c r="R5" s="47"/>
      <x:c r="S5" s="47"/>
      <x:c r="T5" s="47"/>
      <x:c r="U5" s="47"/>
      <x:c r="V5" s="47"/>
      <x:c r="W5" s="47"/>
      <x:c r="X5" s="47"/>
      <x:c r="Y5" s="47"/>
      <x:c r="Z5" s="47"/>
    </x:row>
    <x:row r="6">
      <x:c r="A6" s="46" t="str">
        <x:v>P2</x:v>
      </x:c>
      <x:c r="B6" s="46" t="str">
        <x:v>F02 + F09</x:v>
      </x:c>
      <x:c r="C6" s="46" t="str">
        <x:v>Conduct a Shift C operational/HSE review covering handover, staffing, escalation and open/in-progress actions.</x:v>
      </x:c>
      <x:c r="D6" s="46" t="str">
        <x:v>Shift C has the lowest attainment, highest downtime rate, lowest PPE compliance and highest active-status concentration.</x:v>
      </x:c>
      <x:c r="E6" s="46" t="str">
        <x:v>Production + HSE</x:v>
      </x:c>
      <x:c r="F6" s="46" t="str">
        <x:v>Review recent handover records, action backlog and incident/observation context for Shift C.</x:v>
      </x:c>
      <x:c r="G6" s="46" t="str">
        <x:v>Shift C attainment, downtime and action backlog improve in validated data.</x:v>
      </x:c>
      <x:c r="H6" s="46" t="str">
        <x:v>Do not attribute the gap to personnel performance without contextual evidence.</x:v>
      </x:c>
      <x:c r="I6" s="47"/>
      <x:c r="J6" s="47"/>
      <x:c r="K6" s="47"/>
      <x:c r="L6" s="47"/>
      <x:c r="M6" s="47"/>
      <x:c r="N6" s="47"/>
      <x:c r="O6" s="47"/>
      <x:c r="P6" s="47"/>
      <x:c r="Q6" s="47"/>
      <x:c r="R6" s="47"/>
      <x:c r="S6" s="47"/>
      <x:c r="T6" s="47"/>
      <x:c r="U6" s="47"/>
      <x:c r="V6" s="47"/>
      <x:c r="W6" s="47"/>
      <x:c r="X6" s="47"/>
      <x:c r="Y6" s="47"/>
      <x:c r="Z6" s="47"/>
    </x:row>
    <x:row r="7">
      <x:c r="A7" s="46" t="str">
        <x:v>P3</x:v>
      </x:c>
      <x:c r="B7" s="46" t="str">
        <x:v>F04</x:v>
      </x:c>
      <x:c r="C7" s="46" t="str">
        <x:v>Perform a Dried Mango quality-loss drill-down by machine, shift and process stage.</x:v>
      </x:c>
      <x:c r="D7" s="46" t="str">
        <x:v>Dried Mango has the highest reject rate (3.99%).</x:v>
      </x:c>
      <x:c r="E7" s="46" t="str">
        <x:v>Quality + Production</x:v>
      </x:c>
      <x:c r="F7" s="46" t="str">
        <x:v>Create a product × machine × shift reject matrix and identify repeat high-loss combinations.</x:v>
      </x:c>
      <x:c r="G7" s="46" t="str">
        <x:v>Reject rate and reject kg/production batch decrease in validated data.</x:v>
      </x:c>
      <x:c r="H7" s="46" t="str">
        <x:v>Process parameters needed to identify root cause are absent from this dataset.</x:v>
      </x:c>
      <x:c r="I7" s="47"/>
      <x:c r="J7" s="47"/>
      <x:c r="K7" s="47"/>
      <x:c r="L7" s="47"/>
      <x:c r="M7" s="47"/>
      <x:c r="N7" s="47"/>
      <x:c r="O7" s="47"/>
      <x:c r="P7" s="47"/>
      <x:c r="Q7" s="47"/>
      <x:c r="R7" s="47"/>
      <x:c r="S7" s="47"/>
      <x:c r="T7" s="47"/>
      <x:c r="U7" s="47"/>
      <x:c r="V7" s="47"/>
      <x:c r="W7" s="47"/>
      <x:c r="X7" s="47"/>
      <x:c r="Y7" s="47"/>
      <x:c r="Z7" s="47"/>
    </x:row>
    <x:row r="8">
      <x:c r="A8" s="46" t="str">
        <x:v>P4</x:v>
      </x:c>
      <x:c r="B8" s="46" t="str">
        <x:v>F05</x:v>
      </x:c>
      <x:c r="C8" s="46" t="str">
        <x:v>Introduce a structured downtime taxonomy and event-level loss capture.</x:v>
      </x:c>
      <x:c r="D8" s="46" t="str">
        <x:v>The negative association between downtime and attainment supports investigation, but not causal proof.</x:v>
      </x:c>
      <x:c r="E8" s="46" t="str">
        <x:v>Production + Maintenance</x:v>
      </x:c>
      <x:c r="F8" s="46" t="str">
        <x:v>Standardise downtime reason codes (mechanical, electrical, changeover, material, quality, other) and capture event duration.</x:v>
      </x:c>
      <x:c r="G8" s="46" t="str">
        <x:v>Share of downtime with coded root reason and reduction in major loss categories.</x:v>
      </x:c>
      <x:c r="H8" s="46" t="str">
        <x:v>Use association language until a stronger causal design exists.</x:v>
      </x:c>
      <x:c r="I8" s="47"/>
      <x:c r="J8" s="47"/>
      <x:c r="K8" s="47"/>
      <x:c r="L8" s="47"/>
      <x:c r="M8" s="47"/>
      <x:c r="N8" s="47"/>
      <x:c r="O8" s="47"/>
      <x:c r="P8" s="47"/>
      <x:c r="Q8" s="47"/>
      <x:c r="R8" s="47"/>
      <x:c r="S8" s="47"/>
      <x:c r="T8" s="47"/>
      <x:c r="U8" s="47"/>
      <x:c r="V8" s="47"/>
      <x:c r="W8" s="47"/>
      <x:c r="X8" s="47"/>
      <x:c r="Y8" s="47"/>
      <x:c r="Z8" s="47"/>
    </x:row>
    <x:row r="9">
      <x:c r="A9" s="46" t="str">
        <x:v>P5</x:v>
      </x:c>
      <x:c r="B9" s="46" t="str">
        <x:v>F06 + F07</x:v>
      </x:c>
      <x:c r="C9" s="46" t="str">
        <x:v>Avoid broad KPI-to-outcome conclusions from single composite scores; improve measurement granularity.</x:v>
      </x:c>
      <x:c r="D9" s="46" t="str">
        <x:v>GMP-reject and PPE-safety-observation relationships are weak in this simulation.</x:v>
      </x:c>
      <x:c r="E9" s="46" t="str">
        <x:v>Quality + HSE</x:v>
      </x:c>
      <x:c r="F9" s="46" t="str">
        <x:v>Split composite scores into auditable sub-controls and standardise observation definitions.</x:v>
      </x:c>
      <x:c r="G9" s="46" t="str">
        <x:v>Higher completeness/consistency of underlying control data.</x:v>
      </x:c>
      <x:c r="H9" s="46" t="str">
        <x:v>Weak correlation may reflect measurement design, exposure or confounding.</x:v>
      </x:c>
      <x:c r="I9" s="47"/>
      <x:c r="J9" s="47"/>
      <x:c r="K9" s="47"/>
      <x:c r="L9" s="47"/>
      <x:c r="M9" s="47"/>
      <x:c r="N9" s="47"/>
      <x:c r="O9" s="47"/>
      <x:c r="P9" s="47"/>
      <x:c r="Q9" s="47"/>
      <x:c r="R9" s="47"/>
      <x:c r="S9" s="47"/>
      <x:c r="T9" s="47"/>
      <x:c r="U9" s="47"/>
      <x:c r="V9" s="47"/>
      <x:c r="W9" s="47"/>
      <x:c r="X9" s="47"/>
      <x:c r="Y9" s="47"/>
      <x:c r="Z9" s="47"/>
    </x:row>
    <x:row r="10">
      <x:c r="A10" s="46" t="str">
        <x:v>P6</x:v>
      </x:c>
      <x:c r="B10" s="46" t="str">
        <x:v>F08</x:v>
      </x:c>
      <x:c r="C10" s="46" t="str">
        <x:v>Move from maintenance-category reporting to failure-mode and recurrence analytics.</x:v>
      </x:c>
      <x:c r="D10" s="46" t="str">
        <x:v>Maintenance type and duration show little record-level association with downtime.</x:v>
      </x:c>
      <x:c r="E10" s="46" t="str">
        <x:v>Maintenance</x:v>
      </x:c>
      <x:c r="F10" s="46" t="str">
        <x:v>Track failure mode, planned/unplanned status, repeat occurrence and mean time between failures where available.</x:v>
      </x:c>
      <x:c r="G10" s="46" t="str">
        <x:v>Repeat-failure rate and unplanned downtime trend.</x:v>
      </x:c>
      <x:c r="H10" s="46" t="str">
        <x:v>The current synthetic maintenance fields are too coarse for root-cause decisions.</x:v>
      </x:c>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47"/>
      <x:c r="B13" s="47"/>
      <x:c r="C13" s="47"/>
      <x:c r="D13" s="47"/>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47"/>
      <x:c r="B14" s="47"/>
      <x:c r="C14" s="47"/>
      <x:c r="D14" s="47"/>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47"/>
      <x:c r="B15" s="47"/>
      <x:c r="C15" s="47"/>
      <x:c r="D15" s="47"/>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47"/>
      <x:c r="B16" s="47"/>
      <x:c r="C16" s="47"/>
      <x:c r="D16" s="47"/>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47"/>
      <x:c r="B17" s="47"/>
      <x:c r="C17" s="47"/>
      <x:c r="D17" s="47"/>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30" hidden="0" customWidth="1"/>
    <x:col min="3" max="3" width="90" hidden="0" customWidth="1"/>
    <x:col min="4" max="4" width="42" hidden="0" customWidth="1"/>
  </x:cols>
  <x:sheetData>
    <x:row r="1">
      <x:c r="A1" s="51" t="str">
        <x:v>PHASE 4 — SQL ANALYSIS QUERY PACK</x:v>
      </x:c>
      <x:c r="B1" s="51"/>
      <x:c r="C1" s="51"/>
      <x:c r="D1" s="51"/>
      <x:c r="E1" s="47"/>
      <x:c r="F1" s="47"/>
      <x:c r="G1" s="47"/>
      <x:c r="H1" s="47"/>
      <x:c r="I1" s="47"/>
      <x:c r="J1" s="47"/>
      <x:c r="K1" s="47"/>
      <x:c r="L1" s="47"/>
      <x:c r="M1" s="47"/>
      <x:c r="N1" s="47"/>
      <x:c r="O1" s="47"/>
      <x:c r="P1" s="47"/>
      <x:c r="Q1" s="47"/>
      <x:c r="R1" s="47"/>
      <x:c r="S1" s="47"/>
      <x:c r="T1" s="47"/>
      <x:c r="U1" s="47"/>
      <x:c r="V1" s="47"/>
      <x:c r="W1" s="47"/>
      <x:c r="X1" s="47"/>
      <x:c r="Y1" s="47"/>
      <x:c r="Z1" s="47"/>
    </x:row>
    <x:row r="2">
      <x:c r="A2" s="37" t="str">
        <x:v>DuckDB/SQLite-compatible logic. Assumes the imported table is named analysis_calc and retains the workbook column names.</x:v>
      </x:c>
      <x:c r="B2" s="37"/>
      <x:c r="C2" s="37"/>
      <x:c r="D2" s="37"/>
      <x:c r="E2" s="47"/>
      <x:c r="F2" s="47"/>
      <x:c r="G2" s="47"/>
      <x:c r="H2" s="47"/>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x:c r="A4" s="52" t="str">
        <x:v>Query ID</x:v>
      </x:c>
      <x:c r="B4" s="52" t="str">
        <x:v>Business purpose</x:v>
      </x:c>
      <x:c r="C4" s="52" t="str">
        <x:v>SQL</x:v>
      </x:c>
      <x:c r="D4" s="52" t="str">
        <x:v>Expected portfolio use</x:v>
      </x:c>
      <x:c r="E4" s="47"/>
      <x:c r="F4" s="47"/>
      <x:c r="G4" s="47"/>
      <x:c r="H4" s="47"/>
      <x:c r="I4" s="47"/>
      <x:c r="J4" s="47"/>
      <x:c r="K4" s="47"/>
      <x:c r="L4" s="47"/>
      <x:c r="M4" s="47"/>
      <x:c r="N4" s="47"/>
      <x:c r="O4" s="47"/>
      <x:c r="P4" s="47"/>
      <x:c r="Q4" s="47"/>
      <x:c r="R4" s="47"/>
      <x:c r="S4" s="47"/>
      <x:c r="T4" s="47"/>
      <x:c r="U4" s="47"/>
      <x:c r="V4" s="47"/>
      <x:c r="W4" s="47"/>
      <x:c r="X4" s="47"/>
      <x:c r="Y4" s="47"/>
      <x:c r="Z4" s="47"/>
    </x:row>
    <x:row r="5">
      <x:c r="A5" s="46" t="str">
        <x:v>Q01</x:v>
      </x:c>
      <x:c r="B5" s="46" t="str">
        <x:v>Machine downtime hotspot</x:v>
      </x:c>
      <x:c r="C5" s="46" t="str">
        <x:v>SELECT Machine,
       COUNT(*) AS records,
       SUM(Downtime_Minutes) AS total_downtime_min,
       SUM(Downtime_Minutes) / NULLIF(SUM(Scheduled_Minutes),0) * 100 AS downtime_rate_pct,
       SUM(Actual_Output_kg) / NULLIF(SUM(Target_Output_kg),0) * 100 AS attainment_pct
FROM analysis_calc
GROUP BY Machine
ORDER BY total_downtime_min DESC;</x:v>
      </x:c>
      <x:c r="D5" s="46" t="str">
        <x:v>Supports F01.</x:v>
      </x:c>
      <x:c r="E5" s="47"/>
      <x:c r="F5" s="47"/>
      <x:c r="G5" s="47"/>
      <x:c r="H5" s="47"/>
      <x:c r="I5" s="47"/>
      <x:c r="J5" s="47"/>
      <x:c r="K5" s="47"/>
      <x:c r="L5" s="47"/>
      <x:c r="M5" s="47"/>
      <x:c r="N5" s="47"/>
      <x:c r="O5" s="47"/>
      <x:c r="P5" s="47"/>
      <x:c r="Q5" s="47"/>
      <x:c r="R5" s="47"/>
      <x:c r="S5" s="47"/>
      <x:c r="T5" s="47"/>
      <x:c r="U5" s="47"/>
      <x:c r="V5" s="47"/>
      <x:c r="W5" s="47"/>
      <x:c r="X5" s="47"/>
      <x:c r="Y5" s="47"/>
      <x:c r="Z5" s="47"/>
    </x:row>
    <x:row r="6">
      <x:c r="A6" s="46" t="str">
        <x:v>Q02</x:v>
      </x:c>
      <x:c r="B6" s="46" t="str">
        <x:v>Product reject-rate ranking</x:v>
      </x:c>
      <x:c r="C6" s="46" t="str">
        <x:v>SELECT Product,
       COUNT(*) AS records,
       SUM(Rejects_kg) AS rejects_kg,
       SUM(Rejects_kg) / NULLIF(SUM(Actual_Output_kg),0) * 100 AS reject_rate_pct,
       SUM(Actual_Output_kg) / NULLIF(SUM(Target_Output_kg),0) * 100 AS attainment_pct
FROM analysis_calc
GROUP BY Product
ORDER BY reject_rate_pct DESC;</x:v>
      </x:c>
      <x:c r="D6" s="46" t="str">
        <x:v>Supports F04.</x:v>
      </x:c>
      <x:c r="E6" s="47"/>
      <x:c r="F6" s="47"/>
      <x:c r="G6" s="47"/>
      <x:c r="H6" s="47"/>
      <x:c r="I6" s="47"/>
      <x:c r="J6" s="47"/>
      <x:c r="K6" s="47"/>
      <x:c r="L6" s="47"/>
      <x:c r="M6" s="47"/>
      <x:c r="N6" s="47"/>
      <x:c r="O6" s="47"/>
      <x:c r="P6" s="47"/>
      <x:c r="Q6" s="47"/>
      <x:c r="R6" s="47"/>
      <x:c r="S6" s="47"/>
      <x:c r="T6" s="47"/>
      <x:c r="U6" s="47"/>
      <x:c r="V6" s="47"/>
      <x:c r="W6" s="47"/>
      <x:c r="X6" s="47"/>
      <x:c r="Y6" s="47"/>
      <x:c r="Z6" s="47"/>
    </x:row>
    <x:row r="7">
      <x:c r="A7" s="46" t="str">
        <x:v>Q03</x:v>
      </x:c>
      <x:c r="B7" s="46" t="str">
        <x:v>Shift attainment + HSE read-out</x:v>
      </x:c>
      <x:c r="C7" s="46" t="str">
        <x:v>SELECT Shift,
       COUNT(*) AS records,
       SUM(Actual_Output_kg) / NULLIF(SUM(Target_Output_kg),0) * 100 AS attainment_pct,
       SUM(Downtime_Minutes) / NULLIF(SUM(Scheduled_Minutes),0) * 100 AS downtime_rate_pct,
       AVG(PPE_Compliance_pct) AS avg_ppe_pct,
       SUM(Safety_Observations) AS safety_observations
FROM analysis_calc
GROUP BY Shift
ORDER BY attainment_pct ASC;</x:v>
      </x:c>
      <x:c r="D7" s="46" t="str">
        <x:v>Supports F02.</x:v>
      </x:c>
      <x:c r="E7" s="47"/>
      <x:c r="F7" s="47"/>
      <x:c r="G7" s="47"/>
      <x:c r="H7" s="47"/>
      <x:c r="I7" s="47"/>
      <x:c r="J7" s="47"/>
      <x:c r="K7" s="47"/>
      <x:c r="L7" s="47"/>
      <x:c r="M7" s="47"/>
      <x:c r="N7" s="47"/>
      <x:c r="O7" s="47"/>
      <x:c r="P7" s="47"/>
      <x:c r="Q7" s="47"/>
      <x:c r="R7" s="47"/>
      <x:c r="S7" s="47"/>
      <x:c r="T7" s="47"/>
      <x:c r="U7" s="47"/>
      <x:c r="V7" s="47"/>
      <x:c r="W7" s="47"/>
      <x:c r="X7" s="47"/>
      <x:c r="Y7" s="47"/>
      <x:c r="Z7" s="47"/>
    </x:row>
    <x:row r="8">
      <x:c r="A8" s="46" t="str">
        <x:v>Q04</x:v>
      </x:c>
      <x:c r="B8" s="46" t="str">
        <x:v>Shift × machine weak-cell analysis</x:v>
      </x:c>
      <x:c r="C8" s="46" t="str">
        <x:v>SELECT Shift, Machine,
       COUNT(*) AS records,
       SUM(Actual_Output_kg) / NULLIF(SUM(Target_Output_kg),0) * 100 AS attainment_pct,
       SUM(Downtime_Minutes) / NULLIF(SUM(Scheduled_Minutes),0) * 100 AS downtime_rate_pct,
       SUM(Rejects_kg) / NULLIF(SUM(Actual_Output_kg),0) * 100 AS reject_rate_pct,
       SUM(CASE WHEN Incident_Type &lt;&gt; 'No incident' THEN 1 ELSE 0 END) AS non_no_incident_records
FROM analysis_calc
GROUP BY Shift, Machine
ORDER BY attainment_pct ASC;</x:v>
      </x:c>
      <x:c r="D8" s="46" t="str">
        <x:v>Supports F03.</x:v>
      </x:c>
      <x:c r="E8" s="47"/>
      <x:c r="F8" s="47"/>
      <x:c r="G8" s="47"/>
      <x:c r="H8" s="47"/>
      <x:c r="I8" s="47"/>
      <x:c r="J8" s="47"/>
      <x:c r="K8" s="47"/>
      <x:c r="L8" s="47"/>
      <x:c r="M8" s="47"/>
      <x:c r="N8" s="47"/>
      <x:c r="O8" s="47"/>
      <x:c r="P8" s="47"/>
      <x:c r="Q8" s="47"/>
      <x:c r="R8" s="47"/>
      <x:c r="S8" s="47"/>
      <x:c r="T8" s="47"/>
      <x:c r="U8" s="47"/>
      <x:c r="V8" s="47"/>
      <x:c r="W8" s="47"/>
      <x:c r="X8" s="47"/>
      <x:c r="Y8" s="47"/>
      <x:c r="Z8" s="47"/>
    </x:row>
    <x:row r="9">
      <x:c r="A9" s="46" t="str">
        <x:v>Q05</x:v>
      </x:c>
      <x:c r="B9" s="46" t="str">
        <x:v>Downtime vs attainment association</x:v>
      </x:c>
      <x:c r="C9" s="46" t="str">
        <x:v>SELECT
  corr(Downtime_Rate_pct, Production_Attainment_pct) AS pearson_r
FROM analysis_calc;</x:v>
      </x:c>
      <x:c r="D9" s="46" t="str">
        <x:v>Supports F05; DuckDB supports CORR. Use Python/Sheets equivalent if needed.</x:v>
      </x:c>
      <x:c r="E9" s="47"/>
      <x:c r="F9" s="47"/>
      <x:c r="G9" s="47"/>
      <x:c r="H9" s="47"/>
      <x:c r="I9" s="47"/>
      <x:c r="J9" s="47"/>
      <x:c r="K9" s="47"/>
      <x:c r="L9" s="47"/>
      <x:c r="M9" s="47"/>
      <x:c r="N9" s="47"/>
      <x:c r="O9" s="47"/>
      <x:c r="P9" s="47"/>
      <x:c r="Q9" s="47"/>
      <x:c r="R9" s="47"/>
      <x:c r="S9" s="47"/>
      <x:c r="T9" s="47"/>
      <x:c r="U9" s="47"/>
      <x:c r="V9" s="47"/>
      <x:c r="W9" s="47"/>
      <x:c r="X9" s="47"/>
      <x:c r="Y9" s="47"/>
      <x:c r="Z9" s="47"/>
    </x:row>
    <x:row r="10">
      <x:c r="A10" s="46" t="str">
        <x:v>Q06</x:v>
      </x:c>
      <x:c r="B10" s="46" t="str">
        <x:v>GMP vs reject-rate association</x:v>
      </x:c>
      <x:c r="C10" s="46" t="str">
        <x:v>SELECT corr(GMP_Score, Reject_Rate_pct) AS pearson_r
FROM analysis_calc;</x:v>
      </x:c>
      <x:c r="D10" s="46" t="str">
        <x:v>Supports F06.</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46" t="str">
        <x:v>Q07</x:v>
      </x:c>
      <x:c r="B11" s="46" t="str">
        <x:v>PPE vs safety-observation association</x:v>
      </x:c>
      <x:c r="C11" s="46" t="str">
        <x:v>SELECT corr(PPE_Compliance_pct, Safety_Observations) AS pearson_r
FROM analysis_calc;</x:v>
      </x:c>
      <x:c r="D11" s="46" t="str">
        <x:v>Supports F07.</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6" t="str">
        <x:v>Q08</x:v>
      </x:c>
      <x:c r="B12" s="46" t="str">
        <x:v>Maintenance duration vs downtime association</x:v>
      </x:c>
      <x:c r="C12" s="46" t="str">
        <x:v>SELECT corr(Maintenance_Duration_hr, Downtime_Minutes) AS pearson_r
FROM analysis_calc;</x:v>
      </x:c>
      <x:c r="D12" s="46" t="str">
        <x:v>Supports F08.</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46" t="str">
        <x:v>Q09</x:v>
      </x:c>
      <x:c r="B13" s="46" t="str">
        <x:v>Maintenance-type downtime comparison</x:v>
      </x:c>
      <x:c r="C13" s="46" t="str">
        <x:v>SELECT Maintenance_Type,
       COUNT(*) AS records,
       SUM(Downtime_Minutes) AS total_downtime_min,
       SUM(Downtime_Minutes) / NULLIF(SUM(Scheduled_Minutes),0) * 100 AS downtime_rate_pct,
       AVG(Maintenance_Duration_hr) AS avg_maintenance_duration_hr
FROM analysis_calc
GROUP BY Maintenance_Type
ORDER BY downtime_rate_pct DESC;</x:v>
      </x:c>
      <x:c r="D13" s="46" t="str">
        <x:v>Supports F08.</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46" t="str">
        <x:v>Q10</x:v>
      </x:c>
      <x:c r="B14" s="46" t="str">
        <x:v>Corrective-action concentration</x:v>
      </x:c>
      <x:c r="C14" s="46" t="str">
        <x:v>SELECT Shift,
       SUM(CASE WHEN Corrective_Action_Status IN ('Open','In progress') THEN 1 ELSE 0 END) AS active_status_records,
       COUNT(*) AS records,
       SUM(CASE WHEN Corrective_Action_Status IN ('Open','In progress') THEN 1 ELSE 0 END)
         / CAST(COUNT(*) AS DOUBLE) * 100 AS active_status_pct
FROM analysis_calc
GROUP BY Shift
ORDER BY active_status_pct DESC;</x:v>
      </x:c>
      <x:c r="D14" s="46" t="str">
        <x:v>Supports F09.</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46" t="str">
        <x:v>Q11</x:v>
      </x:c>
      <x:c r="B15" s="46" t="str">
        <x:v>Monthly operating trend</x:v>
      </x:c>
      <x:c r="C15" s="46" t="str">
        <x:v>SELECT strftime('%Y-%m', CAST(Date AS DATE)) AS month,
       SUM(Target_Output_kg) AS target_kg,
       SUM(Actual_Output_kg) AS actual_kg,
       SUM(Actual_Output_kg) / NULLIF(SUM(Target_Output_kg),0) * 100 AS attainment_pct,
       SUM(Downtime_Minutes) / NULLIF(SUM(Scheduled_Minutes),0) * 100 AS downtime_rate_pct,
       SUM(Rejects_kg) / NULLIF(SUM(Actual_Output_kg),0) * 100 AS reject_rate_pct
FROM analysis_calc
GROUP BY month
ORDER BY month;</x:v>
      </x:c>
      <x:c r="D15" s="46" t="str">
        <x:v>Use for Phase 5 trend analysis and dashboard.</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47"/>
      <x:c r="B16" s="47"/>
      <x:c r="C16" s="47"/>
      <x:c r="D16" s="47"/>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47"/>
      <x:c r="B17" s="47"/>
      <x:c r="C17" s="47"/>
      <x:c r="D17" s="47"/>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4" hidden="0" customWidth="1"/>
    <x:col min="3" max="3" width="10" hidden="0" customWidth="1"/>
    <x:col min="4" max="4" width="15" hidden="0" customWidth="1"/>
    <x:col min="5" max="5" width="18" hidden="0" customWidth="1"/>
    <x:col min="6" max="6" width="15" hidden="0" customWidth="1"/>
    <x:col min="7" max="7" width="13" hidden="0" customWidth="1"/>
    <x:col min="8" max="8" width="12" hidden="0" customWidth="1"/>
    <x:col min="9" max="9" width="13" hidden="0" customWidth="1"/>
    <x:col min="10" max="10" width="20" hidden="0" customWidth="1"/>
  </x:cols>
  <x:sheetData>
    <x:row r="1">
      <x:c r="A1" s="51" t="str">
        <x:v>PHASE 4 — SHIFT × MACHINE INTERACTION ANALYSIS</x:v>
      </x:c>
      <x:c r="B1" s="51"/>
      <x:c r="C1" s="51"/>
      <x:c r="D1" s="51"/>
      <x:c r="E1" s="51"/>
      <x:c r="F1" s="51"/>
      <x:c r="G1" s="51"/>
      <x:c r="H1" s="51"/>
      <x:c r="I1" s="51"/>
      <x:c r="J1" s="51"/>
      <x:c r="K1" s="47"/>
      <x:c r="L1" s="47"/>
      <x:c r="M1" s="47"/>
      <x:c r="N1" s="47"/>
      <x:c r="O1" s="47"/>
      <x:c r="P1" s="47"/>
      <x:c r="Q1" s="47"/>
      <x:c r="R1" s="47"/>
      <x:c r="S1" s="47"/>
      <x:c r="T1" s="47"/>
      <x:c r="U1" s="47"/>
      <x:c r="V1" s="47"/>
      <x:c r="W1" s="47"/>
      <x:c r="X1" s="47"/>
      <x:c r="Y1" s="47"/>
      <x:c r="Z1" s="47"/>
    </x:row>
    <x:row r="2">
      <x:c r="A2" s="37" t="str">
        <x:v>Weighted attainment, aggregated downtime rate and reject rate by interaction cell. Sorted by attainment ascending.</x:v>
      </x:c>
      <x:c r="B2" s="37"/>
      <x:c r="C2" s="37"/>
      <x:c r="D2" s="37"/>
      <x:c r="E2" s="37"/>
      <x:c r="F2" s="37"/>
      <x:c r="G2" s="37"/>
      <x:c r="H2" s="37"/>
      <x:c r="I2" s="37"/>
      <x:c r="J2" s="3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x:c r="A4" s="52" t="str">
        <x:v>Shift</x:v>
      </x:c>
      <x:c r="B4" s="52" t="str">
        <x:v>Machine</x:v>
      </x:c>
      <x:c r="C4" s="52" t="str">
        <x:v>Records</x:v>
      </x:c>
      <x:c r="D4" s="52" t="str">
        <x:v>Attainment %</x:v>
      </x:c>
      <x:c r="E4" s="52" t="str">
        <x:v>Downtime Rate %</x:v>
      </x:c>
      <x:c r="F4" s="52" t="str">
        <x:v>Reject Rate %</x:v>
      </x:c>
      <x:c r="G4" s="52" t="str">
        <x:v>Avg PPE %</x:v>
      </x:c>
      <x:c r="H4" s="52" t="str">
        <x:v>Avg GMP</x:v>
      </x:c>
      <x:c r="I4" s="52" t="str">
        <x:v>Safety Obs.</x:v>
      </x:c>
      <x:c r="J4" s="52" t="str">
        <x:v>Non-'No incident'</x:v>
      </x:c>
      <x:c r="K4" s="47"/>
      <x:c r="L4" s="47"/>
      <x:c r="M4" s="47"/>
      <x:c r="N4" s="47"/>
      <x:c r="O4" s="47"/>
      <x:c r="P4" s="47"/>
      <x:c r="Q4" s="47"/>
      <x:c r="R4" s="47"/>
      <x:c r="S4" s="47"/>
      <x:c r="T4" s="47"/>
      <x:c r="U4" s="47"/>
      <x:c r="V4" s="47"/>
      <x:c r="W4" s="47"/>
      <x:c r="X4" s="47"/>
      <x:c r="Y4" s="47"/>
      <x:c r="Z4" s="47"/>
    </x:row>
    <x:row r="5">
      <x:c r="A5" s="46" t="str">
        <x:v>C</x:v>
      </x:c>
      <x:c r="B5" s="46" t="str">
        <x:v>Dryer 3</x:v>
      </x:c>
      <x:c r="C5" s="46" t="n">
        <x:v>44</x:v>
      </x:c>
      <x:c r="D5" s="50" t="n">
        <x:v>80.47355251167971</x:v>
      </x:c>
      <x:c r="E5" s="50" t="n">
        <x:v>15.384223918575064</x:v>
      </x:c>
      <x:c r="F5" s="50" t="n">
        <x:v>4.514981037798587</x:v>
      </x:c>
      <x:c r="G5" s="50" t="n">
        <x:v>88.18636363636364</x:v>
      </x:c>
      <x:c r="H5" s="50" t="n">
        <x:v>73.56590909090909</x:v>
      </x:c>
      <x:c r="I5" s="50" t="n">
        <x:v>125</x:v>
      </x:c>
      <x:c r="J5" s="46" t="n">
        <x:v>18</x:v>
      </x:c>
      <x:c r="K5" s="47"/>
      <x:c r="L5" s="47"/>
      <x:c r="M5" s="47"/>
      <x:c r="N5" s="47"/>
      <x:c r="O5" s="47"/>
      <x:c r="P5" s="47"/>
      <x:c r="Q5" s="47"/>
      <x:c r="R5" s="47"/>
      <x:c r="S5" s="47"/>
      <x:c r="T5" s="47"/>
      <x:c r="U5" s="47"/>
      <x:c r="V5" s="47"/>
      <x:c r="W5" s="47"/>
      <x:c r="X5" s="47"/>
      <x:c r="Y5" s="47"/>
      <x:c r="Z5" s="47"/>
    </x:row>
    <x:row r="6">
      <x:c r="A6" s="46" t="str">
        <x:v>A</x:v>
      </x:c>
      <x:c r="B6" s="46" t="str">
        <x:v>Dryer 3</x:v>
      </x:c>
      <x:c r="C6" s="46" t="n">
        <x:v>47</x:v>
      </x:c>
      <x:c r="D6" s="50" t="n">
        <x:v>82.2611228668004</x:v>
      </x:c>
      <x:c r="E6" s="50" t="n">
        <x:v>12.876190476190477</x:v>
      </x:c>
      <x:c r="F6" s="50" t="n">
        <x:v>4.611812654506582</x:v>
      </x:c>
      <x:c r="G6" s="50" t="n">
        <x:v>91.54255319148936</x:v>
      </x:c>
      <x:c r="H6" s="50" t="n">
        <x:v>72.24468085106383</x:v>
      </x:c>
      <x:c r="I6" s="50" t="n">
        <x:v>133</x:v>
      </x:c>
      <x:c r="J6" s="46" t="n">
        <x:v>11</x:v>
      </x:c>
      <x:c r="K6" s="47"/>
      <x:c r="L6" s="47"/>
      <x:c r="M6" s="47"/>
      <x:c r="N6" s="47"/>
      <x:c r="O6" s="47"/>
      <x:c r="P6" s="47"/>
      <x:c r="Q6" s="47"/>
      <x:c r="R6" s="47"/>
      <x:c r="S6" s="47"/>
      <x:c r="T6" s="47"/>
      <x:c r="U6" s="47"/>
      <x:c r="V6" s="47"/>
      <x:c r="W6" s="47"/>
      <x:c r="X6" s="47"/>
      <x:c r="Y6" s="47"/>
      <x:c r="Z6" s="47"/>
    </x:row>
    <x:row r="7">
      <x:c r="A7" s="46" t="str">
        <x:v>B</x:v>
      </x:c>
      <x:c r="B7" s="46" t="str">
        <x:v>Dryer 3</x:v>
      </x:c>
      <x:c r="C7" s="46" t="n">
        <x:v>53</x:v>
      </x:c>
      <x:c r="D7" s="50" t="n">
        <x:v>84.23756218905473</x:v>
      </x:c>
      <x:c r="E7" s="50" t="n">
        <x:v>12.26950354609929</x:v>
      </x:c>
      <x:c r="F7" s="50" t="n">
        <x:v>4.371963913948647</x:v>
      </x:c>
      <x:c r="G7" s="50" t="n">
        <x:v>92.49622641509434</x:v>
      </x:c>
      <x:c r="H7" s="50" t="n">
        <x:v>74.71509433962264</x:v>
      </x:c>
      <x:c r="I7" s="50" t="n">
        <x:v>166</x:v>
      </x:c>
      <x:c r="J7" s="46" t="n">
        <x:v>14</x:v>
      </x:c>
      <x:c r="K7" s="47"/>
      <x:c r="L7" s="47"/>
      <x:c r="M7" s="47"/>
      <x:c r="N7" s="47"/>
      <x:c r="O7" s="47"/>
      <x:c r="P7" s="47"/>
      <x:c r="Q7" s="47"/>
      <x:c r="R7" s="47"/>
      <x:c r="S7" s="47"/>
      <x:c r="T7" s="47"/>
      <x:c r="U7" s="47"/>
      <x:c r="V7" s="47"/>
      <x:c r="W7" s="47"/>
      <x:c r="X7" s="47"/>
      <x:c r="Y7" s="47"/>
      <x:c r="Z7" s="47"/>
    </x:row>
    <x:row r="8">
      <x:c r="A8" s="46" t="str">
        <x:v>C</x:v>
      </x:c>
      <x:c r="B8" s="46" t="str">
        <x:v>Dryer 4</x:v>
      </x:c>
      <x:c r="C8" s="46" t="n">
        <x:v>42</x:v>
      </x:c>
      <x:c r="D8" s="50" t="n">
        <x:v>84.4000567098817</x:v>
      </x:c>
      <x:c r="E8" s="50" t="n">
        <x:v>11.067297581493166</x:v>
      </x:c>
      <x:c r="F8" s="50" t="n">
        <x:v>3.102019485609765</x:v>
      </x:c>
      <x:c r="G8" s="50" t="n">
        <x:v>87.81428571428572</x:v>
      </x:c>
      <x:c r="H8" s="50" t="n">
        <x:v>75.93095238095238</x:v>
      </x:c>
      <x:c r="I8" s="50" t="n">
        <x:v>116</x:v>
      </x:c>
      <x:c r="J8" s="46" t="n">
        <x:v>15</x:v>
      </x:c>
      <x:c r="K8" s="47"/>
      <x:c r="L8" s="47"/>
      <x:c r="M8" s="47"/>
      <x:c r="N8" s="47"/>
      <x:c r="O8" s="47"/>
      <x:c r="P8" s="47"/>
      <x:c r="Q8" s="47"/>
      <x:c r="R8" s="47"/>
      <x:c r="S8" s="47"/>
      <x:c r="T8" s="47"/>
      <x:c r="U8" s="47"/>
      <x:c r="V8" s="47"/>
      <x:c r="W8" s="47"/>
      <x:c r="X8" s="47"/>
      <x:c r="Y8" s="47"/>
      <x:c r="Z8" s="47"/>
    </x:row>
    <x:row r="9">
      <x:c r="A9" s="46" t="str">
        <x:v>B</x:v>
      </x:c>
      <x:c r="B9" s="46" t="str">
        <x:v>Dryer 4</x:v>
      </x:c>
      <x:c r="C9" s="46" t="n">
        <x:v>45</x:v>
      </x:c>
      <x:c r="D9" s="50" t="n">
        <x:v>85.04274747004769</x:v>
      </x:c>
      <x:c r="E9" s="50" t="n">
        <x:v>10.269607843137255</x:v>
      </x:c>
      <x:c r="F9" s="50" t="n">
        <x:v>3.1116962163825677</x:v>
      </x:c>
      <x:c r="G9" s="50" t="n">
        <x:v>91.13555555555556</x:v>
      </x:c>
      <x:c r="H9" s="50" t="n">
        <x:v>77.43111111111111</x:v>
      </x:c>
      <x:c r="I9" s="50" t="n">
        <x:v>155</x:v>
      </x:c>
      <x:c r="J9" s="46" t="n">
        <x:v>4</x:v>
      </x:c>
      <x:c r="K9" s="47"/>
      <x:c r="L9" s="47"/>
      <x:c r="M9" s="47"/>
      <x:c r="N9" s="47"/>
      <x:c r="O9" s="47"/>
      <x:c r="P9" s="47"/>
      <x:c r="Q9" s="47"/>
      <x:c r="R9" s="47"/>
      <x:c r="S9" s="47"/>
      <x:c r="T9" s="47"/>
      <x:c r="U9" s="47"/>
      <x:c r="V9" s="47"/>
      <x:c r="W9" s="47"/>
      <x:c r="X9" s="47"/>
      <x:c r="Y9" s="47"/>
      <x:c r="Z9" s="47"/>
    </x:row>
    <x:row r="10">
      <x:c r="A10" s="46" t="str">
        <x:v>C</x:v>
      </x:c>
      <x:c r="B10" s="46" t="str">
        <x:v>Dryer 2</x:v>
      </x:c>
      <x:c r="C10" s="46" t="n">
        <x:v>33</x:v>
      </x:c>
      <x:c r="D10" s="50" t="n">
        <x:v>86.13906497622821</x:v>
      </x:c>
      <x:c r="E10" s="50" t="n">
        <x:v>9.03247183565275</x:v>
      </x:c>
      <x:c r="F10" s="50" t="n">
        <x:v>3.0586666053400178</x:v>
      </x:c>
      <x:c r="G10" s="50" t="n">
        <x:v>89.07878787878788</x:v>
      </x:c>
      <x:c r="H10" s="50" t="n">
        <x:v>76.85151515151514</x:v>
      </x:c>
      <x:c r="I10" s="50" t="n">
        <x:v>105</x:v>
      </x:c>
      <x:c r="J10" s="46" t="n">
        <x:v>12</x:v>
      </x:c>
      <x:c r="K10" s="47"/>
      <x:c r="L10" s="47"/>
      <x:c r="M10" s="47"/>
      <x:c r="N10" s="47"/>
      <x:c r="O10" s="47"/>
      <x:c r="P10" s="47"/>
      <x:c r="Q10" s="47"/>
      <x:c r="R10" s="47"/>
      <x:c r="S10" s="47"/>
      <x:c r="T10" s="47"/>
      <x:c r="U10" s="47"/>
      <x:c r="V10" s="47"/>
      <x:c r="W10" s="47"/>
      <x:c r="X10" s="47"/>
      <x:c r="Y10" s="47"/>
      <x:c r="Z10" s="47"/>
    </x:row>
    <x:row r="11">
      <x:c r="A11" s="46" t="str">
        <x:v>B</x:v>
      </x:c>
      <x:c r="B11" s="46" t="str">
        <x:v>Dryer 2</x:v>
      </x:c>
      <x:c r="C11" s="46" t="n">
        <x:v>41</x:v>
      </x:c>
      <x:c r="D11" s="50" t="n">
        <x:v>86.51099262769878</x:v>
      </x:c>
      <x:c r="E11" s="50" t="n">
        <x:v>9.130434782608695</x:v>
      </x:c>
      <x:c r="F11" s="50" t="n">
        <x:v>3.011165851895532</x:v>
      </x:c>
      <x:c r="G11" s="50" t="n">
        <x:v>92.09512195121951</x:v>
      </x:c>
      <x:c r="H11" s="50" t="n">
        <x:v>74.97317073170731</x:v>
      </x:c>
      <x:c r="I11" s="50" t="n">
        <x:v>148</x:v>
      </x:c>
      <x:c r="J11" s="46" t="n">
        <x:v>7</x:v>
      </x:c>
      <x:c r="K11" s="47"/>
      <x:c r="L11" s="47"/>
      <x:c r="M11" s="47"/>
      <x:c r="N11" s="47"/>
      <x:c r="O11" s="47"/>
      <x:c r="P11" s="47"/>
      <x:c r="Q11" s="47"/>
      <x:c r="R11" s="47"/>
      <x:c r="S11" s="47"/>
      <x:c r="T11" s="47"/>
      <x:c r="U11" s="47"/>
      <x:c r="V11" s="47"/>
      <x:c r="W11" s="47"/>
      <x:c r="X11" s="47"/>
      <x:c r="Y11" s="47"/>
      <x:c r="Z11" s="47"/>
    </x:row>
    <x:row r="12">
      <x:c r="A12" s="46" t="str">
        <x:v>C</x:v>
      </x:c>
      <x:c r="B12" s="46" t="str">
        <x:v>Dryer 1</x:v>
      </x:c>
      <x:c r="C12" s="46" t="n">
        <x:v>61</x:v>
      </x:c>
      <x:c r="D12" s="50" t="n">
        <x:v>86.68033224435761</x:v>
      </x:c>
      <x:c r="E12" s="50" t="n">
        <x:v>9.285714285714286</x:v>
      </x:c>
      <x:c r="F12" s="50" t="n">
        <x:v>3.2725705136100505</x:v>
      </x:c>
      <x:c r="G12" s="50" t="n">
        <x:v>87.37213114754098</x:v>
      </x:c>
      <x:c r="H12" s="50" t="n">
        <x:v>75.92459016393443</x:v>
      </x:c>
      <x:c r="I12" s="50" t="n">
        <x:v>187</x:v>
      </x:c>
      <x:c r="J12" s="46" t="n">
        <x:v>12</x:v>
      </x:c>
      <x:c r="K12" s="47"/>
      <x:c r="L12" s="47"/>
      <x:c r="M12" s="47"/>
      <x:c r="N12" s="47"/>
      <x:c r="O12" s="47"/>
      <x:c r="P12" s="47"/>
      <x:c r="Q12" s="47"/>
      <x:c r="R12" s="47"/>
      <x:c r="S12" s="47"/>
      <x:c r="T12" s="47"/>
      <x:c r="U12" s="47"/>
      <x:c r="V12" s="47"/>
      <x:c r="W12" s="47"/>
      <x:c r="X12" s="47"/>
      <x:c r="Y12" s="47"/>
      <x:c r="Z12" s="47"/>
    </x:row>
    <x:row r="13">
      <x:c r="A13" s="46" t="str">
        <x:v>A</x:v>
      </x:c>
      <x:c r="B13" s="46" t="str">
        <x:v>Dryer 2</x:v>
      </x:c>
      <x:c r="C13" s="46" t="n">
        <x:v>45</x:v>
      </x:c>
      <x:c r="D13" s="50" t="n">
        <x:v>86.72330942266174</x:v>
      </x:c>
      <x:c r="E13" s="50" t="n">
        <x:v>8.49702380952381</x:v>
      </x:c>
      <x:c r="F13" s="50" t="n">
        <x:v>3.199331866437531</x:v>
      </x:c>
      <x:c r="G13" s="50" t="n">
        <x:v>90.83333333333333</x:v>
      </x:c>
      <x:c r="H13" s="50" t="n">
        <x:v>74.94</x:v>
      </x:c>
      <x:c r="I13" s="50" t="n">
        <x:v>128</x:v>
      </x:c>
      <x:c r="J13" s="46" t="n">
        <x:v>6</x:v>
      </x:c>
      <x:c r="K13" s="47"/>
      <x:c r="L13" s="47"/>
      <x:c r="M13" s="47"/>
      <x:c r="N13" s="47"/>
      <x:c r="O13" s="47"/>
      <x:c r="P13" s="47"/>
      <x:c r="Q13" s="47"/>
      <x:c r="R13" s="47"/>
      <x:c r="S13" s="47"/>
      <x:c r="T13" s="47"/>
      <x:c r="U13" s="47"/>
      <x:c r="V13" s="47"/>
      <x:c r="W13" s="47"/>
      <x:c r="X13" s="47"/>
      <x:c r="Y13" s="47"/>
      <x:c r="Z13" s="47"/>
    </x:row>
    <x:row r="14">
      <x:c r="A14" s="46" t="str">
        <x:v>A</x:v>
      </x:c>
      <x:c r="B14" s="46" t="str">
        <x:v>Dryer 4</x:v>
      </x:c>
      <x:c r="C14" s="46" t="n">
        <x:v>44</x:v>
      </x:c>
      <x:c r="D14" s="50" t="n">
        <x:v>87.1058312074509</x:v>
      </x:c>
      <x:c r="E14" s="50" t="n">
        <x:v>9.089994972347913</x:v>
      </x:c>
      <x:c r="F14" s="50" t="n">
        <x:v>3.1799670739104067</x:v>
      </x:c>
      <x:c r="G14" s="50" t="n">
        <x:v>91.60454545454546</x:v>
      </x:c>
      <x:c r="H14" s="50" t="n">
        <x:v>75.51590909090909</x:v>
      </x:c>
      <x:c r="I14" s="50" t="n">
        <x:v>124</x:v>
      </x:c>
      <x:c r="J14" s="46" t="n">
        <x:v>9</x:v>
      </x:c>
      <x:c r="K14" s="47"/>
      <x:c r="L14" s="47"/>
      <x:c r="M14" s="47"/>
      <x:c r="N14" s="47"/>
      <x:c r="O14" s="47"/>
      <x:c r="P14" s="47"/>
      <x:c r="Q14" s="47"/>
      <x:c r="R14" s="47"/>
      <x:c r="S14" s="47"/>
      <x:c r="T14" s="47"/>
      <x:c r="U14" s="47"/>
      <x:c r="V14" s="47"/>
      <x:c r="W14" s="47"/>
      <x:c r="X14" s="47"/>
      <x:c r="Y14" s="47"/>
      <x:c r="Z14" s="47"/>
    </x:row>
    <x:row r="15">
      <x:c r="A15" s="46" t="str">
        <x:v>A</x:v>
      </x:c>
      <x:c r="B15" s="46" t="str">
        <x:v>Dryer 1</x:v>
      </x:c>
      <x:c r="C15" s="46" t="n">
        <x:v>44</x:v>
      </x:c>
      <x:c r="D15" s="50" t="n">
        <x:v>87.10762815443238</x:v>
      </x:c>
      <x:c r="E15" s="50" t="n">
        <x:v>8.515742128935532</x:v>
      </x:c>
      <x:c r="F15" s="50" t="n">
        <x:v>3.344393271595768</x:v>
      </x:c>
      <x:c r="G15" s="50" t="n">
        <x:v>91.09318181818182</x:v>
      </x:c>
      <x:c r="H15" s="50" t="n">
        <x:v>76.46818181818182</x:v>
      </x:c>
      <x:c r="I15" s="50" t="n">
        <x:v>147</x:v>
      </x:c>
      <x:c r="J15" s="46" t="n">
        <x:v>8</x:v>
      </x:c>
      <x:c r="K15" s="47"/>
      <x:c r="L15" s="47"/>
      <x:c r="M15" s="47"/>
      <x:c r="N15" s="47"/>
      <x:c r="O15" s="47"/>
      <x:c r="P15" s="47"/>
      <x:c r="Q15" s="47"/>
      <x:c r="R15" s="47"/>
      <x:c r="S15" s="47"/>
      <x:c r="T15" s="47"/>
      <x:c r="U15" s="47"/>
      <x:c r="V15" s="47"/>
      <x:c r="W15" s="47"/>
      <x:c r="X15" s="47"/>
      <x:c r="Y15" s="47"/>
      <x:c r="Z15" s="47"/>
    </x:row>
    <x:row r="16">
      <x:c r="A16" s="46" t="str">
        <x:v>B</x:v>
      </x:c>
      <x:c r="B16" s="46" t="str">
        <x:v>Dryer 1</x:v>
      </x:c>
      <x:c r="C16" s="46" t="n">
        <x:v>41</x:v>
      </x:c>
      <x:c r="D16" s="50" t="n">
        <x:v>87.36843799285461</x:v>
      </x:c>
      <x:c r="E16" s="50" t="n">
        <x:v>8.28150572831424</x:v>
      </x:c>
      <x:c r="F16" s="50" t="n">
        <x:v>3.114811471937225</x:v>
      </x:c>
      <x:c r="G16" s="50" t="n">
        <x:v>91.72682926829269</x:v>
      </x:c>
      <x:c r="H16" s="50" t="n">
        <x:v>74.44146341463414</x:v>
      </x:c>
      <x:c r="I16" s="50" t="n">
        <x:v>128</x:v>
      </x:c>
      <x:c r="J16" s="46" t="n">
        <x:v>1</x:v>
      </x:c>
      <x:c r="K16" s="47"/>
      <x:c r="L16" s="47"/>
      <x:c r="M16" s="47"/>
      <x:c r="N16" s="47"/>
      <x:c r="O16" s="47"/>
      <x:c r="P16" s="47"/>
      <x:c r="Q16" s="47"/>
      <x:c r="R16" s="47"/>
      <x:c r="S16" s="47"/>
      <x:c r="T16" s="47"/>
      <x:c r="U16" s="47"/>
      <x:c r="V16" s="47"/>
      <x:c r="W16" s="47"/>
      <x:c r="X16" s="47"/>
      <x:c r="Y16" s="47"/>
      <x:c r="Z16" s="47"/>
    </x:row>
    <x:row r="17">
      <x:c r="A17" s="47"/>
      <x:c r="B17" s="47"/>
      <x:c r="C17" s="47"/>
      <x:c r="D17" s="47"/>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conditionalFormatting sqref="D5:D16">
    <x:cfRule type="colorScale" priority="1">
      <x:colorScale>
        <x:cfvo type="min"/>
        <x:cfvo type="percentile" val="50"/>
        <x:cfvo type="max"/>
        <x:color rgb="FFF8696B"/>
        <x:color rgb="FFFFEB84"/>
        <x:color rgb="FF63BE7B"/>
      </x:colorScale>
    </x:cfRule>
  </x:conditionalFormatting>
  <x:conditionalFormatting sqref="E5:E16">
    <x:cfRule type="colorScale" priority="2">
      <x:colorScale>
        <x:cfvo type="min"/>
        <x:cfvo type="percentile" val="50"/>
        <x:cfvo type="max"/>
        <x:color rgb="FF63BE7B"/>
        <x:color rgb="FFFFEB84"/>
        <x:color rgb="FFF8696B"/>
      </x:colorScale>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36" hidden="0" customWidth="1"/>
    <x:col min="2" max="2" width="12" hidden="0" customWidth="1"/>
    <x:col min="3" max="3" width="32" hidden="0" customWidth="1"/>
    <x:col min="4" max="4" width="30" hidden="0" customWidth="1"/>
    <x:col min="5" max="5" width="17" hidden="0" customWidth="1"/>
    <x:col min="6" max="6" width="31" hidden="0" customWidth="1"/>
    <x:col min="7" max="7" width="34" hidden="0" customWidth="1"/>
    <x:col min="8" max="8" width="34" hidden="0" customWidth="1"/>
    <x:col min="9" max="9" width="30" hidden="0" customWidth="1"/>
    <x:col min="10" max="10" width="16" hidden="0" customWidth="1"/>
  </x:cols>
  <x:sheetData>
    <x:row r="1" ht="30" customHeight="1">
      <x:c r="A1" s="62" t="str">
        <x:v>PHASE 5 — DEEP ANALYTICAL REFINEMENT</x:v>
      </x:c>
      <x:c r="B1" s="63"/>
      <x:c r="C1" s="63"/>
      <x:c r="D1" s="63"/>
      <x:c r="E1" s="63"/>
      <x:c r="F1" s="63"/>
      <x:c r="G1" s="63"/>
      <x:c r="H1" s="63"/>
      <x:c r="I1" s="63"/>
      <x:c r="J1" s="63"/>
    </x:row>
    <x:row r="2" ht="30" customHeight="1">
      <x:c r="A2" s="64" t="str">
        <x:v>Deeper testing of Phase 4 findings. Synthetic portfolio dataset; associations are exploratory and not causal.</x:v>
      </x:c>
      <x:c r="B2" s="64"/>
      <x:c r="C2" s="64"/>
      <x:c r="D2" s="64"/>
      <x:c r="E2" s="64"/>
      <x:c r="F2" s="64"/>
      <x:c r="G2" s="64"/>
      <x:c r="H2" s="64"/>
      <x:c r="I2" s="64"/>
      <x:c r="J2" s="64"/>
    </x:row>
    <x:row r="4">
      <x:c r="A4" s="70" t="str">
        <x:v>Analysis</x:v>
      </x:c>
      <x:c r="B4" s="70" t="str">
        <x:v>Scope / method</x:v>
      </x:c>
      <x:c r="C4" s="70" t="str">
        <x:v>Key result</x:v>
      </x:c>
      <x:c r="D4" s="70" t="str">
        <x:v>Interpretation</x:v>
      </x:c>
      <x:c r="E4" s="70" t="str">
        <x:v>Strength</x:v>
      </x:c>
      <x:c r="F4" s="70" t="str">
        <x:v>What it supports</x:v>
      </x:c>
      <x:c r="G4" s="70" t="str">
        <x:v>What it does NOT prove</x:v>
      </x:c>
      <x:c r="H4" s="70" t="str">
        <x:v>Next validation</x:v>
      </x:c>
      <x:c r="I4" s="70" t="str">
        <x:v>Portfolio use</x:v>
      </x:c>
      <x:c r="J4" s="70" t="str">
        <x:v>Status</x:v>
      </x:c>
    </x:row>
    <x:row r="5" ht="72" customHeight="1">
      <x:c r="A5" s="71" t="str">
        <x:v>Downtime → attainment robustness</x:v>
      </x:c>
      <x:c r="B5" s="71" t="str">
        <x:v>Record-level correlation, then stratified by each machine and shift</x:v>
      </x:c>
      <x:c r="C5" s="71" t="str">
        <x:v>Overall r = -0.663; machine-level r = -0.565 to -0.681; shift-level r = -0.608 to -0.697</x:v>
      </x:c>
      <x:c r="D5" s="71" t="str">
        <x:v>The negative association is not isolated to one subgroup in the synthetic data.</x:v>
      </x:c>
      <x:c r="E5" s="71" t="str">
        <x:v>High (association)</x:v>
      </x:c>
      <x:c r="F5" s="71" t="str">
        <x:v>Keep downtime as the lead operational investigation theme.</x:v>
      </x:c>
      <x:c r="G5" s="71" t="str">
        <x:v>Does not prove downtime causes lost output or identify root causes.</x:v>
      </x:c>
      <x:c r="H5" s="71" t="str">
        <x:v>Capture event-level downtime reasons and sequence with output loss.</x:v>
      </x:c>
      <x:c r="I5" s="71" t="str">
        <x:v>Strong analytical narrative; demonstrates robustness check.</x:v>
      </x:c>
      <x:c r="J5" s="71" t="str">
        <x:v>Retain</x:v>
      </x:c>
    </x:row>
    <x:row r="6" ht="72" customHeight="1">
      <x:c r="A6" s="71" t="str">
        <x:v>Exploratory multivariable attainment model</x:v>
      </x:c>
      <x:c r="B6" s="71" t="str">
        <x:v>OLS: attainment predicted from downtime rate, reject rate, GMP, PPE, housekeeping, planned changeover, fuel, maintenance duration and safety observations</x:v>
      </x:c>
      <x:c r="C6" s="71" t="str">
        <x:v>Sample R² = 0.472; adjusted R² = 0.463; standardized downtime coefficient = -0.617</x:v>
      </x:c>
      <x:c r="D6" s="71" t="str">
        <x:v>Downtime remains the dominant standardized predictor in this exploratory model.</x:v>
      </x:c>
      <x:c r="E6" s="71" t="str">
        <x:v>Medium (exploratory)</x:v>
      </x:c>
      <x:c r="F6" s="71" t="str">
        <x:v>Shows progression beyond single-variable correlation.</x:v>
      </x:c>
      <x:c r="G6" s="71" t="str">
        <x:v>Not a causal model, not a validated forecasting model, synthetic data only.</x:v>
      </x:c>
      <x:c r="H6" s="71" t="str">
        <x:v>Replicate on validated event-level or batch-level production data; check diagnostics.</x:v>
      </x:c>
      <x:c r="I6" s="71" t="str">
        <x:v>Useful portfolio evidence of analytical maturity if caveated.</x:v>
      </x:c>
      <x:c r="J6" s="71" t="str">
        <x:v>Retain with caution</x:v>
      </x:c>
    </x:row>
    <x:row r="7" ht="72" customHeight="1">
      <x:c r="A7" s="71" t="str">
        <x:v>Product × machine quality hotspot</x:v>
      </x:c>
      <x:c r="B7" s="71" t="str">
        <x:v>Weighted reject rate by product-machine</x:v>
      </x:c>
      <x:c r="C7" s="71" t="str">
        <x:v>Dried Mango × Dryer 3 = 4.82% reject rate; highest cell in the matrix.</x:v>
      </x:c>
      <x:c r="D7" s="71" t="str">
        <x:v>The overall Dried Mango quality signal is most concentrated on Dryer 3 in this simulation.</x:v>
      </x:c>
      <x:c r="E7" s="71" t="str">
        <x:v>High within dataset</x:v>
      </x:c>
      <x:c r="F7" s="71" t="str">
        <x:v>Prioritises a focused quality drill-down.</x:v>
      </x:c>
      <x:c r="G7" s="71" t="str">
        <x:v>Does not establish process-parameter cause.</x:v>
      </x:c>
      <x:c r="H7" s="71" t="str">
        <x:v>Add moisture, temperature, recipe/settings and quality-checkpoint fields.</x:v>
      </x:c>
      <x:c r="I7" s="71" t="str">
        <x:v>Stronger than a product-only conclusion.</x:v>
      </x:c>
      <x:c r="J7" s="71" t="str">
        <x:v>Retain</x:v>
      </x:c>
    </x:row>
    <x:row r="8" ht="72" customHeight="1">
      <x:c r="A8" s="71" t="str">
        <x:v>Shift × product interaction</x:v>
      </x:c>
      <x:c r="B8" s="71" t="str">
        <x:v>Weighted attainment, downtime, reject and HSE indicators</x:v>
      </x:c>
      <x:c r="C8" s="71" t="str">
        <x:v>Shift C + Dried Mango = 84.26% attainment, 11.43% downtime, 3.96% reject; Shift C + Pineapple = 40.6% non-'No incident'.</x:v>
      </x:c>
      <x:c r="D8" s="71" t="str">
        <x:v>Shift C weakness is visible across multiple product cohorts, with different HSE/quality concentrations.</x:v>
      </x:c>
      <x:c r="E8" s="71" t="str">
        <x:v>Medium</x:v>
      </x:c>
      <x:c r="F8" s="71" t="str">
        <x:v>Supports a targeted Shift C review rather than a generic shift claim.</x:v>
      </x:c>
      <x:c r="G8" s="71" t="str">
        <x:v>Does not identify staffing, training or process causes.</x:v>
      </x:c>
      <x:c r="H8" s="71" t="str">
        <x:v>Stratify by supervisor, machine, date and event type.</x:v>
      </x:c>
      <x:c r="I8" s="71" t="str">
        <x:v>Good interaction-analysis example.</x:v>
      </x:c>
      <x:c r="J8" s="71" t="str">
        <x:v>Retain</x:v>
      </x:c>
    </x:row>
    <x:row r="9" ht="72" customHeight="1">
      <x:c r="A9" s="71" t="str">
        <x:v>Monthly trend stability</x:v>
      </x:c>
      <x:c r="B9" s="71" t="str">
        <x:v>Weighted monthly attainment, downtime and reject rate; July is partial</x:v>
      </x:c>
      <x:c r="C9" s="71" t="str">
        <x:v>Attainment 84.66%–86.39%; downtime 10.00%–10.90%; reject 3.38%–3.67%.</x:v>
      </x:c>
      <x:c r="D9" s="71" t="str">
        <x:v>No dramatic month-level structural break; May is strongest on attainment and lowest downtime.</x:v>
      </x:c>
      <x:c r="E9" s="71" t="str">
        <x:v>Medium</x:v>
      </x:c>
      <x:c r="F9" s="71" t="str">
        <x:v>The story is mainly cross-sectional/interactions, not a large time-trend story.</x:v>
      </x:c>
      <x:c r="G9" s="71" t="str">
        <x:v>Does not prove improvement or deterioration; July contains only 9 records.</x:v>
      </x:c>
      <x:c r="H9" s="71" t="str">
        <x:v>Use complete months and longer validated history before control/trend claims.</x:v>
      </x:c>
      <x:c r="I9" s="71" t="str">
        <x:v>Helps avoid overstating a time-series pattern.</x:v>
      </x:c>
      <x:c r="J9" s="71" t="str">
        <x:v>Retain</x:v>
      </x:c>
    </x:row>
    <x:row r="10" ht="72" customHeight="1">
      <x:c r="A10" s="71" t="str">
        <x:v>GMP → reject rate</x:v>
      </x:c>
      <x:c r="B10" s="71" t="str">
        <x:v>Pearson correlation at record level</x:v>
      </x:c>
      <x:c r="C10" s="71" t="str">
        <x:v>r = -0.053</x:v>
      </x:c>
      <x:c r="D10" s="71" t="str">
        <x:v>No meaningful linear relationship is evident in this simulation.</x:v>
      </x:c>
      <x:c r="E10" s="71" t="str">
        <x:v>Low signal</x:v>
      </x:c>
      <x:c r="F10" s="71" t="str">
        <x:v>Supports deprioritising this as a primary story.</x:v>
      </x:c>
      <x:c r="G10" s="71" t="str">
        <x:v>Does not prove GMP has no real operational effect.</x:v>
      </x:c>
      <x:c r="H10" s="71" t="str">
        <x:v>Replace composite score with individual control checks.</x:v>
      </x:c>
      <x:c r="I10" s="71" t="str">
        <x:v>Demonstrates disciplined negative finding.</x:v>
      </x:c>
      <x:c r="J10" s="71" t="str">
        <x:v>Retain</x:v>
      </x:c>
    </x:row>
    <x:row r="11" ht="72" customHeight="1">
      <x:c r="A11" s="71" t="str">
        <x:v>PPE → safety observations</x:v>
      </x:c>
      <x:c r="B11" s="71" t="str">
        <x:v>Pearson correlation at record level</x:v>
      </x:c>
      <x:c r="C11" s="71" t="str">
        <x:v>r = 0.077</x:v>
      </x:c>
      <x:c r="D11" s="71" t="str">
        <x:v>Near-zero association in this synthetic record-level dataset.</x:v>
      </x:c>
      <x:c r="E11" s="71" t="str">
        <x:v>Low signal</x:v>
      </x:c>
      <x:c r="F11" s="71" t="str">
        <x:v>Avoid a simplistic PPE-to-observation narrative.</x:v>
      </x:c>
      <x:c r="G11" s="71" t="str">
        <x:v>Does not prove PPE compliance is unimportant.</x:v>
      </x:c>
      <x:c r="H11" s="71" t="str">
        <x:v>Add exposure, severity, observation definition and reporting context.</x:v>
      </x:c>
      <x:c r="I11" s="71" t="str">
        <x:v>Demonstrates HSE analytical caution.</x:v>
      </x:c>
      <x:c r="J11" s="71" t="str">
        <x:v>Retain</x:v>
      </x:c>
    </x:row>
    <x:row r="12" ht="72" customHeight="1">
      <x:c r="A12" s="71" t="str">
        <x:v>Maintenance type → downtime</x:v>
      </x:c>
      <x:c r="B12" s="71" t="str">
        <x:v>Group downtime rates across maintenance types + maintenance-duration correlation</x:v>
      </x:c>
      <x:c r="C12" s="71" t="str">
        <x:v>Maintenance duration ↔ downtime r = -0.002; type-level downtime rates are close together.</x:v>
      </x:c>
      <x:c r="D12" s="71" t="str">
        <x:v>Current maintenance fields are too coarse to identify root causes.</x:v>
      </x:c>
      <x:c r="E12" s="71" t="str">
        <x:v>Low signal</x:v>
      </x:c>
      <x:c r="F12" s="71" t="str">
        <x:v>Shift maintenance analysis toward failure modes and recurrence.</x:v>
      </x:c>
      <x:c r="G12" s="71" t="str">
        <x:v>Does not prove maintenance is unrelated to downtime.</x:v>
      </x:c>
      <x:c r="H12" s="71" t="str">
        <x:v>Add planned/unplanned status, failure mode, asset condition and repeat-failure flags.</x:v>
      </x:c>
      <x:c r="I12" s="71" t="str">
        <x:v>Shows data-model maturity.</x:v>
      </x:c>
      <x:c r="J12" s="71" t="str">
        <x:v>Retain</x:v>
      </x:c>
    </x:row>
    <x:row r="15">
      <x:c r="A15" s="70" t="str">
        <x:v>EXPLORATORY CORRELATION CHECK</x:v>
      </x:c>
      <x:c r="B15" s="70" t="str">
        <x:v>r</x:v>
      </x:c>
      <x:c r="C15" s="70" t="str">
        <x:v>Signal assessment</x:v>
      </x:c>
      <x:c r="D15" s="70" t="str">
        <x:v>Use in story</x:v>
      </x:c>
    </x:row>
    <x:row r="16">
      <x:c r="A16" s="14" t="str">
        <x:v>Downtime rate ↔ attainment</x:v>
      </x:c>
      <x:c r="B16" s="73" t="n">
        <x:v>-0.6627056558400966</x:v>
      </x:c>
      <x:c r="C16" s="14" t="str">
        <x:v>Strong negative association</x:v>
      </x:c>
      <x:c r="D16" s="14" t="str">
        <x:v>Primary</x:v>
      </x:c>
    </x:row>
    <x:row r="17">
      <x:c r="A17" s="14" t="str">
        <x:v>Fuel units ↔ attainment</x:v>
      </x:c>
      <x:c r="B17" s="73" t="n">
        <x:v>0.29458168358553277</x:v>
      </x:c>
      <x:c r="C17" s="14" t="str">
        <x:v>Moderate positive association</x:v>
      </x:c>
      <x:c r="D17" s="14" t="str">
        <x:v>Secondary / interpret cautiously</x:v>
      </x:c>
    </x:row>
    <x:row r="18">
      <x:c r="A18" s="14" t="str">
        <x:v>Housekeeping ↔ reject rate</x:v>
      </x:c>
      <x:c r="B18" s="73" t="n">
        <x:v>-0.02114384800951464</x:v>
      </x:c>
      <x:c r="C18" s="14" t="str">
        <x:v>Near zero</x:v>
      </x:c>
      <x:c r="D18" s="14" t="str">
        <x:v>Deprioritise</x:v>
      </x:c>
    </x:row>
    <x:row r="19">
      <x:c r="A19" s="14" t="str">
        <x:v>GMP score ↔ reject rate</x:v>
      </x:c>
      <x:c r="B19" s="73" t="n">
        <x:v>-0.05333423217181327</x:v>
      </x:c>
      <x:c r="C19" s="14" t="str">
        <x:v>Near zero</x:v>
      </x:c>
      <x:c r="D19" s="14" t="str">
        <x:v>Deprioritise</x:v>
      </x:c>
    </x:row>
    <x:row r="20">
      <x:c r="A20" s="14" t="str">
        <x:v>PPE compliance ↔ safety observations</x:v>
      </x:c>
      <x:c r="B20" s="73" t="n">
        <x:v>0.07657956303805755</x:v>
      </x:c>
      <x:c r="C20" s="14" t="str">
        <x:v>Near zero</x:v>
      </x:c>
      <x:c r="D20" s="14" t="str">
        <x:v>Do not causalise</x:v>
      </x:c>
    </x:row>
    <x:row r="21">
      <x:c r="A21" s="14" t="str">
        <x:v>Maintenance duration ↔ downtime</x:v>
      </x:c>
      <x:c r="B21" s="73" t="n">
        <x:v>-0.0015215002662526931</x:v>
      </x:c>
      <x:c r="C21" s="14" t="str">
        <x:v>Near zero</x:v>
      </x:c>
      <x:c r="D21" s="14" t="str">
        <x:v>Need richer maintenance data</x:v>
      </x:c>
    </x:row>
    <x:row r="22">
      <x:c r="A22" s="14" t="str">
        <x:v>Planned changeover ↔ downtime</x:v>
      </x:c>
      <x:c r="B22" s="73" t="n">
        <x:v>-0.01779299995995547</x:v>
      </x:c>
      <x:c r="C22" s="14" t="str">
        <x:v>Near zero</x:v>
      </x:c>
      <x:c r="D22" s="14" t="str">
        <x:v>Not diagnostic in current data</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12" hidden="0" customWidth="1"/>
    <x:col min="3" max="3" width="16" hidden="0" customWidth="1"/>
    <x:col min="4" max="4" width="18" hidden="0" customWidth="1"/>
    <x:col min="5" max="5" width="16" hidden="0" customWidth="1"/>
    <x:col min="6" max="6" width="30" hidden="0" customWidth="1"/>
    <x:col min="7" max="7" width="24" hidden="0" customWidth="1"/>
    <x:col min="8" max="8" width="28" hidden="0" customWidth="1"/>
    <x:col min="9" max="9" width="12" hidden="0" customWidth="1"/>
    <x:col min="10" max="10" width="16" hidden="0" customWidth="1"/>
    <x:col min="11" max="11" width="16" hidden="0" customWidth="1"/>
    <x:col min="12" max="12" width="14" hidden="0" customWidth="1"/>
    <x:col min="13" max="13" width="20" hidden="0" customWidth="1"/>
    <x:col min="14" max="14" width="16" hidden="0" customWidth="1"/>
    <x:col min="15" max="15" width="28" hidden="0" customWidth="1"/>
  </x:cols>
  <x:sheetData>
    <x:row r="1" ht="30" customHeight="1">
      <x:c r="A1" s="62" t="str">
        <x:v>PHASE 5 — ROBUSTNESS &amp; INTERACTION TESTS</x:v>
      </x:c>
      <x:c r="B1" s="63"/>
      <x:c r="C1" s="63"/>
      <x:c r="D1" s="63"/>
      <x:c r="E1" s="63"/>
      <x:c r="F1" s="63"/>
      <x:c r="G1" s="63"/>
      <x:c r="H1" s="63"/>
    </x:row>
    <x:row r="2" ht="30" customHeight="1">
      <x:c r="A2" s="64" t="str">
        <x:v>Checks whether the strongest Phase 4 signals persist across subgroups. All results remain synthetic/illustrative.</x:v>
      </x:c>
      <x:c r="B2" s="64"/>
      <x:c r="C2" s="64"/>
      <x:c r="D2" s="64"/>
      <x:c r="E2" s="64"/>
      <x:c r="F2" s="64"/>
      <x:c r="G2" s="64"/>
      <x:c r="H2" s="64"/>
    </x:row>
    <x:row r="4">
      <x:c r="A4" s="70" t="str">
        <x:v>Stratum</x:v>
      </x:c>
      <x:c r="B4" s="70" t="str">
        <x:v>Group</x:v>
      </x:c>
      <x:c r="C4" s="70" t="str">
        <x:v>Records</x:v>
      </x:c>
      <x:c r="D4" s="70" t="str">
        <x:v>Downtime rate %</x:v>
      </x:c>
      <x:c r="E4" s="70" t="str">
        <x:v>Attainment %</x:v>
      </x:c>
      <x:c r="F4" s="70" t="str">
        <x:v>Reject rate %</x:v>
      </x:c>
      <x:c r="G4" s="70" t="str">
        <x:v>Downtime↔attainment r</x:v>
      </x:c>
      <x:c r="H4" s="70" t="str">
        <x:v>Interpretation</x:v>
      </x:c>
    </x:row>
    <x:row r="5">
      <x:c r="A5" s="63" t="str">
        <x:v>Machine</x:v>
      </x:c>
      <x:c r="B5" s="63" t="str">
        <x:v>Dryer 1</x:v>
      </x:c>
      <x:c r="C5" s="63" t="n">
        <x:v>146</x:v>
      </x:c>
      <x:c r="D5" s="75" t="n">
        <x:v>8.770566727605118</x:v>
      </x:c>
      <x:c r="E5" s="75" t="n">
        <x:v>87.0019392142854</x:v>
      </x:c>
      <x:c r="F5" s="75" t="n">
        <x:v>3.2510787624070425</x:v>
      </x:c>
      <x:c r="G5" s="75" t="n">
        <x:v>-0.6127663786653552</x:v>
      </x:c>
      <x:c r="H5" s="63" t="str">
        <x:v>Consistent negative association</x:v>
      </x:c>
    </x:row>
    <x:row r="6">
      <x:c r="A6" s="63" t="str">
        <x:v>Machine</x:v>
      </x:c>
      <x:c r="B6" s="63" t="str">
        <x:v>Dryer 2</x:v>
      </x:c>
      <x:c r="C6" s="63" t="n">
        <x:v>119</x:v>
      </x:c>
      <x:c r="D6" s="75" t="n">
        <x:v>8.865998515219005</x:v>
      </x:c>
      <x:c r="E6" s="75" t="n">
        <x:v>86.49169867189677</x:v>
      </x:c>
      <x:c r="F6" s="75" t="n">
        <x:v>3.098214342111081</x:v>
      </x:c>
      <x:c r="G6" s="75" t="n">
        <x:v>-0.5732405761727847</x:v>
      </x:c>
      <x:c r="H6" s="63" t="str">
        <x:v>Consistent negative association</x:v>
      </x:c>
    </x:row>
    <x:row r="7">
      <x:c r="A7" s="63" t="str">
        <x:v>Machine</x:v>
      </x:c>
      <x:c r="B7" s="63" t="str">
        <x:v>Dryer 3</x:v>
      </x:c>
      <x:c r="C7" s="63" t="n">
        <x:v>144</x:v>
      </x:c>
      <x:c r="D7" s="75" t="n">
        <x:v>13.41380377592077</x:v>
      </x:c>
      <x:c r="E7" s="75" t="n">
        <x:v>82.41998965431932</x:v>
      </x:c>
      <x:c r="F7" s="75" t="n">
        <x:v>4.493756549074397</x:v>
      </x:c>
      <x:c r="G7" s="75" t="n">
        <x:v>-0.5653038507833431</x:v>
      </x:c>
      <x:c r="H7" s="63" t="str">
        <x:v>Consistent negative association</x:v>
      </x:c>
    </x:row>
    <x:row r="8">
      <x:c r="A8" s="63" t="str">
        <x:v>Machine</x:v>
      </x:c>
      <x:c r="B8" s="63" t="str">
        <x:v>Dryer 4</x:v>
      </x:c>
      <x:c r="C8" s="63" t="n">
        <x:v>131</x:v>
      </x:c>
      <x:c r="D8" s="75" t="n">
        <x:v>10.12982633619963</x:v>
      </x:c>
      <x:c r="E8" s="75" t="n">
        <x:v>85.52573247894249</x:v>
      </x:c>
      <x:c r="F8" s="75" t="n">
        <x:v>3.131847418891219</x:v>
      </x:c>
      <x:c r="G8" s="75" t="n">
        <x:v>-0.6809461421529552</x:v>
      </x:c>
      <x:c r="H8" s="63" t="str">
        <x:v>Consistent negative association</x:v>
      </x:c>
    </x:row>
    <x:row r="9">
      <x:c r="A9" s="63" t="str">
        <x:v>Shift</x:v>
      </x:c>
      <x:c r="B9" s="63" t="str">
        <x:v>A</x:v>
      </x:c>
      <x:c r="C9" s="63" t="n">
        <x:v>180</x:v>
      </x:c>
      <x:c r="D9" s="75" t="n">
        <x:v>9.781643227239083</x:v>
      </x:c>
      <x:c r="E9" s="75" t="n">
        <x:v>85.75071781427782</x:v>
      </x:c>
      <x:c r="F9" s="75" t="n">
        <x:v>3.5829711124513866</x:v>
      </x:c>
      <x:c r="G9" s="75" t="n">
        <x:v>-0.608181854218841</x:v>
      </x:c>
      <x:c r="H9" s="63" t="str">
        <x:v>Consistent negative association</x:v>
      </x:c>
    </x:row>
    <x:row r="10">
      <x:c r="A10" s="63" t="str">
        <x:v>Shift</x:v>
      </x:c>
      <x:c r="B10" s="63" t="str">
        <x:v>B</x:v>
      </x:c>
      <x:c r="C10" s="63" t="n">
        <x:v>180</x:v>
      </x:c>
      <x:c r="D10" s="75" t="n">
        <x:v>10.150006147792942</x:v>
      </x:c>
      <x:c r="E10" s="75" t="n">
        <x:v>85.66388074183519</x:v>
      </x:c>
      <x:c r="F10" s="75" t="n">
        <x:v>3.455954281007054</x:v>
      </x:c>
      <x:c r="G10" s="75" t="n">
        <x:v>-0.6666519007466789</x:v>
      </x:c>
      <x:c r="H10" s="63" t="str">
        <x:v>Consistent negative association</x:v>
      </x:c>
    </x:row>
    <x:row r="11">
      <x:c r="A11" s="63" t="str">
        <x:v>Shift</x:v>
      </x:c>
      <x:c r="B11" s="63" t="str">
        <x:v>C</x:v>
      </x:c>
      <x:c r="C11" s="63" t="n">
        <x:v>180</x:v>
      </x:c>
      <x:c r="D11" s="75" t="n">
        <x:v>11.134961756723415</x:v>
      </x:c>
      <x:c r="E11" s="75" t="n">
        <x:v>84.50810076455029</x:v>
      </x:c>
      <x:c r="F11" s="75" t="n">
        <x:v>3.4892769188671497</x:v>
      </x:c>
      <x:c r="G11" s="75" t="n">
        <x:v>-0.6966814366243722</x:v>
      </x:c>
      <x:c r="H11" s="63" t="str">
        <x:v>Consistent negative association</x:v>
      </x:c>
    </x:row>
    <x:row r="15">
      <x:c r="A15" s="70" t="str">
        <x:v>PRODUCT × MACHINE</x:v>
      </x:c>
      <x:c r="B15" s="70" t="str">
        <x:v>Records</x:v>
      </x:c>
      <x:c r="C15" s="70" t="str">
        <x:v>Attainment %</x:v>
      </x:c>
      <x:c r="D15" s="70" t="str">
        <x:v>Downtime rate %</x:v>
      </x:c>
      <x:c r="E15" s="70" t="str">
        <x:v>Reject rate %</x:v>
      </x:c>
      <x:c r="F15" s="70" t="str">
        <x:v>Priority note</x:v>
      </x:c>
      <x:c r="H15" s="70" t="str">
        <x:v>SHIFT × PRODUCT</x:v>
      </x:c>
      <x:c r="I15" s="70" t="str">
        <x:v>Records</x:v>
      </x:c>
      <x:c r="J15" s="70" t="str">
        <x:v>Attainment %</x:v>
      </x:c>
      <x:c r="K15" s="70" t="str">
        <x:v>Downtime %</x:v>
      </x:c>
      <x:c r="L15" s="70" t="str">
        <x:v>Reject %</x:v>
      </x:c>
      <x:c r="M15" s="70" t="str">
        <x:v>Non-no-incident %</x:v>
      </x:c>
      <x:c r="N15" s="70" t="str">
        <x:v>Active action %</x:v>
      </x:c>
      <x:c r="O15" s="70" t="str">
        <x:v>Use</x:v>
      </x:c>
    </x:row>
    <x:row r="16">
      <x:c r="A16" s="14" t="str">
        <x:v>Dried Mango × Dryer 3</x:v>
      </x:c>
      <x:c r="B16" s="14" t="n">
        <x:v>60</x:v>
      </x:c>
      <x:c r="C16" s="33" t="n">
        <x:v>82.34689766317486</x:v>
      </x:c>
      <x:c r="D16" s="33" t="n">
        <x:v>13.426861204638982</x:v>
      </x:c>
      <x:c r="E16" s="33" t="n">
        <x:v>4.819336056951342</x:v>
      </x:c>
      <x:c r="F16" s="14" t="str">
        <x:v>Top quality-loss cell</x:v>
      </x:c>
      <x:c r="H16" s="14" t="str">
        <x:v>C × Dried Mango</x:v>
      </x:c>
      <x:c r="I16" s="14" t="n">
        <x:v>58</x:v>
      </x:c>
      <x:c r="J16" s="33" t="n">
        <x:v>84.2587108104457</x:v>
      </x:c>
      <x:c r="K16" s="33" t="n">
        <x:v>11.43455098934551</x:v>
      </x:c>
      <x:c r="L16" s="33" t="n">
        <x:v>3.9552063934486883</x:v>
      </x:c>
      <x:c r="M16" s="33" t="n">
        <x:v>27.586206896551722</x:v>
      </x:c>
      <x:c r="N16" s="14" t="n">
        <x:v>15.517241379310345</x:v>
      </x:c>
      <x:c r="O16" s="14" t="str">
        <x:v>Targeted Shift C diagnostic</x:v>
      </x:c>
    </x:row>
    <x:row r="17">
      <x:c r="A17" s="14" t="str">
        <x:v>Dried Pineapple × Dryer 3</x:v>
      </x:c>
      <x:c r="B17" s="14" t="n">
        <x:v>39</x:v>
      </x:c>
      <x:c r="C17" s="33" t="n">
        <x:v>82.12121654572267</x:v>
      </x:c>
      <x:c r="D17" s="33" t="n">
        <x:v>13.653198653198654</x:v>
      </x:c>
      <x:c r="E17" s="33" t="n">
        <x:v>4.423582959960173</x:v>
      </x:c>
      <x:c r="F17" s="14" t="str">
        <x:v>High-loss / low-attainment cohort</x:v>
      </x:c>
      <x:c r="H17" s="14" t="str">
        <x:v>C × Dried Pineapple</x:v>
      </x:c>
      <x:c r="I17" s="14" t="n">
        <x:v>64</x:v>
      </x:c>
      <x:c r="J17" s="33" t="n">
        <x:v>84.45002241147468</x:v>
      </x:c>
      <x:c r="K17" s="33" t="n">
        <x:v>11.13549285963079</x:v>
      </x:c>
      <x:c r="L17" s="33" t="n">
        <x:v>3.451021188059955</x:v>
      </x:c>
      <x:c r="M17" s="33" t="n">
        <x:v>40.625</x:v>
      </x:c>
      <x:c r="N17" s="14" t="n">
        <x:v>25</x:v>
      </x:c>
      <x:c r="O17" s="14" t="str">
        <x:v>Targeted Shift C diagnostic</x:v>
      </x:c>
    </x:row>
    <x:row r="18">
      <x:c r="A18" s="14" t="str">
        <x:v>Desiccated Coconut × Dryer 3</x:v>
      </x:c>
      <x:c r="B18" s="14" t="n">
        <x:v>45</x:v>
      </x:c>
      <x:c r="C18" s="33" t="n">
        <x:v>82.92817071829282</x:v>
      </x:c>
      <x:c r="D18" s="33" t="n">
        <x:v>13.183856502242152</x:v>
      </x:c>
      <x:c r="E18" s="33" t="n">
        <x:v>3.9925719591457756</x:v>
      </x:c>
      <x:c r="F18" s="14" t="str">
        <x:v>High-loss / low-attainment cohort</x:v>
      </x:c>
      <x:c r="H18" s="14" t="str">
        <x:v>B × Dried Mango</x:v>
      </x:c>
      <x:c r="I18" s="14" t="n">
        <x:v>57</x:v>
      </x:c>
      <x:c r="J18" s="33" t="n">
        <x:v>84.69717247679137</x:v>
      </x:c>
      <x:c r="K18" s="33" t="n">
        <x:v>10.729898516783763</x:v>
      </x:c>
      <x:c r="L18" s="33" t="n">
        <x:v>4.004314074668606</x:v>
      </x:c>
      <x:c r="M18" s="33" t="n">
        <x:v>15.789473684210526</x:v>
      </x:c>
      <x:c r="N18" s="14" t="n">
        <x:v>7.017543859649122</x:v>
      </x:c>
      <x:c r="O18" s="14" t="str"/>
    </x:row>
    <x:row r="19">
      <x:c r="A19" s="14" t="str">
        <x:v>Dried Mango × Dryer 1</x:v>
      </x:c>
      <x:c r="B19" s="14" t="n">
        <x:v>43</x:v>
      </x:c>
      <x:c r="C19" s="33" t="n">
        <x:v>86.09735389840102</x:v>
      </x:c>
      <x:c r="D19" s="33" t="n">
        <x:v>9.387860082304526</x:v>
      </x:c>
      <x:c r="E19" s="33" t="n">
        <x:v>3.602596762264771</x:v>
      </x:c>
      <x:c r="F19" s="14" t="str"/>
      <x:c r="H19" s="14" t="str">
        <x:v>C × Desiccated Coconut</x:v>
      </x:c>
      <x:c r="I19" s="14" t="n">
        <x:v>58</x:v>
      </x:c>
      <x:c r="J19" s="33" t="n">
        <x:v>84.94991519649768</x:v>
      </x:c>
      <x:c r="K19" s="33" t="n">
        <x:v>10.832374376678173</x:v>
      </x:c>
      <x:c r="L19" s="33" t="n">
        <x:v>2.9060937526663366</x:v>
      </x:c>
      <x:c r="M19" s="33" t="n">
        <x:v>25.862068965517242</x:v>
      </x:c>
      <x:c r="N19" s="14" t="n">
        <x:v>18.96551724137931</x:v>
      </x:c>
      <x:c r="O19" s="14" t="str">
        <x:v>Targeted Shift C diagnostic</x:v>
      </x:c>
    </x:row>
    <x:row r="20">
      <x:c r="A20" s="14" t="str">
        <x:v>Dried Mango × Dryer 4</x:v>
      </x:c>
      <x:c r="B20" s="14" t="n">
        <x:v>39</x:v>
      </x:c>
      <x:c r="C20" s="33" t="n">
        <x:v>86.76849861836045</x:v>
      </x:c>
      <x:c r="D20" s="33" t="n">
        <x:v>9.27758816837315</x:v>
      </x:c>
      <x:c r="E20" s="33" t="n">
        <x:v>3.5951239362360896</x:v>
      </x:c>
      <x:c r="F20" s="14" t="str"/>
      <x:c r="H20" s="14" t="str">
        <x:v>A × Dried Pineapple</x:v>
      </x:c>
      <x:c r="I20" s="14" t="n">
        <x:v>64</x:v>
      </x:c>
      <x:c r="J20" s="33" t="n">
        <x:v>85.3029663490467</x:v>
      </x:c>
      <x:c r="K20" s="33" t="n">
        <x:v>9.631542699724518</x:v>
      </x:c>
      <x:c r="L20" s="33" t="n">
        <x:v>3.4574244083214016</x:v>
      </x:c>
      <x:c r="M20" s="33" t="n">
        <x:v>17.1875</x:v>
      </x:c>
      <x:c r="N20" s="14" t="n">
        <x:v>9.375</x:v>
      </x:c>
      <x:c r="O20" s="14" t="str"/>
    </x:row>
    <x:row r="21">
      <x:c r="A21" s="14" t="str">
        <x:v>Dried Mango × Dryer 2</x:v>
      </x:c>
      <x:c r="B21" s="14" t="n">
        <x:v>38</x:v>
      </x:c>
      <x:c r="C21" s="33" t="n">
        <x:v>86.33455573018368</x:v>
      </x:c>
      <x:c r="D21" s="33" t="n">
        <x:v>9.025102159953297</x:v>
      </x:c>
      <x:c r="E21" s="33" t="n">
        <x:v>3.587518158247982</x:v>
      </x:c>
      <x:c r="F21" s="14" t="str"/>
      <x:c r="H21" s="14" t="str">
        <x:v>A × Desiccated Coconut</x:v>
      </x:c>
      <x:c r="I21" s="14" t="n">
        <x:v>51</x:v>
      </x:c>
      <x:c r="J21" s="33" t="n">
        <x:v>86.03536012526096</x:v>
      </x:c>
      <x:c r="K21" s="33" t="n">
        <x:v>9.9609375</x:v>
      </x:c>
      <x:c r="L21" s="33" t="n">
        <x:v>3.061611374407583</x:v>
      </x:c>
      <x:c r="M21" s="33" t="n">
        <x:v>15.686274509803921</x:v>
      </x:c>
      <x:c r="N21" s="14" t="n">
        <x:v>11.76470588235294</x:v>
      </x:c>
      <x:c r="O21" s="14" t="str"/>
    </x:row>
    <x:row r="22">
      <x:c r="A22" s="14" t="str">
        <x:v>Dried Pineapple × Dryer 1</x:v>
      </x:c>
      <x:c r="B22" s="14" t="n">
        <x:v>57</x:v>
      </x:c>
      <x:c r="C22" s="33" t="n">
        <x:v>86.90281306806199</x:v>
      </x:c>
      <x:c r="D22" s="33" t="n">
        <x:v>9.045383411580595</x:v>
      </x:c>
      <x:c r="E22" s="33" t="n">
        <x:v>3.2924997110828613</x:v>
      </x:c>
      <x:c r="F22" s="14" t="str"/>
      <x:c r="H22" s="14" t="str">
        <x:v>A × Dried Mango</x:v>
      </x:c>
      <x:c r="I22" s="14" t="n">
        <x:v>65</x:v>
      </x:c>
      <x:c r="J22" s="33" t="n">
        <x:v>86.05158582782441</x:v>
      </x:c>
      <x:c r="K22" s="33" t="n">
        <x:v>9.789510006901311</x:v>
      </x:c>
      <x:c r="L22" s="33" t="n">
        <x:v>4.00837280564517</x:v>
      </x:c>
      <x:c r="M22" s="33" t="n">
        <x:v>23.076923076923077</x:v>
      </x:c>
      <x:c r="N22" s="14" t="n">
        <x:v>16.923076923076923</x:v>
      </x:c>
      <x:c r="O22" s="14" t="str"/>
    </x:row>
    <x:row r="23">
      <x:c r="A23" s="14" t="str">
        <x:v>Dried Pineapple × Dryer 4</x:v>
      </x:c>
      <x:c r="B23" s="14" t="n">
        <x:v>43</x:v>
      </x:c>
      <x:c r="C23" s="33" t="n">
        <x:v>84.8061850457092</x:v>
      </x:c>
      <x:c r="D23" s="33" t="n">
        <x:v>10.604651162790697</x:v>
      </x:c>
      <x:c r="E23" s="33" t="n">
        <x:v>3.039337214228554</x:v>
      </x:c>
      <x:c r="F23" s="14" t="str"/>
      <x:c r="H23" s="14" t="str">
        <x:v>B × Desiccated Coconut</x:v>
      </x:c>
      <x:c r="I23" s="14" t="n">
        <x:v>69</x:v>
      </x:c>
      <x:c r="J23" s="33" t="n">
        <x:v>86.17319109909735</x:v>
      </x:c>
      <x:c r="K23" s="33" t="n">
        <x:v>9.971181556195965</x:v>
      </x:c>
      <x:c r="L23" s="33" t="n">
        <x:v>3.0359893572328804</x:v>
      </x:c>
      <x:c r="M23" s="33" t="n">
        <x:v>13.043478260869565</x:v>
      </x:c>
      <x:c r="N23" s="14" t="n">
        <x:v>10.144927536231885</x:v>
      </x:c>
      <x:c r="O23" s="14" t="str"/>
    </x:row>
    <x:row r="24">
      <x:c r="A24" s="14" t="str">
        <x:v>Dried Pineapple × Dryer 2</x:v>
      </x:c>
      <x:c r="B24" s="14" t="n">
        <x:v>43</x:v>
      </x:c>
      <x:c r="C24" s="33" t="n">
        <x:v>86.4255330533187</x:v>
      </x:c>
      <x:c r="D24" s="33" t="n">
        <x:v>8.148717948717948</x:v>
      </x:c>
      <x:c r="E24" s="33" t="n">
        <x:v>3.025847392044575</x:v>
      </x:c>
      <x:c r="F24" s="14" t="str"/>
      <x:c r="H24" t="str">
        <x:v>B × Dried Pineapple</x:v>
      </x:c>
      <x:c r="I24" t="n">
        <x:v>54</x:v>
      </x:c>
      <x:c r="J24" t="n">
        <x:v>86.1772625909875</x:v>
      </x:c>
      <x:c r="K24" t="n">
        <x:v>9.77124183006536</x:v>
      </x:c>
      <x:c r="L24" t="n">
        <x:v>3.2882932366619064</x:v>
      </x:c>
      <x:c r="M24" t="n">
        <x:v>14.814814814814813</x:v>
      </x:c>
      <x:c r="N24" t="n">
        <x:v>12.962962962962962</x:v>
      </x:c>
      <x:c r="O24" t="str"/>
    </x:row>
    <x:row r="25">
      <x:c r="A25" s="14" t="str">
        <x:v>Desiccated Coconut × Dryer 1</x:v>
      </x:c>
      <x:c r="B25" s="14" t="n">
        <x:v>46</x:v>
      </x:c>
      <x:c r="C25" s="33" t="n">
        <x:v>88.34107570588662</x:v>
      </x:c>
      <x:c r="D25" s="33" t="n">
        <x:v>7.848837209302325</x:v>
      </x:c>
      <x:c r="E25" s="33" t="n">
        <x:v>2.738122137090976</x:v>
      </x:c>
      <x:c r="F25" s="14" t="str"/>
    </x:row>
    <x:row r="26">
      <x:c r="A26" t="str">
        <x:v>Desiccated Coconut × Dryer 4</x:v>
      </x:c>
      <x:c r="B26" t="n">
        <x:v>49</x:v>
      </x:c>
      <x:c r="C26" t="n">
        <x:v>85.06398694494546</x:v>
      </x:c>
      <x:c r="D26" t="n">
        <x:v>10.388739946380698</x:v>
      </x:c>
      <x:c r="E26" t="n">
        <x:v>2.722132471728594</x:v>
      </x:c>
      <x:c r="F26" t="str"/>
    </x:row>
    <x:row r="27">
      <x:c r="A27" t="str">
        <x:v>Desiccated Coconut × Dryer 2</x:v>
      </x:c>
      <x:c r="B27" t="n">
        <x:v>38</x:v>
      </x:c>
      <x:c r="C27" t="n">
        <x:v>86.81944628427605</x:v>
      </x:c>
      <x:c r="D27" t="n">
        <x:v>9.518840579710144</x:v>
      </x:c>
      <x:c r="E27" t="n">
        <x:v>2.540433323161428</x:v>
      </x:c>
      <x:c r="F27" t="str"/>
    </x:row>
  </x:sheetData>
  <x:mergeCells>
    <x:mergeCell ref="A1:H1"/>
    <x:mergeCell ref="A2:H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16" hidden="0" customWidth="1"/>
    <x:col min="5" max="5" width="14" hidden="0" customWidth="1"/>
    <x:col min="6" max="6" width="18" hidden="0" customWidth="1"/>
    <x:col min="7" max="7" width="15" hidden="0" customWidth="1"/>
    <x:col min="8" max="8" width="30" hidden="0" customWidth="1"/>
    <x:col min="9" max="9" width="14" hidden="0" customWidth="1"/>
    <x:col min="10" max="10" width="16" hidden="0" customWidth="1"/>
    <x:col min="11" max="11" width="16" hidden="0" customWidth="1"/>
  </x:cols>
  <x:sheetData>
    <x:row r="1" ht="30" customHeight="1">
      <x:c r="A1" s="62" t="str">
        <x:v>PHASE 5 — MANAGEMENT ANALYTICS READ-OUT</x:v>
      </x:c>
      <x:c r="B1" s="63"/>
      <x:c r="C1" s="63"/>
      <x:c r="D1" s="63"/>
      <x:c r="E1" s="63"/>
      <x:c r="F1" s="63"/>
      <x:c r="G1" s="63"/>
      <x:c r="H1" s="63"/>
    </x:row>
    <x:row r="2" ht="30" customHeight="1">
      <x:c r="A2" s="64" t="str">
        <x:v>Management-style synthesis of deeper tests. Use as the narrative bridge to Phase 6 dashboard design.</x:v>
      </x:c>
      <x:c r="B2" s="64"/>
      <x:c r="C2" s="64"/>
      <x:c r="D2" s="64"/>
      <x:c r="E2" s="64"/>
      <x:c r="F2" s="64"/>
      <x:c r="G2" s="64"/>
      <x:c r="H2" s="64"/>
    </x:row>
    <x:row r="4">
      <x:c r="A4" s="70" t="str">
        <x:v>Rank</x:v>
      </x:c>
      <x:c r="B4" s="70" t="str">
        <x:v>Analytical story</x:v>
      </x:c>
      <x:c r="C4" s="70" t="str">
        <x:v>Evidence</x:v>
      </x:c>
      <x:c r="D4" s="70" t="str">
        <x:v>Why it matters</x:v>
      </x:c>
      <x:c r="E4" s="70" t="str">
        <x:v>Recommended action</x:v>
      </x:c>
      <x:c r="F4" s="70" t="str">
        <x:v>Confidence</x:v>
      </x:c>
      <x:c r="G4" s="70" t="str">
        <x:v>What to validate next</x:v>
      </x:c>
      <x:c r="H4" s="70" t="str">
        <x:v>Dashboard treatment</x:v>
      </x:c>
    </x:row>
    <x:row r="5" ht="78" customHeight="1">
      <x:c r="A5" s="71" t="n">
        <x:v>1</x:v>
      </x:c>
      <x:c r="B5" s="71" t="str">
        <x:v>Downtime is the lead operational loss signal</x:v>
      </x:c>
      <x:c r="C5" s="71" t="str">
        <x:v>Overall r = -0.663; machine-level r = -0.565 to -0.681; shift-level r = -0.608 to -0.697.</x:v>
      </x:c>
      <x:c r="D5" s="71" t="str">
        <x:v>The relationship survives subgroup checks, so it is more defensible than a single aggregate correlation.</x:v>
      </x:c>
      <x:c r="E5" s="71" t="str">
        <x:v>Make downtime reason capture and Dryer 3 diagnostic review the first improvement workstream.</x:v>
      </x:c>
      <x:c r="F5" s="71" t="str">
        <x:v>High for association</x:v>
      </x:c>
      <x:c r="G5" s="71" t="str">
        <x:v>Event-level downtime causes, sequence and repeat-stoppage data.</x:v>
      </x:c>
      <x:c r="H5" s="71" t="str">
        <x:v>Hero KPI + machine ranking + relationship view</x:v>
      </x:c>
    </x:row>
    <x:row r="6" ht="78" customHeight="1">
      <x:c r="A6" s="71" t="n">
        <x:v>2</x:v>
      </x:c>
      <x:c r="B6" s="71" t="str">
        <x:v>Dryer 3 + Shift C is the strongest diagnostic hotspot</x:v>
      </x:c>
      <x:c r="C6" s="71" t="str">
        <x:v>80.47% attainment; 15.38% downtime; 4.51% reject; 40.9% non-'No incident' records.</x:v>
      </x:c>
      <x:c r="D6" s="71" t="str">
        <x:v>The interaction is materially weaker than most other shift-machine cells.</x:v>
      </x:c>
      <x:c r="E6" s="71" t="str">
        <x:v>Target a focused diagnostic rather than a plant-wide intervention.</x:v>
      </x:c>
      <x:c r="F6" s="71" t="str">
        <x:v>High within synthetic dataset</x:v>
      </x:c>
      <x:c r="G6" s="71" t="str">
        <x:v>Compare Dryer 3 across shifts and Shift C across machines using validated context.</x:v>
      </x:c>
      <x:c r="H6" s="71" t="str">
        <x:v>Heatmap / ranked matrix</x:v>
      </x:c>
    </x:row>
    <x:row r="7" ht="78" customHeight="1">
      <x:c r="A7" s="71" t="n">
        <x:v>3</x:v>
      </x:c>
      <x:c r="B7" s="71" t="str">
        <x:v>Quality loss is concentrated around Dried Mango × Dryer 3</x:v>
      </x:c>
      <x:c r="C7" s="71" t="str">
        <x:v>Reject rate 4.82% in the cohort; Dried Mango is also highest at product level.</x:v>
      </x:c>
      <x:c r="D7" s="71" t="str">
        <x:v>A product-only story is less actionable than a product-machine interaction.</x:v>
      </x:c>
      <x:c r="E7" s="71" t="str">
        <x:v>Drill down into process stage/settings and quality checkpoints.</x:v>
      </x:c>
      <x:c r="F7" s="71" t="str">
        <x:v>High within synthetic dataset</x:v>
      </x:c>
      <x:c r="G7" s="71" t="str">
        <x:v>Moisture, temperature, recipe/setting and defect-reason fields.</x:v>
      </x:c>
      <x:c r="H7" s="71" t="str">
        <x:v>Product-machine matrix + Pareto</x:v>
      </x:c>
    </x:row>
    <x:row r="8" ht="78" customHeight="1">
      <x:c r="A8" s="71" t="n">
        <x:v>4</x:v>
      </x:c>
      <x:c r="B8" s="71" t="str">
        <x:v>Shift C has a multi-dimensional weakness signal</x:v>
      </x:c>
      <x:c r="C8" s="71" t="str">
        <x:v>Lowest attainment, highest downtime, lowest PPE; highest active corrective-action rate.</x:v>
      </x:c>
      <x:c r="D8" s="71" t="str">
        <x:v>Several indicators point in the same direction, but causes are not encoded.</x:v>
      </x:c>
      <x:c r="E8" s="71" t="str">
        <x:v>Review handover, work content, escalation and action backlog.</x:v>
      </x:c>
      <x:c r="F8" s="71" t="str">
        <x:v>Medium-High</x:v>
      </x:c>
      <x:c r="G8" s="71" t="str">
        <x:v>Supervisor, staffing, incident/observation and closure-age data.</x:v>
      </x:c>
      <x:c r="H8" s="71" t="str">
        <x:v>Shift scorecard</x:v>
      </x:c>
    </x:row>
    <x:row r="9" ht="78" customHeight="1">
      <x:c r="A9" s="71" t="n">
        <x:v>5</x:v>
      </x:c>
      <x:c r="B9" s="71" t="str">
        <x:v>Composite GMP/PPE metrics are not explanatory in this dataset</x:v>
      </x:c>
      <x:c r="C9" s="71" t="str">
        <x:v>GMP↔reject r = -0.053; PPE↔safety observations r = 0.077.</x:v>
      </x:c>
      <x:c r="D9" s="71" t="str">
        <x:v>Avoids building unsupported stories from weak relationships.</x:v>
      </x:c>
      <x:c r="E9" s="71" t="str">
        <x:v>Improve measurement granularity rather than forcing a correlation.</x:v>
      </x:c>
      <x:c r="F9" s="71" t="str">
        <x:v>Medium</x:v>
      </x:c>
      <x:c r="G9" s="71" t="str">
        <x:v>Control-level checks, exposure, severity and reporting definitions.</x:v>
      </x:c>
      <x:c r="H9" s="71" t="str">
        <x:v>Show as context KPI, not driver chart</x:v>
      </x:c>
    </x:row>
    <x:row r="10" ht="78" customHeight="1">
      <x:c r="A10" s="71" t="n">
        <x:v>6</x:v>
      </x:c>
      <x:c r="B10" s="71" t="str">
        <x:v>Time trend is comparatively stable</x:v>
      </x:c>
      <x:c r="C10" s="71" t="str">
        <x:v>Monthly attainment 84.66%–86.39%; downtime 10.00%–10.90%; reject 3.38%–3.67%; July partial.</x:v>
      </x:c>
      <x:c r="D10" s="71" t="str">
        <x:v>The case study should focus on cross-sectional hotspots instead of claiming a major temporal trend.</x:v>
      </x:c>
      <x:c r="E10" s="71" t="str">
        <x:v>Use month as a filter/trend context, not the headline story.</x:v>
      </x:c>
      <x:c r="F10" s="71" t="str">
        <x:v>Medium</x:v>
      </x:c>
      <x:c r="G10" s="71" t="str">
        <x:v>Complete months and longer validated history.</x:v>
      </x:c>
      <x:c r="H10" s="71" t="str">
        <x:v>Small trend chart / filter</x:v>
      </x:c>
    </x:row>
    <x:row r="13">
      <x:c r="A13" s="70" t="str">
        <x:v>MONTHLY CONTEXT</x:v>
      </x:c>
      <x:c r="B13" s="70" t="str">
        <x:v>Records</x:v>
      </x:c>
      <x:c r="C13" s="70" t="str">
        <x:v>Attainment %</x:v>
      </x:c>
      <x:c r="D13" s="70" t="str">
        <x:v>Downtime %</x:v>
      </x:c>
      <x:c r="E13" s="70" t="str">
        <x:v>Reject %</x:v>
      </x:c>
      <x:c r="F13" s="70" t="str">
        <x:v>Actual output kg</x:v>
      </x:c>
      <x:c r="G13" s="70" t="str">
        <x:v>Reject kg</x:v>
      </x:c>
      <x:c r="I13" s="70" t="str">
        <x:v>Month</x:v>
      </x:c>
      <x:c r="J13" s="70" t="str">
        <x:v>Attainment %</x:v>
      </x:c>
      <x:c r="K13" s="70" t="str">
        <x:v>Downtime %</x:v>
      </x:c>
    </x:row>
    <x:row r="14">
      <x:c r="A14" t="str">
        <x:v>2026-01</x:v>
      </x:c>
      <x:c r="B14" t="n">
        <x:v>81</x:v>
      </x:c>
      <x:c r="C14" s="74" t="n">
        <x:v>84.73812852016252</x:v>
      </x:c>
      <x:c r="D14" s="74" t="n">
        <x:v>10.380405035577448</x:v>
      </x:c>
      <x:c r="E14" s="74" t="n">
        <x:v>3.4979404018869196</x:v>
      </x:c>
      <x:c r="F14" s="76" t="n">
        <x:v>103661</x:v>
      </x:c>
      <x:c r="G14" s="76" t="n">
        <x:v>3626</x:v>
      </x:c>
      <x:c r="I14" s="79" t="str">
        <x:v>2026-01</x:v>
      </x:c>
      <x:c r="J14" s="80" t="n">
        <x:v>84.73812852016252</x:v>
      </x:c>
      <x:c r="K14" s="80" t="n">
        <x:v>10.380405035577448</x:v>
      </x:c>
    </x:row>
    <x:row r="15">
      <x:c r="A15" t="str">
        <x:v>2026-02</x:v>
      </x:c>
      <x:c r="B15" t="n">
        <x:v>84</x:v>
      </x:c>
      <x:c r="C15" s="74" t="n">
        <x:v>85.03356661072232</x:v>
      </x:c>
      <x:c r="D15" s="74" t="n">
        <x:v>10.738413197172035</x:v>
      </x:c>
      <x:c r="E15" s="74" t="n">
        <x:v>3.6439470817700235</x:v>
      </x:c>
      <x:c r="F15" s="76" t="n">
        <x:v>107411</x:v>
      </x:c>
      <x:c r="G15" s="76" t="n">
        <x:v>3914</x:v>
      </x:c>
      <x:c r="I15" s="79" t="str">
        <x:v>2026-02</x:v>
      </x:c>
      <x:c r="J15" s="80" t="n">
        <x:v>85.03356661072232</x:v>
      </x:c>
      <x:c r="K15" s="80" t="n">
        <x:v>10.738413197172035</x:v>
      </x:c>
    </x:row>
    <x:row r="16">
      <x:c r="A16" t="str">
        <x:v>2026-03</x:v>
      </x:c>
      <x:c r="B16" t="n">
        <x:v>93</x:v>
      </x:c>
      <x:c r="C16" s="74" t="n">
        <x:v>85.3916349809886</x:v>
      </x:c>
      <x:c r="D16" s="74" t="n">
        <x:v>10.154365653642063</x:v>
      </x:c>
      <x:c r="E16" s="74" t="n">
        <x:v>3.401096187631053</x:v>
      </x:c>
      <x:c r="F16" s="76" t="n">
        <x:v>123519</x:v>
      </x:c>
      <x:c r="G16" s="76" t="n">
        <x:v>4201</x:v>
      </x:c>
      <x:c r="I16" s="79" t="str">
        <x:v>2026-03</x:v>
      </x:c>
      <x:c r="J16" s="80" t="n">
        <x:v>85.3916349809886</x:v>
      </x:c>
      <x:c r="K16" s="80" t="n">
        <x:v>10.154365653642063</x:v>
      </x:c>
    </x:row>
    <x:row r="17">
      <x:c r="A17" t="str">
        <x:v>2026-04</x:v>
      </x:c>
      <x:c r="B17" t="n">
        <x:v>90</x:v>
      </x:c>
      <x:c r="C17" s="74" t="n">
        <x:v>84.92092577453275</x:v>
      </x:c>
      <x:c r="D17" s="74" t="n">
        <x:v>10.8295852073963</x:v>
      </x:c>
      <x:c r="E17" s="74" t="n">
        <x:v>3.6714911698313637</x:v>
      </x:c>
      <x:c r="F17" s="76" t="n">
        <x:v>120496</x:v>
      </x:c>
      <x:c r="G17" s="76" t="n">
        <x:v>4424</x:v>
      </x:c>
      <x:c r="I17" s="79" t="str">
        <x:v>2026-04</x:v>
      </x:c>
      <x:c r="J17" s="80" t="n">
        <x:v>84.92092577453275</x:v>
      </x:c>
      <x:c r="K17" s="80" t="n">
        <x:v>10.8295852073963</x:v>
      </x:c>
    </x:row>
    <x:row r="18">
      <x:c r="A18" t="str">
        <x:v>2026-05</x:v>
      </x:c>
      <x:c r="B18" t="n">
        <x:v>93</x:v>
      </x:c>
      <x:c r="C18" s="74" t="n">
        <x:v>86.38573159473806</x:v>
      </x:c>
      <x:c r="D18" s="74" t="n">
        <x:v>10.002369106846718</x:v>
      </x:c>
      <x:c r="E18" s="74" t="n">
        <x:v>3.3695389008089895</x:v>
      </x:c>
      <x:c r="F18" s="76" t="n">
        <x:v>119779</x:v>
      </x:c>
      <x:c r="G18" s="76" t="n">
        <x:v>4036</x:v>
      </x:c>
      <x:c r="I18" s="79" t="str">
        <x:v>2026-05</x:v>
      </x:c>
      <x:c r="J18" s="80" t="n">
        <x:v>86.38573159473806</x:v>
      </x:c>
      <x:c r="K18" s="80" t="n">
        <x:v>10.002369106846718</x:v>
      </x:c>
    </x:row>
    <x:row r="19">
      <x:c r="A19" t="str">
        <x:v>2026-06</x:v>
      </x:c>
      <x:c r="B19" t="n">
        <x:v>90</x:v>
      </x:c>
      <x:c r="C19" s="74" t="n">
        <x:v>85.35919284109951</x:v>
      </x:c>
      <x:c r="D19" s="74" t="n">
        <x:v>10.02682272616435</x:v>
      </x:c>
      <x:c r="E19" s="74" t="n">
        <x:v>3.505078855920877</x:v>
      </x:c>
      <x:c r="F19" s="76" t="n">
        <x:v>119712</x:v>
      </x:c>
      <x:c r="G19" s="76" t="n">
        <x:v>4196</x:v>
      </x:c>
      <x:c r="I19" s="79" t="str">
        <x:v>2026-06</x:v>
      </x:c>
      <x:c r="J19" s="80" t="n">
        <x:v>85.35919284109951</x:v>
      </x:c>
      <x:c r="K19" s="80" t="n">
        <x:v>10.02682272616435</x:v>
      </x:c>
    </x:row>
    <x:row r="20">
      <x:c r="A20" t="str">
        <x:v>2026-07</x:v>
      </x:c>
      <x:c r="B20" t="n">
        <x:v>9</x:v>
      </x:c>
      <x:c r="C20" s="74" t="n">
        <x:v>84.65709939818795</x:v>
      </x:c>
      <x:c r="D20" s="74" t="n">
        <x:v>10.895522388059701</x:v>
      </x:c>
      <x:c r="E20" s="74" t="n">
        <x:v>3.3825482384188734</x:v>
      </x:c>
      <x:c r="F20" s="76" t="n">
        <x:v>12801</x:v>
      </x:c>
      <x:c r="G20" s="76" t="n">
        <x:v>433</x:v>
      </x:c>
      <x:c r="I20" s="79" t="str">
        <x:v>2026-07</x:v>
      </x:c>
      <x:c r="J20" s="80" t="n">
        <x:v>84.65709939818795</x:v>
      </x:c>
      <x:c r="K20" s="80" t="n">
        <x:v>10.895522388059701</x:v>
      </x:c>
    </x:row>
  </x:sheetData>
  <x:mergeCells>
    <x:mergeCell ref="A1:H1"/>
    <x:mergeCell ref="A2:H2"/>
  </x:mergeCells>
  <x:pageMargins left="0.7" right="0.7" top="0.75" bottom="0.75" header="0.3" footer="0.3"/>
  <x:drawing xmlns:r="http://schemas.openxmlformats.org/officeDocument/2006/relationships" r:id="R0d9f7f44b1594fbc"/>
</x:worksheet>
</file>

<file path=xl/worksheets/sheet13.xml><?xml version="1.0" encoding="utf-8"?>
<x:worksheet xmlns:x="http://schemas.openxmlformats.org/spreadsheetml/2006/main">
  <x:sheetFormatPr defaultRowHeight="15"/>
  <x:cols>
    <x:col min="1" max="1" width="22" hidden="0" customWidth="1"/>
    <x:col min="2" max="2" width="30" hidden="0" customWidth="1"/>
    <x:col min="3" max="3" width="26" hidden="0" customWidth="1"/>
    <x:col min="4" max="4" width="22" hidden="0" customWidth="1"/>
    <x:col min="5" max="5" width="25" hidden="0" customWidth="1"/>
    <x:col min="6" max="6" width="34" hidden="0" customWidth="1"/>
    <x:col min="7" max="7" width="26" hidden="0" customWidth="1"/>
    <x:col min="8" max="8" width="22" hidden="0" customWidth="1"/>
    <x:col min="9" max="9" width="10" hidden="0" customWidth="1"/>
  </x:cols>
  <x:sheetData>
    <x:row r="1" ht="30" customHeight="1">
      <x:c r="A1" s="62" t="str">
        <x:v>PHASE 5 — DASHBOARD BLUEPRINT FOR PHASE 6</x:v>
      </x:c>
      <x:c r="B1" s="63"/>
      <x:c r="C1" s="63"/>
      <x:c r="D1" s="63"/>
      <x:c r="E1" s="63"/>
      <x:c r="F1" s="63"/>
      <x:c r="G1" s="63"/>
      <x:c r="H1" s="63"/>
      <x:c r="I1" s="63"/>
    </x:row>
    <x:row r="2" ht="30" customHeight="1">
      <x:c r="A2" s="64" t="str">
        <x:v>Blueprint only: findings are established first; visual dashboard construction follows. This avoids chart-first analytics.</x:v>
      </x:c>
      <x:c r="B2" s="64"/>
      <x:c r="C2" s="64"/>
      <x:c r="D2" s="64"/>
      <x:c r="E2" s="64"/>
      <x:c r="F2" s="64"/>
      <x:c r="G2" s="64"/>
      <x:c r="H2" s="64"/>
      <x:c r="I2" s="64"/>
    </x:row>
    <x:row r="4">
      <x:c r="A4" s="70" t="str">
        <x:v>Dashboard area</x:v>
      </x:c>
      <x:c r="B4" s="70" t="str">
        <x:v>Management question</x:v>
      </x:c>
      <x:c r="C4" s="70" t="str">
        <x:v>Primary metric</x:v>
      </x:c>
      <x:c r="D4" s="70" t="str">
        <x:v>Dimension</x:v>
      </x:c>
      <x:c r="E4" s="70" t="str">
        <x:v>Recommended visual</x:v>
      </x:c>
      <x:c r="F4" s="70" t="str">
        <x:v>Reason</x:v>
      </x:c>
      <x:c r="G4" s="70" t="str">
        <x:v>Filter</x:v>
      </x:c>
      <x:c r="H4" s="70" t="str">
        <x:v>Source sheet</x:v>
      </x:c>
      <x:c r="I4" s="70" t="str">
        <x:v>Priority</x:v>
      </x:c>
    </x:row>
    <x:row r="5">
      <x:c r="A5" s="71" t="str">
        <x:v>Executive overview</x:v>
      </x:c>
      <x:c r="B5" s="71" t="str">
        <x:v>What is happening?</x:v>
      </x:c>
      <x:c r="C5" s="71" t="str">
        <x:v>Production attainment / Downtime rate / Reject rate</x:v>
      </x:c>
      <x:c r="D5" s="71" t="str">
        <x:v>Overall / Month</x:v>
      </x:c>
      <x:c r="E5" s="71" t="str">
        <x:v>KPI cards + small trend</x:v>
      </x:c>
      <x:c r="F5" s="71" t="str">
        <x:v>Immediate performance picture</x:v>
      </x:c>
      <x:c r="G5" s="71" t="str">
        <x:v>Date, Product, Machine, Shift</x:v>
      </x:c>
      <x:c r="H5" s="71" t="str">
        <x:v>Analysis_Calc</x:v>
      </x:c>
      <x:c r="I5" s="71" t="str">
        <x:v>1</x:v>
      </x:c>
    </x:row>
    <x:row r="6">
      <x:c r="A6" s="71" t="str">
        <x:v>Machine losses</x:v>
      </x:c>
      <x:c r="B6" s="71" t="str">
        <x:v>Where are production losses concentrated?</x:v>
      </x:c>
      <x:c r="C6" s="71" t="str">
        <x:v>Downtime rate / downtime minutes</x:v>
      </x:c>
      <x:c r="D6" s="71" t="str">
        <x:v>Machine</x:v>
      </x:c>
      <x:c r="E6" s="71" t="str">
        <x:v>Sorted bar chart</x:v>
      </x:c>
      <x:c r="F6" s="71" t="str">
        <x:v>Highlights Dryer 3 hotspot</x:v>
      </x:c>
      <x:c r="G6" s="71" t="str">
        <x:v>Date, Shift, Product</x:v>
      </x:c>
      <x:c r="H6" s="71" t="str">
        <x:v>Analysis_Calc</x:v>
      </x:c>
      <x:c r="I6" s="71" t="str">
        <x:v>1</x:v>
      </x:c>
    </x:row>
    <x:row r="7">
      <x:c r="A7" s="71" t="str">
        <x:v>Shift × machine hotspot</x:v>
      </x:c>
      <x:c r="B7" s="71" t="str">
        <x:v>Where is the weakest operating cell?</x:v>
      </x:c>
      <x:c r="C7" s="71" t="str">
        <x:v>Attainment %</x:v>
      </x:c>
      <x:c r="D7" s="71" t="str">
        <x:v>Shift × Machine</x:v>
      </x:c>
      <x:c r="E7" s="71" t="str">
        <x:v>Heatmap matrix</x:v>
      </x:c>
      <x:c r="F7" s="71" t="str">
        <x:v>Makes interaction hotspot visible</x:v>
      </x:c>
      <x:c r="G7" s="71" t="str">
        <x:v>Date, Product</x:v>
      </x:c>
      <x:c r="H7" s="71" t="str">
        <x:v>Phase5_Robustness</x:v>
      </x:c>
      <x:c r="I7" s="71" t="str">
        <x:v>1</x:v>
      </x:c>
    </x:row>
    <x:row r="8">
      <x:c r="A8" s="71" t="str">
        <x:v>Quality loss</x:v>
      </x:c>
      <x:c r="B8" s="71" t="str">
        <x:v>Where is quality loss concentrated?</x:v>
      </x:c>
      <x:c r="C8" s="71" t="str">
        <x:v>Reject rate % / Reject kg</x:v>
      </x:c>
      <x:c r="D8" s="71" t="str">
        <x:v>Product × Machine</x:v>
      </x:c>
      <x:c r="E8" s="71" t="str">
        <x:v>Heatmap + Pareto</x:v>
      </x:c>
      <x:c r="F8" s="71" t="str">
        <x:v>Moves beyond product-only ranking</x:v>
      </x:c>
      <x:c r="G8" s="71" t="str">
        <x:v>Date, Shift</x:v>
      </x:c>
      <x:c r="H8" s="71" t="str">
        <x:v>Phase5_Robustness</x:v>
      </x:c>
      <x:c r="I8" s="71" t="str">
        <x:v>1</x:v>
      </x:c>
    </x:row>
    <x:row r="9">
      <x:c r="A9" s="71" t="str">
        <x:v>Downtime relationship</x:v>
      </x:c>
      <x:c r="B9" s="71" t="str">
        <x:v>What appears associated with lower output?</x:v>
      </x:c>
      <x:c r="C9" s="71" t="str">
        <x:v>Downtime rate vs attainment</x:v>
      </x:c>
      <x:c r="D9" s="71" t="str">
        <x:v>Record-level</x:v>
      </x:c>
      <x:c r="E9" s="71" t="str">
        <x:v>Scatter plot + trendline</x:v>
      </x:c>
      <x:c r="F9" s="71" t="str">
        <x:v>Communicates association without causal language</x:v>
      </x:c>
      <x:c r="G9" s="71" t="str">
        <x:v>Machine, Shift</x:v>
      </x:c>
      <x:c r="H9" s="71" t="str">
        <x:v>Analysis_Calc</x:v>
      </x:c>
      <x:c r="I9" s="71" t="str">
        <x:v>2</x:v>
      </x:c>
    </x:row>
    <x:row r="10">
      <x:c r="A10" s="71" t="str">
        <x:v>HSE context</x:v>
      </x:c>
      <x:c r="B10" s="71" t="str">
        <x:v>Where are safety signals concentrated?</x:v>
      </x:c>
      <x:c r="C10" s="71" t="str">
        <x:v>PPE compliance / non-no-incident % / observations</x:v>
      </x:c>
      <x:c r="D10" s="71" t="str">
        <x:v>Shift</x:v>
      </x:c>
      <x:c r="E10" s="71" t="str">
        <x:v>Bar + KPI</x:v>
      </x:c>
      <x:c r="F10" s="71" t="str">
        <x:v>Provides HSE context without overclaiming</x:v>
      </x:c>
      <x:c r="G10" s="71" t="str">
        <x:v>Machine, Product, Date</x:v>
      </x:c>
      <x:c r="H10" s="71" t="str">
        <x:v>Analysis_Calc</x:v>
      </x:c>
      <x:c r="I10" s="71" t="str">
        <x:v>2</x:v>
      </x:c>
    </x:row>
    <x:row r="11">
      <x:c r="A11" s="71" t="str">
        <x:v>Corrective actions</x:v>
      </x:c>
      <x:c r="B11" s="71" t="str">
        <x:v>Where is unresolved work concentrated?</x:v>
      </x:c>
      <x:c r="C11" s="71" t="str">
        <x:v>Open + In progress rate</x:v>
      </x:c>
      <x:c r="D11" s="71" t="str">
        <x:v>Shift / Machine</x:v>
      </x:c>
      <x:c r="E11" s="71" t="str">
        <x:v>Ranked bar / table</x:v>
      </x:c>
      <x:c r="F11" s="71" t="str">
        <x:v>Shows action backlog concentration</x:v>
      </x:c>
      <x:c r="G11" s="71" t="str">
        <x:v>Date, Incident type</x:v>
      </x:c>
      <x:c r="H11" s="71" t="str">
        <x:v>Analysis_Calc</x:v>
      </x:c>
      <x:c r="I11" s="71" t="str">
        <x:v>2</x:v>
      </x:c>
    </x:row>
    <x:row r="12">
      <x:c r="A12" s="71" t="str">
        <x:v>Management actions</x:v>
      </x:c>
      <x:c r="B12" s="71" t="str">
        <x:v>What should happen next?</x:v>
      </x:c>
      <x:c r="C12" s="71" t="str">
        <x:v>Priority workstreams</x:v>
      </x:c>
      <x:c r="D12" s="71" t="str">
        <x:v>Finding</x:v>
      </x:c>
      <x:c r="E12" s="71" t="str">
        <x:v>Action table</x:v>
      </x:c>
      <x:c r="F12" s="71" t="str">
        <x:v>Connects analytics to decisions</x:v>
      </x:c>
      <x:c r="G12" s="71" t="str">
        <x:v>—</x:v>
      </x:c>
      <x:c r="H12" s="71" t="str">
        <x:v>Phase5_Readout</x:v>
      </x:c>
      <x:c r="I12" s="71" t="str">
        <x:v>1</x:v>
      </x:c>
    </x:row>
  </x:sheetData>
  <x:mergeCells>
    <x:mergeCell ref="A1:I1"/>
    <x:mergeCell ref="A2:I2"/>
  </x:mergeCells>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72" hidden="0" customWidth="1"/>
    <x:col min="3" max="3" width="34" hidden="0" customWidth="1"/>
    <x:col min="4" max="4" width="34" hidden="0" customWidth="1"/>
  </x:cols>
  <x:sheetData>
    <x:row r="1" ht="30" customHeight="1">
      <x:c r="A1" s="62" t="str">
        <x:v>PHASE 5 — EXTENDED SQL ANALYSIS PACK</x:v>
      </x:c>
      <x:c r="B1" s="63"/>
      <x:c r="C1" s="63"/>
      <x:c r="D1" s="63"/>
    </x:row>
    <x:row r="2" ht="30" customHeight="1">
      <x:c r="A2" s="64" t="str">
        <x:v>SQL for deeper robustness, interaction and trend tests. Keep causal language out of the SQL narrative.</x:v>
      </x:c>
      <x:c r="B2" s="64"/>
      <x:c r="C2" s="64"/>
      <x:c r="D2" s="64"/>
    </x:row>
    <x:row r="4">
      <x:c r="A4" s="70" t="str">
        <x:v>Query purpose</x:v>
      </x:c>
      <x:c r="B4" s="70" t="str">
        <x:v>SQL</x:v>
      </x:c>
      <x:c r="C4" s="70" t="str">
        <x:v>What it answers</x:v>
      </x:c>
      <x:c r="D4" s="70" t="str">
        <x:v>Caution</x:v>
      </x:c>
    </x:row>
    <x:row r="5" ht="86" customHeight="1">
      <x:c r="A5" s="63" t="str">
        <x:v>01 — Robustness by machine</x:v>
      </x:c>
      <x:c r="B5" s="78" t="str">
        <x:v>SELECT Machine,
       COUNT(*) AS records,
       SUM(Downtime_Minutes) / NULLIF(SUM(Scheduled_Minutes),0) * 100 AS downtime_rate_pct,
       SUM(Actual_Output_kg) / NULLIF(SUM(Target_Output_kg),0) * 100 AS attainment_pct
FROM data
GROUP BY Machine
ORDER BY downtime_rate_pct DESC;</x:v>
      </x:c>
      <x:c r="C5" s="63" t="str">
        <x:v>Phase 5 robustness / interaction / trend test</x:v>
      </x:c>
      <x:c r="D5" s="63" t="str">
        <x:v>Synthetic data; association only.</x:v>
      </x:c>
    </x:row>
    <x:row r="6" ht="86" customHeight="1">
      <x:c r="A6" s="63" t="str">
        <x:v>02 — Robustness by shift</x:v>
      </x:c>
      <x:c r="B6" s="78" t="str">
        <x:v>SELECT Shift,
       COUNT(*) AS records,
       SUM(Downtime_Minutes) / NULLIF(SUM(Scheduled_Minutes),0) * 100 AS downtime_rate_pct,
       SUM(Actual_Output_kg) / NULLIF(SUM(Target_Output_kg),0) * 100 AS attainment_pct
FROM data
GROUP BY Shift
ORDER BY attainment_pct ASC;</x:v>
      </x:c>
      <x:c r="C6" s="63" t="str">
        <x:v>Phase 5 robustness / interaction / trend test</x:v>
      </x:c>
      <x:c r="D6" s="63" t="str">
        <x:v>Synthetic data; association only.</x:v>
      </x:c>
    </x:row>
    <x:row r="7" ht="86" customHeight="1">
      <x:c r="A7" s="63" t="str">
        <x:v>03 — Product × machine quality hotspot</x:v>
      </x:c>
      <x:c r="B7" s="78" t="str">
        <x:v>SELECT Product, Machine,
       COUNT(*) AS records,
       SUM(Rejects_kg) / NULLIF(SUM(Actual_Output_kg),0) * 100 AS reject_rate_pct,
       SUM(Actual_Output_kg) / NULLIF(SUM(Target_Output_kg),0) * 100 AS attainment_pct
FROM data
GROUP BY Product, Machine
ORDER BY reject_rate_pct DESC;</x:v>
      </x:c>
      <x:c r="C7" s="63" t="str">
        <x:v>Phase 5 robustness / interaction / trend test</x:v>
      </x:c>
      <x:c r="D7" s="63" t="str">
        <x:v>Synthetic data; association only.</x:v>
      </x:c>
    </x:row>
    <x:row r="8" ht="86" customHeight="1">
      <x:c r="A8" s="63" t="str">
        <x:v>04 — Shift × product interaction</x:v>
      </x:c>
      <x:c r="B8" s="78" t="str">
        <x:v>SELECT Shift, Product,
       COUNT(*) AS records,
       SUM(Actual_Output_kg) / NULLIF(SUM(Target_Output_kg),0) * 100 AS attainment_pct,
       SUM(Downtime_Minutes) / NULLIF(SUM(Scheduled_Minutes),0) * 100 AS downtime_rate_pct,
       SUM(Rejects_kg) / NULLIF(SUM(Actual_Output_kg),0) * 100 AS reject_rate_pct
FROM data
GROUP BY Shift, Product
ORDER BY attainment_pct ASC;</x:v>
      </x:c>
      <x:c r="C8" s="63" t="str">
        <x:v>Phase 5 robustness / interaction / trend test</x:v>
      </x:c>
      <x:c r="D8" s="63" t="str">
        <x:v>Synthetic data; association only.</x:v>
      </x:c>
    </x:row>
    <x:row r="9" ht="86" customHeight="1">
      <x:c r="A9" s="63" t="str">
        <x:v>05 — Active corrective-action concentration</x:v>
      </x:c>
      <x:c r="B9" s="78" t="str">
        <x:v>SELECT Shift,
       COUNT(*) AS records,
       SUM(CASE WHEN Corrective_Action_Status IN ('Open','In progress') THEN 1 ELSE 0 END) AS active_records,
       SUM(CASE WHEN Corrective_Action_Status IN ('Open','In progress') THEN 1 ELSE 0 END) * 100.0 / COUNT(*) AS active_rate_pct
FROM data
GROUP BY Shift
ORDER BY active_rate_pct DESC;</x:v>
      </x:c>
      <x:c r="C9" s="63" t="str">
        <x:v>Phase 5 robustness / interaction / trend test</x:v>
      </x:c>
      <x:c r="D9" s="63" t="str">
        <x:v>Synthetic data; association only.</x:v>
      </x:c>
    </x:row>
    <x:row r="10" ht="86" customHeight="1">
      <x:c r="A10" s="63" t="str">
        <x:v>06 — Monthly stability check</x:v>
      </x:c>
      <x:c r="B10" s="78" t="str">
        <x:v>SELECT strftime('%Y-%m', Date) AS month,
       COUNT(*) AS records,
       SUM(Actual_Output_kg) / NULLIF(SUM(Target_Output_kg),0) * 100 AS attainment_pct,
       SUM(Downtime_Minutes) / NULLIF(SUM(Scheduled_Minutes),0) * 100 AS downtime_rate_pct,
       SUM(Rejects_kg) / NULLIF(SUM(Actual_Output_kg),0) * 100 AS reject_rate_pct
FROM data
GROUP BY month
ORDER BY month;</x:v>
      </x:c>
      <x:c r="C10" s="63" t="str">
        <x:v>Phase 5 robustness / interaction / trend test</x:v>
      </x:c>
      <x:c r="D10" s="63" t="str">
        <x:v>Synthetic data; association only.</x:v>
      </x:c>
    </x:row>
    <x:row r="11" ht="86" customHeight="1">
      <x:c r="A11" s="63" t="str">
        <x:v>07 — Maintenance type diagnostic</x:v>
      </x:c>
      <x:c r="B11" s="78" t="str">
        <x:v>SELECT Maintenance_Type,
       COUNT(*) AS records,
       AVG(Maintenance_Duration_hr) AS avg_maintenance_duration_hr,
       SUM(Downtime_Minutes) / NULLIF(SUM(Scheduled_Minutes),0) * 100 AS downtime_rate_pct
FROM data
GROUP BY Maintenance_Type
ORDER BY downtime_rate_pct DESC;</x:v>
      </x:c>
      <x:c r="C11" s="63" t="str">
        <x:v>Phase 5 robustness / interaction / trend test</x:v>
      </x:c>
      <x:c r="D11" s="63" t="str">
        <x:v>Synthetic data; association only.</x:v>
      </x:c>
    </x:row>
    <x:row r="12" ht="86" customHeight="1">
      <x:c r="A12" s="63" t="str">
        <x:v>08 — HSE signal concentration</x:v>
      </x:c>
      <x:c r="B12" s="78" t="str">
        <x:v>SELECT Shift, Machine,
       COUNT(*) AS records,
       SUM(CASE WHEN Incident_Type &lt;&gt; 'No incident' THEN 1 ELSE 0 END) AS non_incident_records,
       SUM(CASE WHEN Incident_Type &lt;&gt; 'No incident' THEN 1 ELSE 0 END) * 100.0 / COUNT(*) AS non_incident_rate_pct
FROM data
GROUP BY Shift, Machine
ORDER BY non_incident_rate_pct DESC;</x:v>
      </x:c>
      <x:c r="C12" s="63" t="str">
        <x:v>Phase 5 robustness / interaction / trend test</x:v>
      </x:c>
      <x:c r="D12" s="63" t="str">
        <x:v>Synthetic data; association only.</x:v>
      </x:c>
    </x:row>
    <x:row r="13" ht="86" customHeight="1">
      <x:c r="A13" s="63" t="str">
        <x:v>09 — Dryer 3 diagnostic cohort</x:v>
      </x:c>
      <x:c r="B13" s="78" t="str">
        <x:v>SELECT Shift, Product,
       COUNT(*) AS records,
       SUM(Downtime_Minutes) / NULLIF(SUM(Scheduled_Minutes),0) * 100 AS downtime_rate_pct,
       SUM(Actual_Output_kg) / NULLIF(SUM(Target_Output_kg),0) * 100 AS attainment_pct,
       SUM(Rejects_kg) / NULLIF(SUM(Actual_Output_kg),0) * 100 AS reject_rate_pct
FROM data
WHERE Machine = 'Dryer 3'
GROUP BY Shift, Product
ORDER BY attainment_pct ASC;</x:v>
      </x:c>
      <x:c r="C13" s="63" t="str">
        <x:v>Phase 5 robustness / interaction / trend test</x:v>
      </x:c>
      <x:c r="D13" s="63" t="str">
        <x:v>Synthetic data; association only.</x:v>
      </x:c>
    </x:row>
    <x:row r="14" ht="86" customHeight="1">
      <x:c r="A14" s="63" t="str">
        <x:v>10 — Required data for causal validation</x:v>
      </x:c>
      <x:c r="B14" s="78" t="str">
        <x:v>-- Documentation query / checklist, not executable as-is.
-- Add event-level downtime reason, failure mode, staffing/work content,
-- process parameters, defect reason, exposure hours, action ageing/owner,
-- and planned/unplanned maintenance status before causal claims.</x:v>
      </x:c>
      <x:c r="C14" s="63" t="str">
        <x:v>Phase 5 robustness / interaction / trend test</x:v>
      </x:c>
      <x:c r="D14" s="63" t="str">
        <x:v>Synthetic data; association only.</x:v>
      </x:c>
    </x:row>
  </x:sheetData>
  <x:mergeCells>
    <x:mergeCell ref="A1:D1"/>
    <x:mergeCell ref="A2:D2"/>
  </x:mergeCells>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16" hidden="0" customWidth="1"/>
    <x:col min="4" max="4" width="16" hidden="0" customWidth="1"/>
    <x:col min="5" max="5" width="16" hidden="0" customWidth="1"/>
    <x:col min="6" max="6" width="16" hidden="0" customWidth="1"/>
    <x:col min="7" max="7" width="16" hidden="0" customWidth="1"/>
    <x:col min="8" max="8"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ht="26" customHeight="1">
      <x:c r="A1" s="100" t="str">
        <x:v>PHASE 6 — DASHBOARD CALCULATIONS</x:v>
      </x:c>
      <x:c r="B1" s="14"/>
      <x:c r="C1" s="14"/>
      <x:c r="D1" s="14"/>
      <x:c r="E1" s="14"/>
      <x:c r="F1" s="14"/>
      <x:c r="G1" s="14"/>
      <x:c r="H1" s="14"/>
      <x:c r="I1" s="14"/>
      <x:c r="J1" s="14"/>
      <x:c r="K1" s="14"/>
      <x:c r="L1" s="14"/>
      <x:c r="M1" s="14"/>
      <x:c r="N1" s="14"/>
      <x:c r="O1" s="14"/>
      <x:c r="P1" s="14"/>
      <x:c r="Q1" s="14"/>
    </x:row>
    <x:row r="2" ht="26" customHeight="1">
      <x:c r="A2" s="92" t="str">
        <x:v>Formula-driven calculation layer for management dashboards. Source: Analysis_Calc. Synthetic dataset; findings are illustrative.</x:v>
      </x:c>
      <x:c r="B2" s="14"/>
      <x:c r="C2" s="14"/>
      <x:c r="D2" s="14"/>
      <x:c r="E2" s="14"/>
      <x:c r="F2" s="14"/>
      <x:c r="G2" s="14"/>
      <x:c r="H2" s="14"/>
      <x:c r="I2" s="14"/>
      <x:c r="J2" s="14"/>
      <x:c r="K2" s="14"/>
      <x:c r="L2" s="14"/>
      <x:c r="M2" s="14"/>
      <x:c r="N2" s="14"/>
      <x:c r="O2" s="14"/>
      <x:c r="P2" s="14"/>
      <x:c r="Q2" s="14"/>
    </x:row>
    <x:row r="3" ht="20" customHeight="1">
      <x:c r="A3" s="14"/>
      <x:c r="B3" s="14"/>
      <x:c r="C3" s="14"/>
      <x:c r="D3" s="14"/>
      <x:c r="E3" s="14"/>
      <x:c r="F3" s="14"/>
      <x:c r="G3" s="14"/>
      <x:c r="H3" s="14"/>
      <x:c r="I3" s="14"/>
      <x:c r="J3" s="14"/>
      <x:c r="K3" s="14"/>
      <x:c r="L3" s="14"/>
      <x:c r="M3" s="14"/>
      <x:c r="N3" s="14"/>
      <x:c r="O3" s="14"/>
      <x:c r="P3" s="14"/>
      <x:c r="Q3" s="14"/>
    </x:row>
    <x:row r="4" ht="20" customHeight="1">
      <x:c r="A4" s="101" t="str">
        <x:v>KPI</x:v>
      </x:c>
      <x:c r="B4" s="101" t="str">
        <x:v>Value</x:v>
      </x:c>
      <x:c r="C4" s="14"/>
      <x:c r="D4" s="101" t="str">
        <x:v>Machine</x:v>
      </x:c>
      <x:c r="E4" s="101" t="str">
        <x:v>Downtime min</x:v>
      </x:c>
      <x:c r="F4" s="101" t="str">
        <x:v>Downtime rate %</x:v>
      </x:c>
      <x:c r="G4" s="101" t="str">
        <x:v>Attainment %</x:v>
      </x:c>
      <x:c r="H4" s="101" t="str">
        <x:v>Reject rate %</x:v>
      </x:c>
      <x:c r="I4" s="14"/>
      <x:c r="J4" s="14"/>
      <x:c r="K4" s="14"/>
      <x:c r="L4" s="14"/>
      <x:c r="M4" s="101" t="str">
        <x:v>Month</x:v>
      </x:c>
      <x:c r="N4" s="101" t="str">
        <x:v>Records</x:v>
      </x:c>
      <x:c r="O4" s="101" t="str">
        <x:v>Attainment %</x:v>
      </x:c>
      <x:c r="P4" s="101" t="str">
        <x:v>Downtime %</x:v>
      </x:c>
      <x:c r="Q4" s="101" t="str">
        <x:v>Reject %</x:v>
      </x:c>
      <x:c r="S4" t="str">
        <x:v>Month</x:v>
      </x:c>
      <x:c r="T4" t="str">
        <x:v>Attainment %</x:v>
      </x:c>
      <x:c r="U4" t="str">
        <x:v>Downtime %</x:v>
      </x:c>
      <x:c r="W4" t="str">
        <x:v>Machine</x:v>
      </x:c>
      <x:c r="X4" t="str">
        <x:v>Downtime rate %</x:v>
      </x:c>
    </x:row>
    <x:row r="5" ht="20" customHeight="1">
      <x:c r="A5" s="63" t="str">
        <x:v>Records</x:v>
      </x:c>
      <x:c r="B5" s="63" t="n">
        <x:f>COUNTA(Analysis_Calc!$A$2:$A$541)</x:f>
        <x:v>540</x:v>
      </x:c>
      <x:c r="C5" s="14"/>
      <x:c r="D5" s="63" t="str">
        <x:v>Dryer 3</x:v>
      </x:c>
      <x:c r="E5" s="63" t="n">
        <x:f>SUMIF(Analysis_Calc!$D$2:$D$541,D5,Analysis_Calc!$H$2:$H$541)</x:f>
        <x:v>8668</x:v>
      </x:c>
      <x:c r="F5" s="75" t="n">
        <x:f>SUMIF(Analysis_Calc!$D$2:$D$541,D5,Analysis_Calc!$H$2:$H$541)/SUMIF(Analysis_Calc!$D$2:$D$541,D5,Analysis_Calc!$F$2:$F$541)*100</x:f>
        <x:v>13.41380377592077</x:v>
      </x:c>
      <x:c r="G5" s="75" t="n">
        <x:f>SUMIF(Analysis_Calc!$D$2:$D$541,D5,Analysis_Calc!$J$2:$J$541)/SUMIF(Analysis_Calc!$D$2:$D$541,D5,Analysis_Calc!$I$2:$I$541)*100</x:f>
        <x:v>82.41998965431932</x:v>
      </x:c>
      <x:c r="H5" s="75" t="n">
        <x:f>SUMIF(Analysis_Calc!$D$2:$D$541,D5,Analysis_Calc!$K$2:$K$541)/SUMIF(Analysis_Calc!$D$2:$D$541,D5,Analysis_Calc!$J$2:$J$541)*100</x:f>
        <x:v>4.493756549074397</x:v>
      </x:c>
      <x:c r="I5" s="14"/>
      <x:c r="J5" s="14"/>
      <x:c r="K5" s="14"/>
      <x:c r="L5" s="14"/>
      <x:c r="M5" s="102" t="n">
        <x:v>46023</x:v>
      </x:c>
      <x:c r="N5" s="63" t="n">
        <x:f>COUNTIFS(Analysis_Calc!$A$2:$A$541,"&gt;="&amp;M5,Analysis_Calc!$A$2:$A$541,"&lt;"&amp;DATE(YEAR(M5),MONTH(M5)+1,1))</x:f>
        <x:v>81</x:v>
      </x:c>
      <x:c r="O5" s="75" t="n">
        <x:f>SUMIFS(Analysis_Calc!$J$2:$J$541,Analysis_Calc!$A$2:$A$541,"&gt;="&amp;M5,Analysis_Calc!$A$2:$A$541,"&lt;"&amp;DATE(YEAR(M5),MONTH(M5)+1,1))/SUMIFS(Analysis_Calc!$I$2:$I$541,Analysis_Calc!$A$2:$A$541,"&gt;="&amp;M5,Analysis_Calc!$A$2:$A$541,"&lt;"&amp;DATE(YEAR(M5),MONTH(M5)+1,1))*100</x:f>
        <x:v>84.7381285300926</x:v>
      </x:c>
      <x:c r="P5" s="75" t="n">
        <x:f>SUMIFS(Analysis_Calc!$H$2:$H$541,Analysis_Calc!$A$2:$A$541,"&gt;="&amp;M5,Analysis_Calc!$A$2:$A$541,"&lt;"&amp;DATE(YEAR(M5),MONTH(M5)+1,1))/SUMIFS(Analysis_Calc!$F$2:$F$541,Analysis_Calc!$A$2:$A$541,"&gt;="&amp;M5,Analysis_Calc!$A$2:$A$541,"&lt;"&amp;DATE(YEAR(M5),MONTH(M5)+1,1))*100</x:f>
        <x:v>10.380405046296296</x:v>
      </x:c>
      <x:c r="Q5" s="75" t="n">
        <x:f>SUMIFS(Analysis_Calc!$K$2:$K$541,Analysis_Calc!$A$2:$A$541,"&gt;="&amp;M5,Analysis_Calc!$A$2:$A$541,"&lt;"&amp;DATE(YEAR(M5),MONTH(M5)+1,1))/SUMIFS(Analysis_Calc!$J$2:$J$541,Analysis_Calc!$A$2:$A$541,"&gt;="&amp;M5,Analysis_Calc!$A$2:$A$541,"&lt;"&amp;DATE(YEAR(M5),MONTH(M5)+1,1))*100</x:f>
        <x:v>3.4979404050925926</x:v>
      </x:c>
      <x:c r="S5" s="171" t="str">
        <x:v>Jan-26</x:v>
      </x:c>
      <x:c r="T5" s="74" t="n">
        <x:f>O5</x:f>
        <x:v>84.73812852016252</x:v>
      </x:c>
      <x:c r="U5" s="74" t="n">
        <x:f>P5</x:f>
        <x:v>10.380405035577448</x:v>
      </x:c>
      <x:c r="W5" t="str">
        <x:v>Dryer 3</x:v>
      </x:c>
      <x:c r="X5" s="74" t="n">
        <x:f>F5</x:f>
        <x:v>13.41380377592077</x:v>
      </x:c>
    </x:row>
    <x:row r="6" ht="20" customHeight="1">
      <x:c r="A6" s="63" t="str">
        <x:v>Target Output (kg)</x:v>
      </x:c>
      <x:c r="B6" s="103" t="n">
        <x:f>SUM(Analysis_Calc!$I$2:$I$541)</x:f>
        <x:v>829211</x:v>
      </x:c>
      <x:c r="C6" s="14"/>
      <x:c r="D6" s="63" t="str">
        <x:v>Dryer 4</x:v>
      </x:c>
      <x:c r="E6" s="63" t="n">
        <x:f>SUMIF(Analysis_Calc!$D$2:$D$541,D6,Analysis_Calc!$H$2:$H$541)</x:f>
        <x:v>6008</x:v>
      </x:c>
      <x:c r="F6" s="75" t="n">
        <x:f>SUMIF(Analysis_Calc!$D$2:$D$541,D6,Analysis_Calc!$H$2:$H$541)/SUMIF(Analysis_Calc!$D$2:$D$541,D6,Analysis_Calc!$F$2:$F$541)*100</x:f>
        <x:v>10.12982633619963</x:v>
      </x:c>
      <x:c r="G6" s="75" t="n">
        <x:f>SUMIF(Analysis_Calc!$D$2:$D$541,D6,Analysis_Calc!$J$2:$J$541)/SUMIF(Analysis_Calc!$D$2:$D$541,D6,Analysis_Calc!$I$2:$I$541)*100</x:f>
        <x:v>85.52573247894249</x:v>
      </x:c>
      <x:c r="H6" s="75" t="n">
        <x:f>SUMIF(Analysis_Calc!$D$2:$D$541,D6,Analysis_Calc!$K$2:$K$541)/SUMIF(Analysis_Calc!$D$2:$D$541,D6,Analysis_Calc!$J$2:$J$541)*100</x:f>
        <x:v>3.131847418891219</x:v>
      </x:c>
      <x:c r="I6" s="14"/>
      <x:c r="J6" s="14"/>
      <x:c r="K6" s="14"/>
      <x:c r="L6" s="14"/>
      <x:c r="M6" s="102" t="n">
        <x:v>46054</x:v>
      </x:c>
      <x:c r="N6" s="63" t="n">
        <x:f>COUNTIFS(Analysis_Calc!$A$2:$A$541,"&gt;="&amp;M6,Analysis_Calc!$A$2:$A$541,"&lt;"&amp;DATE(YEAR(M6),MONTH(M6)+1,1))</x:f>
        <x:v>84</x:v>
      </x:c>
      <x:c r="O6" s="75" t="n">
        <x:f>SUMIFS(Analysis_Calc!$J$2:$J$541,Analysis_Calc!$A$2:$A$541,"&gt;="&amp;M6,Analysis_Calc!$A$2:$A$541,"&lt;"&amp;DATE(YEAR(M6),MONTH(M6)+1,1))/SUMIFS(Analysis_Calc!$I$2:$I$541,Analysis_Calc!$A$2:$A$541,"&gt;="&amp;M6,Analysis_Calc!$A$2:$A$541,"&lt;"&amp;DATE(YEAR(M6),MONTH(M6)+1,1))*100</x:f>
        <x:v>85.03356662037037</x:v>
      </x:c>
      <x:c r="P6" s="75" t="n">
        <x:f>SUMIFS(Analysis_Calc!$H$2:$H$541,Analysis_Calc!$A$2:$A$541,"&gt;="&amp;M6,Analysis_Calc!$A$2:$A$541,"&lt;"&amp;DATE(YEAR(M6),MONTH(M6)+1,1))/SUMIFS(Analysis_Calc!$F$2:$F$541,Analysis_Calc!$A$2:$A$541,"&gt;="&amp;M6,Analysis_Calc!$A$2:$A$541,"&lt;"&amp;DATE(YEAR(M6),MONTH(M6)+1,1))*100</x:f>
        <x:v>10.73841320601852</x:v>
      </x:c>
      <x:c r="Q6" s="75" t="n">
        <x:f>SUMIFS(Analysis_Calc!$K$2:$K$541,Analysis_Calc!$A$2:$A$541,"&gt;="&amp;M6,Analysis_Calc!$A$2:$A$541,"&lt;"&amp;DATE(YEAR(M6),MONTH(M6)+1,1))/SUMIFS(Analysis_Calc!$J$2:$J$541,Analysis_Calc!$A$2:$A$541,"&gt;="&amp;M6,Analysis_Calc!$A$2:$A$541,"&lt;"&amp;DATE(YEAR(M6),MONTH(M6)+1,1))*100</x:f>
        <x:v>3.6439470833333334</x:v>
      </x:c>
      <x:c r="S6" s="171" t="str">
        <x:v>Feb-26</x:v>
      </x:c>
      <x:c r="T6" s="74" t="n">
        <x:f>O6</x:f>
        <x:v>85.03356661072232</x:v>
      </x:c>
      <x:c r="U6" s="74" t="n">
        <x:f>P6</x:f>
        <x:v>10.738413197172035</x:v>
      </x:c>
      <x:c r="W6" t="str">
        <x:v>Dryer 4</x:v>
      </x:c>
      <x:c r="X6" s="74" t="n">
        <x:f>F6</x:f>
        <x:v>10.12982633619963</x:v>
      </x:c>
    </x:row>
    <x:row r="7" ht="20" customHeight="1">
      <x:c r="A7" s="63" t="str">
        <x:v>Actual Output (kg)</x:v>
      </x:c>
      <x:c r="B7" s="103" t="n">
        <x:f>SUM(Analysis_Calc!$J$2:$J$541)</x:f>
        <x:v>707379</x:v>
      </x:c>
      <x:c r="C7" s="14"/>
      <x:c r="D7" s="63" t="str">
        <x:v>Dryer 1</x:v>
      </x:c>
      <x:c r="E7" s="63" t="n">
        <x:f>SUMIF(Analysis_Calc!$D$2:$D$541,D7,Analysis_Calc!$H$2:$H$541)</x:f>
        <x:v>5757</x:v>
      </x:c>
      <x:c r="F7" s="75" t="n">
        <x:f>SUMIF(Analysis_Calc!$D$2:$D$541,D7,Analysis_Calc!$H$2:$H$541)/SUMIF(Analysis_Calc!$D$2:$D$541,D7,Analysis_Calc!$F$2:$F$541)*100</x:f>
        <x:v>8.770566727605118</x:v>
      </x:c>
      <x:c r="G7" s="75" t="n">
        <x:f>SUMIF(Analysis_Calc!$D$2:$D$541,D7,Analysis_Calc!$J$2:$J$541)/SUMIF(Analysis_Calc!$D$2:$D$541,D7,Analysis_Calc!$I$2:$I$541)*100</x:f>
        <x:v>87.0019392142854</x:v>
      </x:c>
      <x:c r="H7" s="75" t="n">
        <x:f>SUMIF(Analysis_Calc!$D$2:$D$541,D7,Analysis_Calc!$K$2:$K$541)/SUMIF(Analysis_Calc!$D$2:$D$541,D7,Analysis_Calc!$J$2:$J$541)*100</x:f>
        <x:v>3.2510787624070425</x:v>
      </x:c>
      <x:c r="I7" s="14"/>
      <x:c r="J7" s="14"/>
      <x:c r="K7" s="14"/>
      <x:c r="L7" s="14"/>
      <x:c r="M7" s="102" t="n">
        <x:v>46082</x:v>
      </x:c>
      <x:c r="N7" s="63" t="n">
        <x:f>COUNTIFS(Analysis_Calc!$A$2:$A$541,"&gt;="&amp;M7,Analysis_Calc!$A$2:$A$541,"&lt;"&amp;DATE(YEAR(M7),MONTH(M7)+1,1))</x:f>
        <x:v>93</x:v>
      </x:c>
      <x:c r="O7" s="75" t="n">
        <x:f>SUMIFS(Analysis_Calc!$J$2:$J$541,Analysis_Calc!$A$2:$A$541,"&gt;="&amp;M7,Analysis_Calc!$A$2:$A$541,"&lt;"&amp;DATE(YEAR(M7),MONTH(M7)+1,1))/SUMIFS(Analysis_Calc!$I$2:$I$541,Analysis_Calc!$A$2:$A$541,"&gt;="&amp;M7,Analysis_Calc!$A$2:$A$541,"&lt;"&amp;DATE(YEAR(M7),MONTH(M7)+1,1))*100</x:f>
        <x:v>85.39163498842592</x:v>
      </x:c>
      <x:c r="P7" s="75" t="n">
        <x:f>SUMIFS(Analysis_Calc!$H$2:$H$541,Analysis_Calc!$A$2:$A$541,"&gt;="&amp;M7,Analysis_Calc!$A$2:$A$541,"&lt;"&amp;DATE(YEAR(M7),MONTH(M7)+1,1))/SUMIFS(Analysis_Calc!$F$2:$F$541,Analysis_Calc!$A$2:$A$541,"&gt;="&amp;M7,Analysis_Calc!$A$2:$A$541,"&lt;"&amp;DATE(YEAR(M7),MONTH(M7)+1,1))*100</x:f>
        <x:v>10.154365659722222</x:v>
      </x:c>
      <x:c r="Q7" s="75" t="n">
        <x:f>SUMIFS(Analysis_Calc!$K$2:$K$541,Analysis_Calc!$A$2:$A$541,"&gt;="&amp;M7,Analysis_Calc!$A$2:$A$541,"&lt;"&amp;DATE(YEAR(M7),MONTH(M7)+1,1))/SUMIFS(Analysis_Calc!$J$2:$J$541,Analysis_Calc!$A$2:$A$541,"&gt;="&amp;M7,Analysis_Calc!$A$2:$A$541,"&lt;"&amp;DATE(YEAR(M7),MONTH(M7)+1,1))*100</x:f>
        <x:v>3.4010961921296294</x:v>
      </x:c>
      <x:c r="S7" s="171" t="str">
        <x:v>Mar-26</x:v>
      </x:c>
      <x:c r="T7" s="74" t="n">
        <x:f>O7</x:f>
        <x:v>85.3916349809886</x:v>
      </x:c>
      <x:c r="U7" s="74" t="n">
        <x:f>P7</x:f>
        <x:v>10.154365653642063</x:v>
      </x:c>
      <x:c r="W7" t="str">
        <x:v>Dryer 1</x:v>
      </x:c>
      <x:c r="X7" s="74" t="n">
        <x:f>F7</x:f>
        <x:v>8.770566727605118</x:v>
      </x:c>
    </x:row>
    <x:row r="8" ht="20" customHeight="1">
      <x:c r="A8" s="63" t="str">
        <x:v>Production Attainment %</x:v>
      </x:c>
      <x:c r="B8" s="75" t="n">
        <x:f>B7/B6*100</x:f>
        <x:v>85.30747903730173</x:v>
      </x:c>
      <x:c r="C8" s="14"/>
      <x:c r="D8" s="63" t="str">
        <x:v>Dryer 2</x:v>
      </x:c>
      <x:c r="E8" s="63" t="n">
        <x:f>SUMIF(Analysis_Calc!$D$2:$D$541,D8,Analysis_Calc!$H$2:$H$541)</x:f>
        <x:v>4777</x:v>
      </x:c>
      <x:c r="F8" s="75" t="n">
        <x:f>SUMIF(Analysis_Calc!$D$2:$D$541,D8,Analysis_Calc!$H$2:$H$541)/SUMIF(Analysis_Calc!$D$2:$D$541,D8,Analysis_Calc!$F$2:$F$541)*100</x:f>
        <x:v>8.865998515219005</x:v>
      </x:c>
      <x:c r="G8" s="75" t="n">
        <x:f>SUMIF(Analysis_Calc!$D$2:$D$541,D8,Analysis_Calc!$J$2:$J$541)/SUMIF(Analysis_Calc!$D$2:$D$541,D8,Analysis_Calc!$I$2:$I$541)*100</x:f>
        <x:v>86.49169867189677</x:v>
      </x:c>
      <x:c r="H8" s="75" t="n">
        <x:f>SUMIF(Analysis_Calc!$D$2:$D$541,D8,Analysis_Calc!$K$2:$K$541)/SUMIF(Analysis_Calc!$D$2:$D$541,D8,Analysis_Calc!$J$2:$J$541)*100</x:f>
        <x:v>3.098214342111081</x:v>
      </x:c>
      <x:c r="I8" s="14"/>
      <x:c r="J8" s="14"/>
      <x:c r="K8" s="14"/>
      <x:c r="L8" s="14"/>
      <x:c r="M8" s="102" t="n">
        <x:v>46113</x:v>
      </x:c>
      <x:c r="N8" s="63" t="n">
        <x:f>COUNTIFS(Analysis_Calc!$A$2:$A$541,"&gt;="&amp;M8,Analysis_Calc!$A$2:$A$541,"&lt;"&amp;DATE(YEAR(M8),MONTH(M8)+1,1))</x:f>
        <x:v>90</x:v>
      </x:c>
      <x:c r="O8" s="75" t="n">
        <x:f>SUMIFS(Analysis_Calc!$J$2:$J$541,Analysis_Calc!$A$2:$A$541,"&gt;="&amp;M8,Analysis_Calc!$A$2:$A$541,"&lt;"&amp;DATE(YEAR(M8),MONTH(M8)+1,1))/SUMIFS(Analysis_Calc!$I$2:$I$541,Analysis_Calc!$A$2:$A$541,"&gt;="&amp;M8,Analysis_Calc!$A$2:$A$541,"&lt;"&amp;DATE(YEAR(M8),MONTH(M8)+1,1))*100</x:f>
        <x:v>84.92092577546296</x:v>
      </x:c>
      <x:c r="P8" s="75" t="n">
        <x:f>SUMIFS(Analysis_Calc!$H$2:$H$541,Analysis_Calc!$A$2:$A$541,"&gt;="&amp;M8,Analysis_Calc!$A$2:$A$541,"&lt;"&amp;DATE(YEAR(M8),MONTH(M8)+1,1))/SUMIFS(Analysis_Calc!$F$2:$F$541,Analysis_Calc!$A$2:$A$541,"&gt;="&amp;M8,Analysis_Calc!$A$2:$A$541,"&lt;"&amp;DATE(YEAR(M8),MONTH(M8)+1,1))*100</x:f>
        <x:v>10.829585208333333</x:v>
      </x:c>
      <x:c r="Q8" s="75" t="n">
        <x:f>SUMIFS(Analysis_Calc!$K$2:$K$541,Analysis_Calc!$A$2:$A$541,"&gt;="&amp;M8,Analysis_Calc!$A$2:$A$541,"&lt;"&amp;DATE(YEAR(M8),MONTH(M8)+1,1))/SUMIFS(Analysis_Calc!$J$2:$J$541,Analysis_Calc!$A$2:$A$541,"&gt;="&amp;M8,Analysis_Calc!$A$2:$A$541,"&lt;"&amp;DATE(YEAR(M8),MONTH(M8)+1,1))*100</x:f>
        <x:v>3.6714911805555555</x:v>
      </x:c>
      <x:c r="S8" s="171" t="str">
        <x:v>Apr-26</x:v>
      </x:c>
      <x:c r="T8" s="74" t="n">
        <x:f>O8</x:f>
        <x:v>84.92092577453275</x:v>
      </x:c>
      <x:c r="U8" s="74" t="n">
        <x:f>P8</x:f>
        <x:v>10.8295852073963</x:v>
      </x:c>
      <x:c r="W8" t="str">
        <x:v>Dryer 2</x:v>
      </x:c>
      <x:c r="X8" s="74" t="n">
        <x:f>F8</x:f>
        <x:v>8.865998515219005</x:v>
      </x:c>
    </x:row>
    <x:row r="9" ht="20" customHeight="1">
      <x:c r="A9" s="63" t="str">
        <x:v>Downtime Rate %</x:v>
      </x:c>
      <x:c r="B9" s="75" t="n">
        <x:f>SUM(Analysis_Calc!$H$2:$H$541)/SUM(Analysis_Calc!$F$2:$F$541)*100</x:f>
        <x:v>10.355309098377491</x:v>
      </x:c>
      <x:c r="C9" s="14"/>
      <x:c r="D9" s="14"/>
      <x:c r="E9" s="14"/>
      <x:c r="F9" s="14"/>
      <x:c r="G9" s="14"/>
      <x:c r="H9" s="14"/>
      <x:c r="I9" s="14"/>
      <x:c r="J9" s="14"/>
      <x:c r="K9" s="14"/>
      <x:c r="L9" s="14"/>
      <x:c r="M9" s="102" t="n">
        <x:v>46143</x:v>
      </x:c>
      <x:c r="N9" s="63" t="n">
        <x:f>COUNTIFS(Analysis_Calc!$A$2:$A$541,"&gt;="&amp;M9,Analysis_Calc!$A$2:$A$541,"&lt;"&amp;DATE(YEAR(M9),MONTH(M9)+1,1))</x:f>
        <x:v>93</x:v>
      </x:c>
      <x:c r="O9" s="75" t="n">
        <x:f>SUMIFS(Analysis_Calc!$J$2:$J$541,Analysis_Calc!$A$2:$A$541,"&gt;="&amp;M9,Analysis_Calc!$A$2:$A$541,"&lt;"&amp;DATE(YEAR(M9),MONTH(M9)+1,1))/SUMIFS(Analysis_Calc!$I$2:$I$541,Analysis_Calc!$A$2:$A$541,"&gt;="&amp;M9,Analysis_Calc!$A$2:$A$541,"&lt;"&amp;DATE(YEAR(M9),MONTH(M9)+1,1))*100</x:f>
        <x:v>86.38573159722222</x:v>
      </x:c>
      <x:c r="P9" s="75" t="n">
        <x:f>SUMIFS(Analysis_Calc!$H$2:$H$541,Analysis_Calc!$A$2:$A$541,"&gt;="&amp;M9,Analysis_Calc!$A$2:$A$541,"&lt;"&amp;DATE(YEAR(M9),MONTH(M9)+1,1))/SUMIFS(Analysis_Calc!$F$2:$F$541,Analysis_Calc!$A$2:$A$541,"&gt;="&amp;M9,Analysis_Calc!$A$2:$A$541,"&lt;"&amp;DATE(YEAR(M9),MONTH(M9)+1,1))*100</x:f>
        <x:v>10.002369108796296</x:v>
      </x:c>
      <x:c r="Q9" s="75" t="n">
        <x:f>SUMIFS(Analysis_Calc!$K$2:$K$541,Analysis_Calc!$A$2:$A$541,"&gt;="&amp;M9,Analysis_Calc!$A$2:$A$541,"&lt;"&amp;DATE(YEAR(M9),MONTH(M9)+1,1))/SUMIFS(Analysis_Calc!$J$2:$J$541,Analysis_Calc!$A$2:$A$541,"&gt;="&amp;M9,Analysis_Calc!$A$2:$A$541,"&lt;"&amp;DATE(YEAR(M9),MONTH(M9)+1,1))*100</x:f>
        <x:v>3.369538912037037</x:v>
      </x:c>
      <x:c r="S9" s="171" t="str">
        <x:v>May-26</x:v>
      </x:c>
      <x:c r="T9" s="74" t="n">
        <x:f>O9</x:f>
        <x:v>86.38573159473806</x:v>
      </x:c>
      <x:c r="U9" s="74" t="n">
        <x:f>P9</x:f>
        <x:v>10.002369106846718</x:v>
      </x:c>
    </x:row>
    <x:row r="10" ht="20" customHeight="1">
      <x:c r="A10" s="63" t="str">
        <x:v>Reject Rate %</x:v>
      </x:c>
      <x:c r="B10" s="75" t="n">
        <x:f>SUM(Analysis_Calc!$K$2:$K$541)/SUM(Analysis_Calc!$J$2:$J$541)*100</x:f>
        <x:v>3.5101409569693187</x:v>
      </x:c>
      <x:c r="C10" s="14"/>
      <x:c r="D10" s="14"/>
      <x:c r="E10" s="14"/>
      <x:c r="F10" s="14"/>
      <x:c r="G10" s="14"/>
      <x:c r="H10" s="14"/>
      <x:c r="I10" s="14"/>
      <x:c r="J10" s="14"/>
      <x:c r="K10" s="14"/>
      <x:c r="L10" s="14"/>
      <x:c r="M10" s="102" t="n">
        <x:v>46174</x:v>
      </x:c>
      <x:c r="N10" s="63" t="n">
        <x:f>COUNTIFS(Analysis_Calc!$A$2:$A$541,"&gt;="&amp;M10,Analysis_Calc!$A$2:$A$541,"&lt;"&amp;DATE(YEAR(M10),MONTH(M10)+1,1))</x:f>
        <x:v>90</x:v>
      </x:c>
      <x:c r="O10" s="75" t="n">
        <x:f>SUMIFS(Analysis_Calc!$J$2:$J$541,Analysis_Calc!$A$2:$A$541,"&gt;="&amp;M10,Analysis_Calc!$A$2:$A$541,"&lt;"&amp;DATE(YEAR(M10),MONTH(M10)+1,1))/SUMIFS(Analysis_Calc!$I$2:$I$541,Analysis_Calc!$A$2:$A$541,"&gt;="&amp;M10,Analysis_Calc!$A$2:$A$541,"&lt;"&amp;DATE(YEAR(M10),MONTH(M10)+1,1))*100</x:f>
        <x:v>85.35919284722222</x:v>
      </x:c>
      <x:c r="P10" s="75" t="n">
        <x:f>SUMIFS(Analysis_Calc!$H$2:$H$541,Analysis_Calc!$A$2:$A$541,"&gt;="&amp;M10,Analysis_Calc!$A$2:$A$541,"&lt;"&amp;DATE(YEAR(M10),MONTH(M10)+1,1))/SUMIFS(Analysis_Calc!$F$2:$F$541,Analysis_Calc!$A$2:$A$541,"&gt;="&amp;M10,Analysis_Calc!$A$2:$A$541,"&lt;"&amp;DATE(YEAR(M10),MONTH(M10)+1,1))*100</x:f>
        <x:v>10.02682273148148</x:v>
      </x:c>
      <x:c r="Q10" s="75" t="n">
        <x:f>SUMIFS(Analysis_Calc!$K$2:$K$541,Analysis_Calc!$A$2:$A$541,"&gt;="&amp;M10,Analysis_Calc!$A$2:$A$541,"&lt;"&amp;DATE(YEAR(M10),MONTH(M10)+1,1))/SUMIFS(Analysis_Calc!$J$2:$J$541,Analysis_Calc!$A$2:$A$541,"&gt;="&amp;M10,Analysis_Calc!$A$2:$A$541,"&lt;"&amp;DATE(YEAR(M10),MONTH(M10)+1,1))*100</x:f>
        <x:v>3.5050788657407406</x:v>
      </x:c>
      <x:c r="S10" s="171" t="str">
        <x:v>Jun-26</x:v>
      </x:c>
      <x:c r="T10" s="74" t="n">
        <x:f>O10</x:f>
        <x:v>85.35919284109951</x:v>
      </x:c>
      <x:c r="U10" s="74" t="n">
        <x:f>P10</x:f>
        <x:v>10.02682272616435</x:v>
      </x:c>
    </x:row>
    <x:row r="11" ht="20" customHeight="1">
      <x:c r="A11" s="14"/>
      <x:c r="B11" s="14"/>
      <x:c r="C11" s="14"/>
      <x:c r="D11" s="101" t="str">
        <x:v>Shift</x:v>
      </x:c>
      <x:c r="E11" s="101" t="str">
        <x:v>Downtime rate %</x:v>
      </x:c>
      <x:c r="F11" s="101" t="str">
        <x:v>Attainment %</x:v>
      </x:c>
      <x:c r="G11" s="101" t="str">
        <x:v>Reject rate %</x:v>
      </x:c>
      <x:c r="H11" s="101" t="str">
        <x:v>PPE compliance %</x:v>
      </x:c>
      <x:c r="I11" s="14"/>
      <x:c r="J11" s="14"/>
      <x:c r="K11" s="14"/>
      <x:c r="L11" s="14"/>
      <x:c r="M11" s="102" t="n">
        <x:v>46204</x:v>
      </x:c>
      <x:c r="N11" s="63" t="n">
        <x:f>COUNTIFS(Analysis_Calc!$A$2:$A$541,"&gt;="&amp;M11,Analysis_Calc!$A$2:$A$541,"&lt;"&amp;DATE(YEAR(M11),MONTH(M11)+1,1))</x:f>
        <x:v>9</x:v>
      </x:c>
      <x:c r="O11" s="75" t="n">
        <x:f>SUMIFS(Analysis_Calc!$J$2:$J$541,Analysis_Calc!$A$2:$A$541,"&gt;="&amp;M11,Analysis_Calc!$A$2:$A$541,"&lt;"&amp;DATE(YEAR(M11),MONTH(M11)+1,1))/SUMIFS(Analysis_Calc!$I$2:$I$541,Analysis_Calc!$A$2:$A$541,"&gt;="&amp;M11,Analysis_Calc!$A$2:$A$541,"&lt;"&amp;DATE(YEAR(M11),MONTH(M11)+1,1))*100</x:f>
        <x:v>84.65709940972222</x:v>
      </x:c>
      <x:c r="P11" s="75" t="n">
        <x:f>SUMIFS(Analysis_Calc!$H$2:$H$541,Analysis_Calc!$A$2:$A$541,"&gt;="&amp;M11,Analysis_Calc!$A$2:$A$541,"&lt;"&amp;DATE(YEAR(M11),MONTH(M11)+1,1))/SUMIFS(Analysis_Calc!$F$2:$F$541,Analysis_Calc!$A$2:$A$541,"&gt;="&amp;M11,Analysis_Calc!$A$2:$A$541,"&lt;"&amp;DATE(YEAR(M11),MONTH(M11)+1,1))*100</x:f>
        <x:v>10.895522395833334</x:v>
      </x:c>
      <x:c r="Q11" s="75" t="n">
        <x:f>SUMIFS(Analysis_Calc!$K$2:$K$541,Analysis_Calc!$A$2:$A$541,"&gt;="&amp;M11,Analysis_Calc!$A$2:$A$541,"&lt;"&amp;DATE(YEAR(M11),MONTH(M11)+1,1))/SUMIFS(Analysis_Calc!$J$2:$J$541,Analysis_Calc!$A$2:$A$541,"&gt;="&amp;M11,Analysis_Calc!$A$2:$A$541,"&lt;"&amp;DATE(YEAR(M11),MONTH(M11)+1,1))*100</x:f>
        <x:v>3.3825482407407406</x:v>
      </x:c>
      <x:c r="S11" s="171" t="str">
        <x:v>Jul-26</x:v>
      </x:c>
      <x:c r="T11" s="74" t="n">
        <x:f>O11</x:f>
        <x:v>84.65709939818795</x:v>
      </x:c>
      <x:c r="U11" s="74" t="n">
        <x:f>P11</x:f>
        <x:v>10.895522388059701</x:v>
      </x:c>
    </x:row>
    <x:row r="12" ht="20" customHeight="1">
      <x:c r="A12" s="14"/>
      <x:c r="B12" s="14"/>
      <x:c r="C12" s="14"/>
      <x:c r="D12" s="63" t="str">
        <x:v>Shift A</x:v>
      </x:c>
      <x:c r="E12" s="75" t="n">
        <x:f>SUMIF(Analysis_Calc!$B$2:$B$541,RIGHT(D12,1),Analysis_Calc!$H$2:$H$541)/SUMIF(Analysis_Calc!$B$2:$B$541,RIGHT(D12,1),Analysis_Calc!$F$2:$F$541)*100</x:f>
        <x:v>9.781643227239083</x:v>
      </x:c>
      <x:c r="F12" s="75" t="n">
        <x:f>SUMIF(Analysis_Calc!$B$2:$B$541,"A",Analysis_Calc!$J$2:$J$541)/SUMIF(Analysis_Calc!$B$2:$B$541,"A",Analysis_Calc!$I$2:$I$541)*100</x:f>
        <x:v>85.75071781427782</x:v>
      </x:c>
      <x:c r="G12" s="75" t="n">
        <x:f>SUMIF(Analysis_Calc!$B$2:$B$541,RIGHT(D12,1),Analysis_Calc!$K$2:$K$541)/SUMIF(Analysis_Calc!$B$2:$B$541,RIGHT(D12,1),Analysis_Calc!$J$2:$J$541)*100</x:f>
        <x:v>3.5829711124513866</x:v>
      </x:c>
      <x:c r="H12" s="75" t="n">
        <x:f>SUMIF(Analysis_Calc!$B$2:$B$541,RIGHT(D12,1),Analysis_Calc!$M$2:$M$541)/COUNTIF(Analysis_Calc!$B$2:$B$541,RIGHT(D12,1))</x:f>
        <x:v>91.27055555555557</x:v>
      </x:c>
      <x:c r="I12" s="14"/>
      <x:c r="J12" s="14"/>
      <x:c r="K12" s="14"/>
      <x:c r="L12" s="14"/>
      <x:c r="M12" s="14"/>
      <x:c r="N12" s="14"/>
      <x:c r="O12" s="14"/>
      <x:c r="P12" s="14"/>
      <x:c r="Q12" s="14"/>
    </x:row>
    <x:row r="13" ht="20" customHeight="1">
      <x:c r="A13" s="101" t="str">
        <x:v>Shift × Machine</x:v>
      </x:c>
      <x:c r="B13" s="101" t="str">
        <x:v>Dryer 1</x:v>
      </x:c>
      <x:c r="C13" s="101" t="str">
        <x:v>Dryer 2</x:v>
      </x:c>
      <x:c r="D13" s="101" t="str">
        <x:v>Dryer 3</x:v>
      </x:c>
      <x:c r="E13" s="104" t="str">
        <x:v>Dryer 4</x:v>
      </x:c>
      <x:c r="F13" s="75" t="n">
        <x:f>SUMIF(Analysis_Calc!$B$2:$B$541,"B",Analysis_Calc!$J$2:$J$541)/SUMIF(Analysis_Calc!$B$2:$B$541,"B",Analysis_Calc!$I$2:$I$541)*100</x:f>
        <x:v>85.66388074183519</x:v>
      </x:c>
      <x:c r="G13" s="104" t="str">
        <x:v>Product × Machine</x:v>
      </x:c>
      <x:c r="H13" s="104" t="str">
        <x:v>Dryer 1</x:v>
      </x:c>
      <x:c r="I13" s="101" t="str">
        <x:v>Dryer 2</x:v>
      </x:c>
      <x:c r="J13" s="101" t="str">
        <x:v>Dryer 3</x:v>
      </x:c>
      <x:c r="K13" s="101" t="str">
        <x:v>Dryer 4</x:v>
      </x:c>
      <x:c r="L13" s="14"/>
      <x:c r="M13" s="14"/>
      <x:c r="N13" s="14"/>
      <x:c r="O13" s="14"/>
      <x:c r="P13" s="14"/>
      <x:c r="Q13" s="14"/>
    </x:row>
    <x:row r="14" ht="20" customHeight="1">
      <x:c r="A14" s="63" t="str">
        <x:v>Shift A</x:v>
      </x:c>
      <x:c r="B14" s="75" t="n">
        <x:f>SUMIFS(Analysis_Calc!$J$2:$J$541,Analysis_Calc!$B$2:$B$541,RIGHT($A14,1),Analysis_Calc!$D$2:$D$541,B$13)/SUMIFS(Analysis_Calc!$I$2:$I$541,Analysis_Calc!$B$2:$B$541,RIGHT($A14,1),Analysis_Calc!$D$2:$D$541,B$13)*100</x:f>
        <x:v>87.10762815443238</x:v>
      </x:c>
      <x:c r="C14" s="75" t="n">
        <x:f>SUMIFS(Analysis_Calc!$J$2:$J$541,Analysis_Calc!$B$2:$B$541,RIGHT($A14,1),Analysis_Calc!$D$2:$D$541,C$13)/SUMIFS(Analysis_Calc!$I$2:$I$541,Analysis_Calc!$B$2:$B$541,RIGHT($A14,1),Analysis_Calc!$D$2:$D$541,C$13)*100</x:f>
        <x:v>86.72330942266174</x:v>
      </x:c>
      <x:c r="D14" s="75" t="n">
        <x:f>SUMIFS(Analysis_Calc!$J$2:$J$541,Analysis_Calc!$B$2:$B$541,RIGHT($A14,1),Analysis_Calc!$D$2:$D$541,D$13)/SUMIFS(Analysis_Calc!$I$2:$I$541,Analysis_Calc!$B$2:$B$541,RIGHT($A14,1),Analysis_Calc!$D$2:$D$541,D$13)*100</x:f>
        <x:v>82.2611228668004</x:v>
      </x:c>
      <x:c r="E14" s="75" t="n">
        <x:f>SUMIFS(Analysis_Calc!$J$2:$J$541,Analysis_Calc!$B$2:$B$541,RIGHT($A14,1),Analysis_Calc!$D$2:$D$541,E$13)/SUMIFS(Analysis_Calc!$I$2:$I$541,Analysis_Calc!$B$2:$B$541,RIGHT($A14,1),Analysis_Calc!$D$2:$D$541,E$13)*100</x:f>
        <x:v>87.1058312074509</x:v>
      </x:c>
      <x:c r="F14" s="75" t="n">
        <x:f>SUMIF(Analysis_Calc!$B$2:$B$541,"C",Analysis_Calc!$J$2:$J$541)/SUMIF(Analysis_Calc!$B$2:$B$541,"C",Analysis_Calc!$I$2:$I$541)*100</x:f>
        <x:v>84.50810076455029</x:v>
      </x:c>
      <x:c r="G14" s="75" t="str">
        <x:v>Dried Mango</x:v>
      </x:c>
      <x:c r="H14" s="75" t="n">
        <x:f>SUMIFS(Analysis_Calc!$K$2:$K$541,Analysis_Calc!$C$2:$C$541,$G14,Analysis_Calc!$D$2:$D$541,H$13)/SUMIFS(Analysis_Calc!$J$2:$J$541,Analysis_Calc!$C$2:$C$541,$G14,Analysis_Calc!$D$2:$D$541,H$13)*100</x:f>
        <x:v>3.602596762264771</x:v>
      </x:c>
      <x:c r="I14" s="75" t="n">
        <x:f>SUMIFS(Analysis_Calc!$K$2:$K$541,Analysis_Calc!$C$2:$C$541,$G14,Analysis_Calc!$D$2:$D$541,I$13)/SUMIFS(Analysis_Calc!$J$2:$J$541,Analysis_Calc!$C$2:$C$541,$G14,Analysis_Calc!$D$2:$D$541,I$13)*100</x:f>
        <x:v>3.587518158247982</x:v>
      </x:c>
      <x:c r="J14" s="75" t="n">
        <x:f>SUMIFS(Analysis_Calc!$K$2:$K$541,Analysis_Calc!$C$2:$C$541,$G14,Analysis_Calc!$D$2:$D$541,J$13)/SUMIFS(Analysis_Calc!$J$2:$J$541,Analysis_Calc!$C$2:$C$541,$G14,Analysis_Calc!$D$2:$D$541,J$13)*100</x:f>
        <x:v>4.819336056951342</x:v>
      </x:c>
      <x:c r="K14" s="75" t="n">
        <x:f>SUMIFS(Analysis_Calc!$K$2:$K$541,Analysis_Calc!$C$2:$C$541,$G14,Analysis_Calc!$D$2:$D$541,K$13)/SUMIFS(Analysis_Calc!$J$2:$J$541,Analysis_Calc!$C$2:$C$541,$G14,Analysis_Calc!$D$2:$D$541,K$13)*100</x:f>
        <x:v>3.5951239362360896</x:v>
      </x:c>
      <x:c r="L14" s="14"/>
      <x:c r="M14" s="101" t="str">
        <x:v>Shift HSE context</x:v>
      </x:c>
      <x:c r="N14" s="101" t="str">
        <x:v>A</x:v>
      </x:c>
      <x:c r="O14" s="101" t="str">
        <x:v>B</x:v>
      </x:c>
      <x:c r="P14" s="101" t="str">
        <x:v>C</x:v>
      </x:c>
      <x:c r="Q14" s="101" t="str">
        <x:v>Overall</x:v>
      </x:c>
      <x:c r="S14" t="str">
        <x:v>Shift</x:v>
      </x:c>
      <x:c r="T14" t="str">
        <x:v>PPE compliance %</x:v>
      </x:c>
      <x:c r="U14" t="str">
        <x:v>Active corrective-action %</x:v>
      </x:c>
    </x:row>
    <x:row r="15" ht="20" customHeight="1">
      <x:c r="A15" s="63" t="str">
        <x:v>Shift B</x:v>
      </x:c>
      <x:c r="B15" s="75" t="n">
        <x:f>SUMIFS(Analysis_Calc!$J$2:$J$541,Analysis_Calc!$B$2:$B$541,RIGHT($A15,1),Analysis_Calc!$D$2:$D$541,B$13)/SUMIFS(Analysis_Calc!$I$2:$I$541,Analysis_Calc!$B$2:$B$541,RIGHT($A15,1),Analysis_Calc!$D$2:$D$541,B$13)*100</x:f>
        <x:v>87.36843799285461</x:v>
      </x:c>
      <x:c r="C15" s="75" t="n">
        <x:f>SUMIFS(Analysis_Calc!$J$2:$J$541,Analysis_Calc!$B$2:$B$541,RIGHT($A15,1),Analysis_Calc!$D$2:$D$541,C$13)/SUMIFS(Analysis_Calc!$I$2:$I$541,Analysis_Calc!$B$2:$B$541,RIGHT($A15,1),Analysis_Calc!$D$2:$D$541,C$13)*100</x:f>
        <x:v>86.51099262769878</x:v>
      </x:c>
      <x:c r="D15" s="75" t="n">
        <x:f>SUMIFS(Analysis_Calc!$J$2:$J$541,Analysis_Calc!$B$2:$B$541,RIGHT($A15,1),Analysis_Calc!$D$2:$D$541,D$13)/SUMIFS(Analysis_Calc!$I$2:$I$541,Analysis_Calc!$B$2:$B$541,RIGHT($A15,1),Analysis_Calc!$D$2:$D$541,D$13)*100</x:f>
        <x:v>84.23756218905473</x:v>
      </x:c>
      <x:c r="E15" s="75" t="n">
        <x:f>SUMIFS(Analysis_Calc!$J$2:$J$541,Analysis_Calc!$B$2:$B$541,RIGHT($A15,1),Analysis_Calc!$D$2:$D$541,E$13)/SUMIFS(Analysis_Calc!$I$2:$I$541,Analysis_Calc!$B$2:$B$541,RIGHT($A15,1),Analysis_Calc!$D$2:$D$541,E$13)*100</x:f>
        <x:v>85.04274747004769</x:v>
      </x:c>
      <x:c r="F15" s="14"/>
      <x:c r="G15" s="63" t="str">
        <x:v>Dried Pineapple</x:v>
      </x:c>
      <x:c r="H15" s="75" t="n">
        <x:f>SUMIFS(Analysis_Calc!$K$2:$K$541,Analysis_Calc!$C$2:$C$541,$G15,Analysis_Calc!$D$2:$D$541,H$13)/SUMIFS(Analysis_Calc!$J$2:$J$541,Analysis_Calc!$C$2:$C$541,$G15,Analysis_Calc!$D$2:$D$541,H$13)*100</x:f>
        <x:v>3.2924997110828613</x:v>
      </x:c>
      <x:c r="I15" s="75" t="n">
        <x:f>SUMIFS(Analysis_Calc!$K$2:$K$541,Analysis_Calc!$C$2:$C$541,$G15,Analysis_Calc!$D$2:$D$541,I$13)/SUMIFS(Analysis_Calc!$J$2:$J$541,Analysis_Calc!$C$2:$C$541,$G15,Analysis_Calc!$D$2:$D$541,I$13)*100</x:f>
        <x:v>3.025847392044575</x:v>
      </x:c>
      <x:c r="J15" s="75" t="n">
        <x:f>SUMIFS(Analysis_Calc!$K$2:$K$541,Analysis_Calc!$C$2:$C$541,$G15,Analysis_Calc!$D$2:$D$541,J$13)/SUMIFS(Analysis_Calc!$J$2:$J$541,Analysis_Calc!$C$2:$C$541,$G15,Analysis_Calc!$D$2:$D$541,J$13)*100</x:f>
        <x:v>4.423582959960173</x:v>
      </x:c>
      <x:c r="K15" s="75" t="n">
        <x:f>SUMIFS(Analysis_Calc!$K$2:$K$541,Analysis_Calc!$C$2:$C$541,$G15,Analysis_Calc!$D$2:$D$541,K$13)/SUMIFS(Analysis_Calc!$J$2:$J$541,Analysis_Calc!$C$2:$C$541,$G15,Analysis_Calc!$D$2:$D$541,K$13)*100</x:f>
        <x:v>3.039337214228554</x:v>
      </x:c>
      <x:c r="L15" s="14"/>
      <x:c r="M15" s="63" t="str">
        <x:v>PPE compliance %</x:v>
      </x:c>
      <x:c r="N15" s="75" t="n">
        <x:f>AVERAGEIF(Analysis_Calc!$B$2:$B$541,"A",Analysis_Calc!$M$2:$M$541)</x:f>
        <x:v>91.27055555555557</x:v>
      </x:c>
      <x:c r="O15" s="75" t="n">
        <x:f>AVERAGEIF(Analysis_Calc!$B$2:$B$541,"B",Analysis_Calc!$M$2:$M$541)</x:f>
        <x:v>91.88944444444444</x:v>
      </x:c>
      <x:c r="P15" s="75" t="n">
        <x:f>AVERAGEIF(Analysis_Calc!$B$2:$B$541,"C",Analysis_Calc!$M$2:$M$541)</x:f>
        <x:v>87.98722222222217</x:v>
      </x:c>
      <x:c r="Q15" s="75" t="n">
        <x:f>AVERAGE(Analysis_Calc!$M$2:$M$541)</x:f>
        <x:v>90.38240740740741</x:v>
      </x:c>
      <x:c r="S15" t="str">
        <x:v>Shift A</x:v>
      </x:c>
      <x:c r="T15" s="74" t="n">
        <x:f>N15</x:f>
        <x:v>91.27055555555557</x:v>
      </x:c>
      <x:c r="U15" s="74" t="n">
        <x:f>N17</x:f>
        <x:v>12.777777777777777</x:v>
      </x:c>
    </x:row>
    <x:row r="16" ht="20" customHeight="1">
      <x:c r="A16" s="63" t="str">
        <x:v>Shift C</x:v>
      </x:c>
      <x:c r="B16" s="75" t="n">
        <x:f>SUMIFS(Analysis_Calc!$J$2:$J$541,Analysis_Calc!$B$2:$B$541,RIGHT($A16,1),Analysis_Calc!$D$2:$D$541,B$13)/SUMIFS(Analysis_Calc!$I$2:$I$541,Analysis_Calc!$B$2:$B$541,RIGHT($A16,1),Analysis_Calc!$D$2:$D$541,B$13)*100</x:f>
        <x:v>86.68033224435761</x:v>
      </x:c>
      <x:c r="C16" s="75" t="n">
        <x:f>SUMIFS(Analysis_Calc!$J$2:$J$541,Analysis_Calc!$B$2:$B$541,RIGHT($A16,1),Analysis_Calc!$D$2:$D$541,C$13)/SUMIFS(Analysis_Calc!$I$2:$I$541,Analysis_Calc!$B$2:$B$541,RIGHT($A16,1),Analysis_Calc!$D$2:$D$541,C$13)*100</x:f>
        <x:v>86.13906497622821</x:v>
      </x:c>
      <x:c r="D16" s="75" t="n">
        <x:f>SUMIFS(Analysis_Calc!$J$2:$J$541,Analysis_Calc!$B$2:$B$541,RIGHT($A16,1),Analysis_Calc!$D$2:$D$541,D$13)/SUMIFS(Analysis_Calc!$I$2:$I$541,Analysis_Calc!$B$2:$B$541,RIGHT($A16,1),Analysis_Calc!$D$2:$D$541,D$13)*100</x:f>
        <x:v>80.47355251167971</x:v>
      </x:c>
      <x:c r="E16" s="75" t="n">
        <x:f>SUMIFS(Analysis_Calc!$J$2:$J$541,Analysis_Calc!$B$2:$B$541,RIGHT($A16,1),Analysis_Calc!$D$2:$D$541,E$13)/SUMIFS(Analysis_Calc!$I$2:$I$541,Analysis_Calc!$B$2:$B$541,RIGHT($A16,1),Analysis_Calc!$D$2:$D$541,E$13)*100</x:f>
        <x:v>84.4000567098817</x:v>
      </x:c>
      <x:c r="F16" s="14"/>
      <x:c r="G16" s="63" t="str">
        <x:v>Desiccated Coconut</x:v>
      </x:c>
      <x:c r="H16" s="75" t="n">
        <x:f>SUMIFS(Analysis_Calc!$K$2:$K$541,Analysis_Calc!$C$2:$C$541,$G16,Analysis_Calc!$D$2:$D$541,H$13)/SUMIFS(Analysis_Calc!$J$2:$J$541,Analysis_Calc!$C$2:$C$541,$G16,Analysis_Calc!$D$2:$D$541,H$13)*100</x:f>
        <x:v>2.738122137090976</x:v>
      </x:c>
      <x:c r="I16" s="75" t="n">
        <x:f>SUMIFS(Analysis_Calc!$K$2:$K$541,Analysis_Calc!$C$2:$C$541,$G16,Analysis_Calc!$D$2:$D$541,I$13)/SUMIFS(Analysis_Calc!$J$2:$J$541,Analysis_Calc!$C$2:$C$541,$G16,Analysis_Calc!$D$2:$D$541,I$13)*100</x:f>
        <x:v>2.540433323161428</x:v>
      </x:c>
      <x:c r="J16" s="75" t="n">
        <x:f>SUMIFS(Analysis_Calc!$K$2:$K$541,Analysis_Calc!$C$2:$C$541,$G16,Analysis_Calc!$D$2:$D$541,J$13)/SUMIFS(Analysis_Calc!$J$2:$J$541,Analysis_Calc!$C$2:$C$541,$G16,Analysis_Calc!$D$2:$D$541,J$13)*100</x:f>
        <x:v>3.9925719591457756</x:v>
      </x:c>
      <x:c r="K16" s="75" t="n">
        <x:f>SUMIFS(Analysis_Calc!$K$2:$K$541,Analysis_Calc!$C$2:$C$541,$G16,Analysis_Calc!$D$2:$D$541,K$13)/SUMIFS(Analysis_Calc!$J$2:$J$541,Analysis_Calc!$C$2:$C$541,$G16,Analysis_Calc!$D$2:$D$541,K$13)*100</x:f>
        <x:v>2.722132471728594</x:v>
      </x:c>
      <x:c r="L16" s="14"/>
      <x:c r="M16" s="63" t="str">
        <x:v>Safety observations</x:v>
      </x:c>
      <x:c r="N16" s="75" t="n">
        <x:f>SUMIF(Analysis_Calc!$B$2:$B$541,"A",Analysis_Calc!$P$2:$P$541)</x:f>
        <x:v>532</x:v>
      </x:c>
      <x:c r="O16" s="75" t="n">
        <x:f>SUMIF(Analysis_Calc!$B$2:$B$541,"B",Analysis_Calc!$P$2:$P$541)</x:f>
        <x:v>597</x:v>
      </x:c>
      <x:c r="P16" s="75" t="n">
        <x:f>SUMIF(Analysis_Calc!$B$2:$B$541,"C",Analysis_Calc!$P$2:$P$541)</x:f>
        <x:v>533</x:v>
      </x:c>
      <x:c r="Q16" s="75" t="n">
        <x:f>SUM(Analysis_Calc!$P$2:$P$541)</x:f>
        <x:v>1662</x:v>
      </x:c>
      <x:c r="S16" t="str">
        <x:v>Shift B</x:v>
      </x:c>
      <x:c r="T16" s="74" t="n">
        <x:f>O15</x:f>
        <x:v>91.88944444444444</x:v>
      </x:c>
      <x:c r="U16" s="74" t="n">
        <x:f>O17</x:f>
        <x:v>10</x:v>
      </x:c>
    </x:row>
    <x:row r="17" ht="20" customHeight="1">
      <x:c r="A17" s="63" t="str">
        <x:v>Values are attainment %.</x:v>
      </x:c>
      <x:c r="B17" s="63"/>
      <x:c r="C17" s="63"/>
      <x:c r="D17" s="101"/>
      <x:c r="E17" s="101"/>
      <x:c r="F17" s="101" t="str">
        <x:v>Reject rate %</x:v>
      </x:c>
      <x:c r="G17" s="63" t="str">
        <x:v>Values are reject rates %.</x:v>
      </x:c>
      <x:c r="H17" s="63"/>
      <x:c r="I17" s="63"/>
      <x:c r="J17" s="63"/>
      <x:c r="K17" s="63"/>
      <x:c r="L17" s="14"/>
      <x:c r="M17" s="63" t="str">
        <x:v>Active corrective-action %</x:v>
      </x:c>
      <x:c r="N17" s="75" t="n">
        <x:f>(COUNTIFS(Analysis_Calc!$B$2:$B$541,"A",Analysis_Calc!$R$2:$R$541,"Open")+COUNTIFS(Analysis_Calc!$B$2:$B$541,"A",Analysis_Calc!$R$2:$R$541,"In progress"))/COUNTIF(Analysis_Calc!$B$2:$B$541,"A")*100</x:f>
        <x:v>12.777777777777777</x:v>
      </x:c>
      <x:c r="O17" s="75" t="n">
        <x:f>(COUNTIFS(Analysis_Calc!$B$2:$B$541,"B",Analysis_Calc!$R$2:$R$541,"Open")+COUNTIFS(Analysis_Calc!$B$2:$B$541,"B",Analysis_Calc!$R$2:$R$541,"In progress"))/COUNTIF(Analysis_Calc!$B$2:$B$541,"B")*100</x:f>
        <x:v>10</x:v>
      </x:c>
      <x:c r="P17" s="75" t="n">
        <x:f>(COUNTIFS(Analysis_Calc!$B$2:$B$541,"C",Analysis_Calc!$R$2:$R$541,"Open")+COUNTIFS(Analysis_Calc!$B$2:$B$541,"C",Analysis_Calc!$R$2:$R$541,"In progress"))/COUNTIF(Analysis_Calc!$B$2:$B$541,"C")*100</x:f>
        <x:v>20</x:v>
      </x:c>
      <x:c r="Q17" s="75" t="n">
        <x:f>(COUNTIF(Analysis_Calc!$R$2:$R$541,"Open")+COUNTIF(Analysis_Calc!$R$2:$R$541,"In progress"))/COUNTIF(Analysis_Calc!$R$2:$R$541,"&lt;&gt;N/A")*100</x:f>
        <x:v>65.8119658119658</x:v>
      </x:c>
      <x:c r="S17" t="str">
        <x:v>Shift C</x:v>
      </x:c>
      <x:c r="T17" s="74" t="n">
        <x:f>P15</x:f>
        <x:v>87.98722222222217</x:v>
      </x:c>
      <x:c r="U17" s="74" t="n">
        <x:f>P17</x:f>
        <x:v>20</x:v>
      </x:c>
    </x:row>
    <x:row r="18" ht="20" customHeight="1">
      <x:c r="A18" s="14"/>
      <x:c r="B18" s="14"/>
      <x:c r="C18" s="14"/>
      <x:c r="D18" s="63" t="str">
        <x:v>Dried Mango</x:v>
      </x:c>
      <x:c r="E18" s="75" t="n">
        <x:f>SUMIF(Analysis_Calc!$C$2:$C$541,D18,Analysis_Calc!$J$2:$J$541)/SUMIF(Analysis_Calc!$C$2:$C$541,D18,Analysis_Calc!$I$2:$I$541)*100</x:f>
        <x:v>85.04500454574428</x:v>
      </x:c>
      <x:c r="F18" s="75" t="n">
        <x:f>SUMIF(Analysis_Calc!$C$2:$C$541,D18,Analysis_Calc!$K$2:$K$541)/SUMIF(Analysis_Calc!$C$2:$C$541,D18,Analysis_Calc!$J$2:$J$541)*100</x:f>
        <x:v>3.99009084705112</x:v>
      </x:c>
      <x:c r="G18" s="14"/>
      <x:c r="H18" s="14"/>
      <x:c r="I18" s="14"/>
      <x:c r="J18" s="14"/>
      <x:c r="K18" s="14"/>
      <x:c r="L18" s="14"/>
      <x:c r="M18" s="14"/>
      <x:c r="N18" s="14"/>
      <x:c r="O18" s="14"/>
      <x:c r="P18" s="14"/>
      <x:c r="Q18" s="14"/>
    </x:row>
    <x:row r="19" ht="20" customHeight="1">
      <x:c r="A19" s="14"/>
      <x:c r="B19" s="14"/>
      <x:c r="C19" s="14"/>
      <x:c r="D19" s="63" t="str">
        <x:v>Dried Pineapple</x:v>
      </x:c>
      <x:c r="E19" s="75" t="n">
        <x:f>SUMIF(Analysis_Calc!$C$2:$C$541,D19,Analysis_Calc!$J$2:$J$541)/SUMIF(Analysis_Calc!$C$2:$C$541,D19,Analysis_Calc!$I$2:$I$541)*100</x:f>
        <x:v>85.26513757716995</x:v>
      </x:c>
      <x:c r="F19" s="75" t="n">
        <x:f>SUMIF(Analysis_Calc!$C$2:$C$541,D19,Analysis_Calc!$K$2:$K$541)/SUMIF(Analysis_Calc!$C$2:$C$541,D19,Analysis_Calc!$J$2:$J$541)*100</x:f>
        <x:v>3.4040905150950707</x:v>
      </x:c>
      <x:c r="G19" s="14"/>
      <x:c r="H19" s="14"/>
      <x:c r="I19" s="14"/>
      <x:c r="J19" s="14"/>
      <x:c r="K19" s="14"/>
      <x:c r="L19" s="14"/>
      <x:c r="M19" s="14"/>
      <x:c r="N19" s="14"/>
      <x:c r="O19" s="14"/>
      <x:c r="P19" s="14"/>
      <x:c r="Q19" s="14"/>
    </x:row>
    <x:row r="20" ht="20" customHeight="1">
      <x:c r="A20" s="14"/>
      <x:c r="B20" s="14"/>
      <x:c r="C20" s="14"/>
      <x:c r="D20" s="63" t="str">
        <x:v>Desiccated Coconut</x:v>
      </x:c>
      <x:c r="E20" s="75" t="n">
        <x:f>SUMIF(Analysis_Calc!$C$2:$C$541,D20,Analysis_Calc!$J$2:$J$541)/SUMIF(Analysis_Calc!$C$2:$C$541,D20,Analysis_Calc!$I$2:$I$541)*100</x:f>
        <x:v>85.7376749248228</x:v>
      </x:c>
      <x:c r="F20" s="75" t="n">
        <x:f>SUMIF(Analysis_Calc!$C$2:$C$541,D20,Analysis_Calc!$K$2:$K$541)/SUMIF(Analysis_Calc!$C$2:$C$541,D20,Analysis_Calc!$J$2:$J$541)*100</x:f>
        <x:v>3.0017345057205858</x:v>
      </x:c>
      <x:c r="G20" s="14"/>
      <x:c r="H20" s="14"/>
      <x:c r="I20" s="14"/>
      <x:c r="J20" s="14"/>
      <x:c r="K20" s="14"/>
      <x:c r="L20" s="14"/>
      <x:c r="M20" s="14"/>
      <x:c r="N20" s="14"/>
      <x:c r="O20" s="14"/>
      <x:c r="P20" s="14"/>
      <x:c r="Q20" s="14"/>
    </x:row>
  </x:sheetData>
  <x:mergeCells>
    <x:mergeCell ref="A1:J1"/>
    <x:mergeCell ref="A2:J2"/>
  </x:mergeCells>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8" customHeight="1">
      <x:c r="A1" s="146" t="str">
        <x:v>DRY-FRUIT MANUFACTURING | EXECUTIVE DASHBOARD</x:v>
      </x:c>
      <x:c r="B1" s="152"/>
      <x:c r="C1" s="152"/>
      <x:c r="D1" s="152"/>
      <x:c r="E1" s="152"/>
      <x:c r="F1" s="152"/>
      <x:c r="G1" s="152"/>
      <x:c r="H1" s="152"/>
      <x:c r="I1" s="152"/>
      <x:c r="J1" s="152"/>
      <x:c r="K1" s="152"/>
      <x:c r="L1" s="152"/>
      <x:c r="M1" s="152"/>
      <x:c r="N1" s="152"/>
    </x:row>
    <x:row r="2" ht="28" customHeight="1">
      <x:c r="A2" s="109" t="str">
        <x:v>Phase 6 management dashboard — what is happening, where the losses are concentrated, and what management should investigate next.</x:v>
      </x:c>
      <x:c r="B2" s="152"/>
      <x:c r="C2" s="152"/>
      <x:c r="D2" s="152"/>
      <x:c r="E2" s="152"/>
      <x:c r="F2" s="152"/>
      <x:c r="G2" s="152"/>
      <x:c r="H2" s="152"/>
      <x:c r="I2" s="152"/>
      <x:c r="J2" s="152"/>
      <x:c r="K2" s="152"/>
      <x:c r="L2" s="152"/>
      <x:c r="M2" s="152"/>
      <x:c r="N2" s="152"/>
    </x:row>
    <x:row r="3" ht="28" customHeight="1">
      <x:c r="A3" s="113" t="str">
        <x:v>SYNTHETIC DATA DISCLOSURE — This portfolio uses simulated manufacturing data. Findings are illustrative and do not represent actual employer performance. Associations are not causal claims.</x:v>
      </x:c>
      <x:c r="B3" s="152"/>
      <x:c r="C3" s="152"/>
      <x:c r="D3" s="152"/>
      <x:c r="E3" s="152"/>
      <x:c r="F3" s="152"/>
      <x:c r="G3" s="152"/>
      <x:c r="H3" s="152"/>
      <x:c r="I3" s="152"/>
      <x:c r="J3" s="152"/>
      <x:c r="K3" s="152"/>
      <x:c r="L3" s="152"/>
      <x:c r="M3" s="152"/>
      <x:c r="N3" s="152"/>
    </x:row>
    <x:row r="4">
      <x:c r="A4" s="152"/>
      <x:c r="B4" s="152"/>
      <x:c r="C4" s="152"/>
      <x:c r="D4" s="152"/>
      <x:c r="E4" s="152"/>
      <x:c r="F4" s="152"/>
      <x:c r="G4" s="152"/>
      <x:c r="H4" s="152"/>
      <x:c r="I4" s="152"/>
      <x:c r="J4" s="152"/>
      <x:c r="K4" s="152"/>
      <x:c r="L4" s="152"/>
      <x:c r="M4" s="152"/>
      <x:c r="N4" s="152"/>
    </x:row>
    <x:row r="5">
      <x:c r="A5" s="154" t="str">
        <x:v>Production Attainment</x:v>
      </x:c>
      <x:c r="B5" s="154"/>
      <x:c r="C5" s="154"/>
      <x:c r="D5" s="154" t="str">
        <x:v>Downtime Rate</x:v>
      </x:c>
      <x:c r="E5" s="154"/>
      <x:c r="F5" s="154"/>
      <x:c r="G5" s="154" t="str">
        <x:v>Reject Rate</x:v>
      </x:c>
      <x:c r="H5" s="154"/>
      <x:c r="I5" s="154"/>
      <x:c r="J5" s="154" t="str">
        <x:v>Actual Output (kg)</x:v>
      </x:c>
      <x:c r="K5" s="154"/>
      <x:c r="L5" s="154"/>
      <x:c r="M5" s="154"/>
      <x:c r="N5" s="154"/>
    </x:row>
    <x:row r="6">
      <x:c r="A6" s="172" t="n">
        <x:f>Phase6_Calculations!B8</x:f>
        <x:v>85.30747903730173</x:v>
      </x:c>
      <x:c r="B6" s="172"/>
      <x:c r="C6" s="172"/>
      <x:c r="D6" s="172" t="n">
        <x:f>Phase6_Calculations!B9</x:f>
        <x:v>10.355309098377491</x:v>
      </x:c>
      <x:c r="E6" s="172"/>
      <x:c r="F6" s="172"/>
      <x:c r="G6" s="172" t="n">
        <x:f>Phase6_Calculations!B10</x:f>
        <x:v>3.5101409569693187</x:v>
      </x:c>
      <x:c r="H6" s="172"/>
      <x:c r="I6" s="172"/>
      <x:c r="J6" s="156" t="n">
        <x:f>Phase6_Calculations!B7</x:f>
        <x:v>707379</x:v>
      </x:c>
      <x:c r="K6" s="156"/>
      <x:c r="L6" s="156"/>
      <x:c r="M6" s="156"/>
      <x:c r="N6" s="156"/>
    </x:row>
    <x:row r="7">
      <x:c r="A7" s="172"/>
      <x:c r="B7" s="172"/>
      <x:c r="C7" s="172"/>
      <x:c r="D7" s="172"/>
      <x:c r="E7" s="172"/>
      <x:c r="F7" s="172"/>
      <x:c r="G7" s="172"/>
      <x:c r="H7" s="172"/>
      <x:c r="I7" s="172"/>
      <x:c r="J7" s="156"/>
      <x:c r="K7" s="156"/>
      <x:c r="L7" s="156"/>
      <x:c r="M7" s="156"/>
      <x:c r="N7" s="156"/>
    </x:row>
    <x:row r="8">
      <x:c r="A8" s="152"/>
      <x:c r="B8" s="152"/>
      <x:c r="C8" s="152"/>
      <x:c r="D8" s="152"/>
      <x:c r="E8" s="152"/>
      <x:c r="F8" s="152"/>
      <x:c r="G8" s="152"/>
      <x:c r="H8" s="152"/>
      <x:c r="I8" s="152"/>
      <x:c r="J8" s="152"/>
      <x:c r="K8" s="152"/>
      <x:c r="L8" s="152"/>
      <x:c r="M8" s="152"/>
      <x:c r="N8" s="152"/>
    </x:row>
    <x:row r="9">
      <x:c r="A9" s="157" t="str">
        <x:v>TOP VERIFIED SYNTHETIC FINDINGS</x:v>
      </x:c>
      <x:c r="B9" s="157"/>
      <x:c r="C9" s="157"/>
      <x:c r="D9" s="157"/>
      <x:c r="E9" s="157"/>
      <x:c r="F9" s="157"/>
      <x:c r="G9" s="152"/>
      <x:c r="H9" s="157" t="str">
        <x:v>MANAGEMENT PRIORITIES</x:v>
      </x:c>
      <x:c r="I9" s="157"/>
      <x:c r="J9" s="157"/>
      <x:c r="K9" s="157"/>
      <x:c r="L9" s="157"/>
      <x:c r="M9" s="157"/>
      <x:c r="N9" s="157"/>
    </x:row>
    <x:row r="10" ht="34" customHeight="1">
      <x:c r="A10" s="158" t="str">
        <x:v>1</x:v>
      </x:c>
      <x:c r="B10" s="159" t="str">
        <x:v>Downtime is the lead operational loss signal. Overall record-level association with attainment: r ≈ -0.663.</x:v>
      </x:c>
      <x:c r="C10" s="159"/>
      <x:c r="D10" s="159"/>
      <x:c r="E10" s="159"/>
      <x:c r="F10" s="159"/>
      <x:c r="G10" s="152"/>
      <x:c r="H10" s="160" t="str">
        <x:v>Priority</x:v>
      </x:c>
      <x:c r="I10" s="160" t="str">
        <x:v>Action</x:v>
      </x:c>
      <x:c r="J10" s="160" t="str">
        <x:v>Evidence</x:v>
      </x:c>
      <x:c r="K10" s="160" t="str">
        <x:v>Validation needed</x:v>
      </x:c>
      <x:c r="L10" s="160" t="str"/>
      <x:c r="M10" s="160" t="str"/>
      <x:c r="N10" s="160" t="str"/>
    </x:row>
    <x:row r="11" ht="34" customHeight="1">
      <x:c r="A11" s="158" t="str">
        <x:v>2</x:v>
      </x:c>
      <x:c r="B11" s="159" t="str">
        <x:v>Dryer 3 is the highest-downtime machine: 8,668 min and 13.41% downtime rate.</x:v>
      </x:c>
      <x:c r="C11" s="159"/>
      <x:c r="D11" s="159"/>
      <x:c r="E11" s="159"/>
      <x:c r="F11" s="159"/>
      <x:c r="G11" s="152"/>
      <x:c r="H11" s="161" t="str">
        <x:v>1</x:v>
      </x:c>
      <x:c r="I11" s="161" t="str">
        <x:v>Diagnostic review of Dryer 3 / Shift C</x:v>
      </x:c>
      <x:c r="J11" s="161" t="str">
        <x:v>Low attainment + high downtime</x:v>
      </x:c>
      <x:c r="K11" s="161" t="str">
        <x:v>Event-level downtime reason and repeat-stoppage data</x:v>
      </x:c>
      <x:c r="L11" s="161" t="str"/>
      <x:c r="M11" s="161" t="str"/>
      <x:c r="N11" s="161" t="str"/>
    </x:row>
    <x:row r="12" ht="34" customHeight="1">
      <x:c r="A12" s="158" t="str">
        <x:v>3</x:v>
      </x:c>
      <x:c r="B12" s="159" t="str">
        <x:v>Shift C is the weakest shift on attainment: 84.51% and highest downtime rate.</x:v>
      </x:c>
      <x:c r="C12" s="159"/>
      <x:c r="D12" s="159"/>
      <x:c r="E12" s="159"/>
      <x:c r="F12" s="159"/>
      <x:c r="G12" s="152"/>
      <x:c r="H12" s="161" t="str">
        <x:v>2</x:v>
      </x:c>
      <x:c r="I12" s="161" t="str">
        <x:v>Improve downtime capture taxonomy</x:v>
      </x:c>
      <x:c r="J12" s="161" t="str">
        <x:v>Downtime is the strongest association</x:v>
      </x:c>
      <x:c r="K12" s="161" t="str">
        <x:v>Start/stop reason, duration, sequence, loss category</x:v>
      </x:c>
      <x:c r="L12" s="161" t="str"/>
      <x:c r="M12" s="161" t="str"/>
      <x:c r="N12" s="161" t="str"/>
    </x:row>
    <x:row r="13" ht="34" customHeight="1">
      <x:c r="A13" s="158" t="str">
        <x:v>4</x:v>
      </x:c>
      <x:c r="B13" s="159" t="str">
        <x:v>Shift C × Dryer 3 is the strongest diagnostic hotspot: 80.47% attainment and 15.38% downtime.</x:v>
      </x:c>
      <x:c r="C13" s="159"/>
      <x:c r="D13" s="159"/>
      <x:c r="E13" s="159"/>
      <x:c r="F13" s="159"/>
      <x:c r="G13" s="152"/>
      <x:c r="H13" s="161" t="str">
        <x:v>3</x:v>
      </x:c>
      <x:c r="I13" s="161" t="str">
        <x:v>Drill into Dried Mango on Dryer 3</x:v>
      </x:c>
      <x:c r="J13" s="161" t="str">
        <x:v>Highest quality-loss cohort</x:v>
      </x:c>
      <x:c r="K13" s="161" t="str">
        <x:v>Moisture, temperature, settings and defect codes</x:v>
      </x:c>
      <x:c r="L13" s="161" t="str"/>
      <x:c r="M13" s="161" t="str"/>
      <x:c r="N13" s="161" t="str"/>
    </x:row>
    <x:row r="14" ht="34" customHeight="1">
      <x:c r="A14" s="158" t="str">
        <x:v>5</x:v>
      </x:c>
      <x:c r="B14" s="159" t="str">
        <x:v>Dried Mango × Dryer 3 is the highest product-machine reject cohort at 4.82%.</x:v>
      </x:c>
      <x:c r="C14" s="159"/>
      <x:c r="D14" s="159"/>
      <x:c r="E14" s="159"/>
      <x:c r="F14" s="159"/>
      <x:c r="G14" s="152"/>
      <x:c r="H14" s="161" t="str">
        <x:v>4</x:v>
      </x:c>
      <x:c r="I14" s="161" t="str">
        <x:v>Review Shift C operating context</x:v>
      </x:c>
      <x:c r="J14" s="161" t="str">
        <x:v>Multi-dimensional weakness signal</x:v>
      </x:c>
      <x:c r="K14" s="161" t="str">
        <x:v>Handover, staffing, escalation and action-age data</x:v>
      </x:c>
      <x:c r="L14" s="161" t="str"/>
      <x:c r="M14" s="161" t="str"/>
      <x:c r="N14" s="161" t="str"/>
    </x:row>
    <x:row r="15" ht="34" customHeight="1">
      <x:c r="A15" s="158" t="str">
        <x:v>6</x:v>
      </x:c>
      <x:c r="B15" s="159" t="str">
        <x:v>GMP/PPE relationships are weak in this simulation; do not force them into causal narratives.</x:v>
      </x:c>
      <x:c r="C15" s="159"/>
      <x:c r="D15" s="159"/>
      <x:c r="E15" s="159"/>
      <x:c r="F15" s="159"/>
      <x:c r="G15" s="152"/>
      <x:c r="H15" s="152"/>
      <x:c r="I15" s="152"/>
      <x:c r="J15" s="152"/>
      <x:c r="K15" s="152"/>
      <x:c r="L15" s="152"/>
      <x:c r="M15" s="152"/>
      <x:c r="N15" s="152"/>
    </x:row>
    <x:row r="16">
      <x:c r="A16" s="152"/>
      <x:c r="B16" s="152"/>
      <x:c r="C16" s="152"/>
      <x:c r="D16" s="152"/>
      <x:c r="E16" s="152"/>
      <x:c r="F16" s="152"/>
      <x:c r="G16" s="152"/>
      <x:c r="H16" s="152"/>
      <x:c r="I16" s="152"/>
      <x:c r="J16" s="152"/>
      <x:c r="K16" s="152"/>
      <x:c r="L16" s="152"/>
      <x:c r="M16" s="152"/>
      <x:c r="N16" s="152"/>
    </x:row>
    <x:row r="17">
      <x:c r="A17" s="152"/>
      <x:c r="B17" s="152"/>
      <x:c r="C17" s="152"/>
      <x:c r="D17" s="152"/>
      <x:c r="E17" s="152"/>
      <x:c r="F17" s="152"/>
      <x:c r="G17" s="152"/>
      <x:c r="H17" s="152"/>
      <x:c r="I17" s="152"/>
      <x:c r="J17" s="152"/>
      <x:c r="K17" s="152"/>
      <x:c r="L17" s="152"/>
      <x:c r="M17" s="152"/>
      <x:c r="N17" s="152"/>
    </x:row>
    <x:row r="18" ht="18" customHeight="1">
      <x:c r="A18" s="152"/>
      <x:c r="B18" s="152"/>
      <x:c r="C18" s="152"/>
      <x:c r="D18" s="152"/>
      <x:c r="E18" s="152"/>
      <x:c r="F18" s="152"/>
      <x:c r="G18" s="152"/>
      <x:c r="H18" s="152"/>
      <x:c r="I18" s="152"/>
      <x:c r="J18" s="152"/>
      <x:c r="K18" s="152"/>
      <x:c r="L18" s="152"/>
      <x:c r="M18" s="152"/>
      <x:c r="N18" s="152"/>
    </x:row>
    <x:row r="19" ht="18" customHeight="1">
      <x:c r="A19" s="152"/>
      <x:c r="B19" s="152"/>
      <x:c r="C19" s="152"/>
      <x:c r="D19" s="152"/>
      <x:c r="E19" s="152"/>
      <x:c r="F19" s="152"/>
      <x:c r="G19" s="152"/>
      <x:c r="H19" s="152"/>
      <x:c r="I19" s="152"/>
      <x:c r="J19" s="152"/>
      <x:c r="K19" s="152"/>
      <x:c r="L19" s="152"/>
      <x:c r="M19" s="152"/>
      <x:c r="N19" s="152"/>
    </x:row>
    <x:row r="20" ht="18" customHeight="1">
      <x:c r="A20" s="152"/>
      <x:c r="B20" s="152"/>
      <x:c r="C20" s="152"/>
      <x:c r="D20" s="152"/>
      <x:c r="E20" s="152"/>
      <x:c r="F20" s="152"/>
      <x:c r="G20" s="152"/>
      <x:c r="H20" s="152"/>
      <x:c r="I20" s="152"/>
      <x:c r="J20" s="152"/>
      <x:c r="K20" s="152"/>
      <x:c r="L20" s="152"/>
      <x:c r="M20" s="152"/>
      <x:c r="N20" s="152"/>
    </x:row>
    <x:row r="21" ht="18" customHeight="1">
      <x:c r="A21" s="152"/>
      <x:c r="B21" s="152"/>
      <x:c r="C21" s="152"/>
      <x:c r="D21" s="152"/>
      <x:c r="E21" s="152"/>
      <x:c r="F21" s="152"/>
      <x:c r="G21" s="152"/>
      <x:c r="H21" s="152"/>
      <x:c r="I21" s="152"/>
      <x:c r="J21" s="152"/>
      <x:c r="K21" s="152"/>
      <x:c r="L21" s="152"/>
      <x:c r="M21" s="152"/>
      <x:c r="N21" s="152"/>
    </x:row>
    <x:row r="22" ht="18" customHeight="1">
      <x:c r="A22" s="152"/>
      <x:c r="B22" s="152"/>
      <x:c r="C22" s="152"/>
      <x:c r="D22" s="152"/>
      <x:c r="E22" s="152"/>
      <x:c r="F22" s="152"/>
      <x:c r="G22" s="152"/>
      <x:c r="H22" s="152"/>
      <x:c r="I22" s="152"/>
      <x:c r="J22" s="152"/>
      <x:c r="K22" s="152"/>
      <x:c r="L22" s="152"/>
      <x:c r="M22" s="152"/>
      <x:c r="N22" s="152"/>
    </x:row>
    <x:row r="23" ht="18" customHeight="1">
      <x:c r="A23" s="152"/>
      <x:c r="B23" s="152"/>
      <x:c r="C23" s="152"/>
      <x:c r="D23" s="152"/>
      <x:c r="E23" s="152"/>
      <x:c r="F23" s="152"/>
      <x:c r="G23" s="152"/>
      <x:c r="H23" s="152"/>
      <x:c r="I23" s="152"/>
      <x:c r="J23" s="152"/>
      <x:c r="K23" s="152"/>
      <x:c r="L23" s="152"/>
      <x:c r="M23" s="152"/>
      <x:c r="N23" s="152"/>
    </x:row>
    <x:row r="24" ht="18" customHeight="1">
      <x:c r="A24" s="152"/>
      <x:c r="B24" s="152"/>
      <x:c r="C24" s="152"/>
      <x:c r="D24" s="152"/>
      <x:c r="E24" s="152"/>
      <x:c r="F24" s="152"/>
      <x:c r="G24" s="152"/>
      <x:c r="H24" s="152"/>
      <x:c r="I24" s="152"/>
      <x:c r="J24" s="152"/>
      <x:c r="K24" s="152"/>
      <x:c r="L24" s="152"/>
      <x:c r="M24" s="152"/>
      <x:c r="N24" s="152"/>
    </x:row>
    <x:row r="25" ht="18" customHeight="1">
      <x:c r="A25" s="152"/>
      <x:c r="B25" s="152"/>
      <x:c r="C25" s="152"/>
      <x:c r="D25" s="152"/>
      <x:c r="E25" s="152"/>
      <x:c r="F25" s="152"/>
      <x:c r="G25" s="152"/>
      <x:c r="H25" s="152"/>
      <x:c r="I25" s="152"/>
      <x:c r="J25" s="152"/>
      <x:c r="K25" s="152"/>
      <x:c r="L25" s="152"/>
      <x:c r="M25" s="152"/>
      <x:c r="N25" s="152"/>
    </x:row>
    <x:row r="26" ht="18" customHeight="1">
      <x:c r="A26" s="152"/>
      <x:c r="B26" s="152"/>
      <x:c r="C26" s="152"/>
      <x:c r="D26" s="152"/>
      <x:c r="E26" s="152"/>
      <x:c r="F26" s="152"/>
      <x:c r="G26" s="152"/>
      <x:c r="H26" s="152"/>
      <x:c r="I26" s="152"/>
      <x:c r="J26" s="152"/>
      <x:c r="K26" s="152"/>
      <x:c r="L26" s="152"/>
      <x:c r="M26" s="152"/>
      <x:c r="N26" s="152"/>
    </x:row>
    <x:row r="27" ht="18" customHeight="1">
      <x:c r="A27" s="152"/>
      <x:c r="B27" s="152"/>
      <x:c r="C27" s="152"/>
      <x:c r="D27" s="152"/>
      <x:c r="E27" s="152"/>
      <x:c r="F27" s="152"/>
      <x:c r="G27" s="152"/>
      <x:c r="H27" s="152"/>
      <x:c r="I27" s="152"/>
      <x:c r="J27" s="152"/>
      <x:c r="K27" s="152"/>
      <x:c r="L27" s="152"/>
      <x:c r="M27" s="152"/>
      <x:c r="N27" s="152"/>
    </x:row>
    <x:row r="28" ht="18" customHeight="1">
      <x:c r="A28" s="152"/>
      <x:c r="B28" s="152"/>
      <x:c r="C28" s="152"/>
      <x:c r="D28" s="152"/>
      <x:c r="E28" s="152"/>
      <x:c r="F28" s="152"/>
      <x:c r="G28" s="152"/>
      <x:c r="H28" s="152"/>
      <x:c r="I28" s="152"/>
      <x:c r="J28" s="152"/>
      <x:c r="K28" s="152"/>
      <x:c r="L28" s="152"/>
      <x:c r="M28" s="152"/>
      <x:c r="N28" s="152"/>
    </x:row>
    <x:row r="29" ht="18" customHeight="1">
      <x:c r="A29" s="152"/>
      <x:c r="B29" s="152"/>
      <x:c r="C29" s="152"/>
      <x:c r="D29" s="152"/>
      <x:c r="E29" s="152"/>
      <x:c r="F29" s="152"/>
      <x:c r="G29" s="152"/>
      <x:c r="H29" s="152"/>
      <x:c r="I29" s="152"/>
      <x:c r="J29" s="152"/>
      <x:c r="K29" s="152"/>
      <x:c r="L29" s="152"/>
      <x:c r="M29" s="152"/>
      <x:c r="N29" s="152"/>
    </x:row>
    <x:row r="30" ht="18" customHeight="1">
      <x:c r="A30" s="152"/>
      <x:c r="B30" s="152"/>
      <x:c r="C30" s="152"/>
      <x:c r="D30" s="152"/>
      <x:c r="E30" s="152"/>
      <x:c r="F30" s="152"/>
      <x:c r="G30" s="152"/>
      <x:c r="H30" s="152"/>
      <x:c r="I30" s="152"/>
      <x:c r="J30" s="152"/>
      <x:c r="K30" s="152"/>
      <x:c r="L30" s="152"/>
      <x:c r="M30" s="152"/>
      <x:c r="N30" s="152"/>
    </x:row>
    <x:row r="31" ht="18" customHeight="1">
      <x:c r="A31" s="152"/>
      <x:c r="B31" s="152"/>
      <x:c r="C31" s="152"/>
      <x:c r="D31" s="152"/>
      <x:c r="E31" s="152"/>
      <x:c r="F31" s="152"/>
      <x:c r="G31" s="152"/>
      <x:c r="H31" s="152"/>
      <x:c r="I31" s="152"/>
      <x:c r="J31" s="152"/>
      <x:c r="K31" s="152"/>
      <x:c r="L31" s="152"/>
      <x:c r="M31" s="152"/>
      <x:c r="N31" s="152"/>
    </x:row>
    <x:row r="32" ht="18" customHeight="1">
      <x:c r="A32" s="152"/>
      <x:c r="B32" s="152"/>
      <x:c r="C32" s="152"/>
      <x:c r="D32" s="152"/>
      <x:c r="E32" s="152"/>
      <x:c r="F32" s="152"/>
      <x:c r="G32" s="152"/>
      <x:c r="H32" s="152"/>
      <x:c r="I32" s="152"/>
      <x:c r="J32" s="152"/>
      <x:c r="K32" s="152"/>
      <x:c r="L32" s="152"/>
      <x:c r="M32" s="152"/>
      <x:c r="N32" s="152"/>
    </x:row>
    <x:row r="33">
      <x:c r="A33" s="152"/>
      <x:c r="B33" s="152"/>
      <x:c r="C33" s="152"/>
      <x:c r="D33" s="152"/>
      <x:c r="E33" s="152"/>
      <x:c r="F33" s="152"/>
      <x:c r="G33" s="152"/>
      <x:c r="H33" s="152"/>
      <x:c r="I33" s="152"/>
      <x:c r="J33" s="152"/>
      <x:c r="K33" s="152"/>
      <x:c r="L33" s="152"/>
      <x:c r="M33" s="152"/>
      <x:c r="N33" s="152"/>
    </x:row>
    <x:row r="34">
      <x:c r="A34" s="152"/>
      <x:c r="B34" s="152"/>
      <x:c r="C34" s="152"/>
      <x:c r="D34" s="152"/>
      <x:c r="E34" s="152"/>
      <x:c r="F34" s="152"/>
      <x:c r="G34" s="152"/>
      <x:c r="H34" s="152"/>
      <x:c r="I34" s="152"/>
      <x:c r="J34" s="152"/>
      <x:c r="K34" s="152"/>
      <x:c r="L34" s="152"/>
      <x:c r="M34" s="152"/>
      <x:c r="N34" s="152"/>
    </x:row>
    <x:row r="35">
      <x:c r="A35" s="152"/>
      <x:c r="B35" s="152"/>
      <x:c r="C35" s="152"/>
      <x:c r="D35" s="152"/>
      <x:c r="E35" s="152"/>
      <x:c r="F35" s="152"/>
      <x:c r="G35" s="152"/>
      <x:c r="H35" s="152"/>
      <x:c r="I35" s="152"/>
      <x:c r="J35" s="152"/>
      <x:c r="K35" s="152"/>
      <x:c r="L35" s="152"/>
      <x:c r="M35" s="152"/>
      <x:c r="N35" s="152"/>
    </x:row>
    <x:row r="36">
      <x:c r="A36" s="152"/>
      <x:c r="B36" s="152"/>
      <x:c r="C36" s="152"/>
      <x:c r="D36" s="152"/>
      <x:c r="E36" s="152"/>
      <x:c r="F36" s="152"/>
      <x:c r="G36" s="152"/>
      <x:c r="H36" s="152"/>
      <x:c r="I36" s="152"/>
      <x:c r="J36" s="152"/>
      <x:c r="K36" s="152"/>
      <x:c r="L36" s="152"/>
      <x:c r="M36" s="152"/>
      <x:c r="N36" s="152"/>
    </x:row>
    <x:row r="37">
      <x:c r="A37" s="152"/>
      <x:c r="B37" s="152"/>
      <x:c r="C37" s="152"/>
      <x:c r="D37" s="152"/>
      <x:c r="E37" s="152"/>
      <x:c r="F37" s="152"/>
      <x:c r="G37" s="152"/>
      <x:c r="H37" s="152"/>
      <x:c r="I37" s="152"/>
      <x:c r="J37" s="152"/>
      <x:c r="K37" s="152"/>
      <x:c r="L37" s="152"/>
      <x:c r="M37" s="152"/>
      <x:c r="N37" s="152"/>
    </x:row>
    <x:row r="38">
      <x:c r="A38" s="152"/>
      <x:c r="B38" s="152"/>
      <x:c r="C38" s="152"/>
      <x:c r="D38" s="152"/>
      <x:c r="E38" s="152"/>
      <x:c r="F38" s="152"/>
      <x:c r="G38" s="152"/>
      <x:c r="H38" s="152"/>
      <x:c r="I38" s="152"/>
      <x:c r="J38" s="152"/>
      <x:c r="K38" s="152"/>
      <x:c r="L38" s="152"/>
      <x:c r="M38" s="152"/>
      <x:c r="N38" s="152"/>
    </x:row>
    <x:row r="39">
      <x:c r="A39" s="152"/>
      <x:c r="B39" s="152"/>
      <x:c r="C39" s="152"/>
      <x:c r="D39" s="152"/>
      <x:c r="E39" s="152"/>
      <x:c r="F39" s="152"/>
      <x:c r="G39" s="152"/>
      <x:c r="H39" s="152"/>
      <x:c r="I39" s="152"/>
      <x:c r="J39" s="152"/>
      <x:c r="K39" s="152"/>
      <x:c r="L39" s="152"/>
      <x:c r="M39" s="152"/>
      <x:c r="N39" s="152"/>
    </x:row>
    <x:row r="40">
      <x:c r="A40" s="152"/>
      <x:c r="B40" s="152"/>
      <x:c r="C40" s="152"/>
      <x:c r="D40" s="152"/>
      <x:c r="E40" s="152"/>
      <x:c r="F40" s="152"/>
      <x:c r="G40" s="152"/>
      <x:c r="H40" s="152"/>
      <x:c r="I40" s="152"/>
      <x:c r="J40" s="152"/>
      <x:c r="K40" s="152"/>
      <x:c r="L40" s="152"/>
      <x:c r="M40" s="152"/>
      <x:c r="N40" s="152"/>
    </x:row>
  </x:sheetData>
  <x:mergeCells>
    <x:mergeCell ref="A1:N1"/>
    <x:mergeCell ref="A2:N2"/>
    <x:mergeCell ref="A3:N3"/>
    <x:mergeCell ref="A5:C5"/>
    <x:mergeCell ref="A6:C7"/>
    <x:mergeCell ref="D5:F5"/>
    <x:mergeCell ref="D6:F7"/>
    <x:mergeCell ref="G5:I5"/>
    <x:mergeCell ref="G6:I7"/>
    <x:mergeCell ref="J5:N5"/>
    <x:mergeCell ref="J6:N7"/>
    <x:mergeCell ref="A9:F9"/>
    <x:mergeCell ref="H9:N9"/>
    <x:mergeCell ref="B10:F10"/>
    <x:mergeCell ref="B11:F11"/>
    <x:mergeCell ref="B12:F12"/>
    <x:mergeCell ref="B13:F13"/>
    <x:mergeCell ref="B14:F14"/>
    <x:mergeCell ref="B15:F15"/>
  </x:mergeCells>
  <x:pageMargins left="0.7" right="0.7" top="0.75" bottom="0.75" header="0.3" footer="0.3"/>
  <x:drawing xmlns:r="http://schemas.openxmlformats.org/officeDocument/2006/relationships" r:id="R30f9ddd466af43a5"/>
</x:worksheet>
</file>

<file path=xl/worksheets/sheet17.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8" customHeight="1">
      <x:c r="A1" s="146" t="str">
        <x:v>DRY-FRUIT MANUFACTURING | OPERATIONS DASHBOARD</x:v>
      </x:c>
      <x:c r="B1" s="146"/>
      <x:c r="C1" s="146"/>
      <x:c r="D1" s="146"/>
      <x:c r="E1" s="146"/>
      <x:c r="F1" s="146"/>
      <x:c r="G1" s="146"/>
      <x:c r="H1" s="146"/>
      <x:c r="I1" s="146"/>
      <x:c r="J1" s="146"/>
      <x:c r="K1" s="146"/>
      <x:c r="L1" s="146"/>
      <x:c r="M1" s="146"/>
      <x:c r="N1" s="146"/>
    </x:row>
    <x:row r="2" ht="28" customHeight="1">
      <x:c r="A2" s="109" t="str">
        <x:v>Phase 6 operational deep-dive — machine, shift and product interactions based on validated Phase 5 findings.</x:v>
      </x:c>
      <x:c r="B2" s="109"/>
      <x:c r="C2" s="109"/>
      <x:c r="D2" s="109"/>
      <x:c r="E2" s="109"/>
      <x:c r="F2" s="109"/>
      <x:c r="G2" s="109"/>
      <x:c r="H2" s="109"/>
      <x:c r="I2" s="109"/>
      <x:c r="J2" s="109"/>
      <x:c r="K2" s="109"/>
      <x:c r="L2" s="109"/>
      <x:c r="M2" s="109"/>
      <x:c r="N2" s="109"/>
    </x:row>
    <x:row r="3" ht="28" customHeight="1">
      <x:c r="A3" s="113" t="str">
        <x:v>SYNTHETIC DATA DISCLOSURE — This portfolio uses simulated manufacturing data. Findings are illustrative and do not represent actual employer performance. Associations are not causal claims.</x:v>
      </x:c>
      <x:c r="B3" s="113"/>
      <x:c r="C3" s="113"/>
      <x:c r="D3" s="113"/>
      <x:c r="E3" s="113"/>
      <x:c r="F3" s="113"/>
      <x:c r="G3" s="113"/>
      <x:c r="H3" s="113"/>
      <x:c r="I3" s="113"/>
      <x:c r="J3" s="113"/>
      <x:c r="K3" s="113"/>
      <x:c r="L3" s="113"/>
      <x:c r="M3" s="113"/>
      <x:c r="N3" s="113"/>
    </x:row>
    <x:row r="4">
      <x:c r="A4" s="152"/>
      <x:c r="B4" s="152"/>
      <x:c r="C4" s="152"/>
      <x:c r="D4" s="152"/>
      <x:c r="E4" s="152"/>
      <x:c r="F4" s="152"/>
      <x:c r="G4" s="152"/>
      <x:c r="H4" s="152"/>
      <x:c r="I4" s="152"/>
      <x:c r="J4" s="152"/>
      <x:c r="K4" s="152"/>
      <x:c r="L4" s="152"/>
      <x:c r="M4" s="152"/>
      <x:c r="N4" s="152"/>
    </x:row>
    <x:row r="5">
      <x:c r="A5" s="157" t="str">
        <x:v>MACHINE LOSS RANKING</x:v>
      </x:c>
      <x:c r="B5" s="157"/>
      <x:c r="C5" s="157"/>
      <x:c r="D5" s="157"/>
      <x:c r="E5" s="157"/>
      <x:c r="F5" s="157"/>
      <x:c r="G5" s="157" t="str">
        <x:v>SHIFT × MACHINE ATTAINMENT HEATMAP</x:v>
      </x:c>
      <x:c r="H5" s="157"/>
      <x:c r="I5" s="157"/>
      <x:c r="J5" s="157"/>
      <x:c r="K5" s="157"/>
      <x:c r="L5" s="157"/>
      <x:c r="M5" s="157"/>
      <x:c r="N5" s="152"/>
    </x:row>
    <x:row r="6">
      <x:c r="A6" s="160" t="str">
        <x:v>Machine</x:v>
      </x:c>
      <x:c r="B6" s="160" t="str">
        <x:v>Downtime min</x:v>
      </x:c>
      <x:c r="C6" s="160" t="str">
        <x:v>Downtime %</x:v>
      </x:c>
      <x:c r="D6" s="160" t="str">
        <x:v>Attainment %</x:v>
      </x:c>
      <x:c r="E6" s="160" t="str">
        <x:v>Reject %</x:v>
      </x:c>
      <x:c r="F6" s="152"/>
      <x:c r="G6" s="160" t="str">
        <x:f>Phase6_Calculations!A13</x:f>
        <x:v>Shift × Machine</x:v>
      </x:c>
      <x:c r="H6" s="160" t="str">
        <x:f>Phase6_Calculations!B13</x:f>
        <x:v>Dryer 1</x:v>
      </x:c>
      <x:c r="I6" s="160" t="str">
        <x:f>Phase6_Calculations!C13</x:f>
        <x:v>Dryer 2</x:v>
      </x:c>
      <x:c r="J6" s="160" t="str">
        <x:f>Phase6_Calculations!D13</x:f>
        <x:v>Dryer 3</x:v>
      </x:c>
      <x:c r="K6" s="160" t="str">
        <x:f>Phase6_Calculations!E13</x:f>
        <x:v>Dryer 4</x:v>
      </x:c>
      <x:c r="L6" s="152"/>
      <x:c r="M6" s="152"/>
      <x:c r="N6" s="152"/>
    </x:row>
    <x:row r="7">
      <x:c r="A7" s="161" t="str">
        <x:v>Dryer 3</x:v>
      </x:c>
      <x:c r="B7" s="164" t="n">
        <x:f>Phase6_Calculations!E5</x:f>
        <x:v>8668</x:v>
      </x:c>
      <x:c r="C7" s="173" t="n">
        <x:f>Phase6_Calculations!F5</x:f>
        <x:v>13.41380377592077</x:v>
      </x:c>
      <x:c r="D7" s="173" t="n">
        <x:f>Phase6_Calculations!G5</x:f>
        <x:v>82.41998965431932</x:v>
      </x:c>
      <x:c r="E7" s="173" t="n">
        <x:f>Phase6_Calculations!H5</x:f>
        <x:v>4.493756549074397</x:v>
      </x:c>
      <x:c r="F7" s="152"/>
      <x:c r="G7" s="166" t="str">
        <x:f>Phase6_Calculations!A14</x:f>
        <x:v>Shift A</x:v>
      </x:c>
      <x:c r="H7" s="174" t="n">
        <x:f>Phase6_Calculations!B14</x:f>
        <x:v>87.10762815443238</x:v>
      </x:c>
      <x:c r="I7" s="174" t="n">
        <x:f>Phase6_Calculations!C14</x:f>
        <x:v>86.72330942266174</x:v>
      </x:c>
      <x:c r="J7" s="174" t="n">
        <x:f>Phase6_Calculations!D14</x:f>
        <x:v>82.2611228668004</x:v>
      </x:c>
      <x:c r="K7" s="174" t="n">
        <x:f>Phase6_Calculations!E14</x:f>
        <x:v>87.1058312074509</x:v>
      </x:c>
      <x:c r="L7" s="152"/>
      <x:c r="M7" s="152"/>
      <x:c r="N7" s="152"/>
    </x:row>
    <x:row r="8">
      <x:c r="A8" s="161" t="str">
        <x:v>Dryer 4</x:v>
      </x:c>
      <x:c r="B8" s="164" t="n">
        <x:f>Phase6_Calculations!E6</x:f>
        <x:v>6008</x:v>
      </x:c>
      <x:c r="C8" s="173" t="n">
        <x:f>Phase6_Calculations!F6</x:f>
        <x:v>10.12982633619963</x:v>
      </x:c>
      <x:c r="D8" s="173" t="n">
        <x:f>Phase6_Calculations!G6</x:f>
        <x:v>85.52573247894249</x:v>
      </x:c>
      <x:c r="E8" s="173" t="n">
        <x:f>Phase6_Calculations!H6</x:f>
        <x:v>3.131847418891219</x:v>
      </x:c>
      <x:c r="F8" s="152"/>
      <x:c r="G8" s="166" t="str">
        <x:f>Phase6_Calculations!A15</x:f>
        <x:v>Shift B</x:v>
      </x:c>
      <x:c r="H8" s="174" t="n">
        <x:f>Phase6_Calculations!B15</x:f>
        <x:v>87.36843799285461</x:v>
      </x:c>
      <x:c r="I8" s="174" t="n">
        <x:f>Phase6_Calculations!C15</x:f>
        <x:v>86.51099262769878</x:v>
      </x:c>
      <x:c r="J8" s="174" t="n">
        <x:f>Phase6_Calculations!D15</x:f>
        <x:v>84.23756218905473</x:v>
      </x:c>
      <x:c r="K8" s="174" t="n">
        <x:f>Phase6_Calculations!E15</x:f>
        <x:v>85.04274747004769</x:v>
      </x:c>
      <x:c r="L8" s="152"/>
      <x:c r="M8" s="152"/>
      <x:c r="N8" s="152"/>
    </x:row>
    <x:row r="9">
      <x:c r="A9" s="161" t="str">
        <x:v>Dryer 1</x:v>
      </x:c>
      <x:c r="B9" s="164" t="n">
        <x:f>Phase6_Calculations!E7</x:f>
        <x:v>5757</x:v>
      </x:c>
      <x:c r="C9" s="173" t="n">
        <x:f>Phase6_Calculations!F7</x:f>
        <x:v>8.770566727605118</x:v>
      </x:c>
      <x:c r="D9" s="173" t="n">
        <x:f>Phase6_Calculations!G7</x:f>
        <x:v>87.0019392142854</x:v>
      </x:c>
      <x:c r="E9" s="173" t="n">
        <x:f>Phase6_Calculations!H7</x:f>
        <x:v>3.2510787624070425</x:v>
      </x:c>
      <x:c r="F9" s="152"/>
      <x:c r="G9" s="166" t="str">
        <x:f>Phase6_Calculations!A16</x:f>
        <x:v>Shift C</x:v>
      </x:c>
      <x:c r="H9" s="174" t="n">
        <x:f>Phase6_Calculations!B16</x:f>
        <x:v>86.68033224435761</x:v>
      </x:c>
      <x:c r="I9" s="174" t="n">
        <x:f>Phase6_Calculations!C16</x:f>
        <x:v>86.13906497622821</x:v>
      </x:c>
      <x:c r="J9" s="174" t="n">
        <x:f>Phase6_Calculations!D16</x:f>
        <x:v>80.47355251167971</x:v>
      </x:c>
      <x:c r="K9" s="174" t="n">
        <x:f>Phase6_Calculations!E16</x:f>
        <x:v>84.4000567098817</x:v>
      </x:c>
      <x:c r="L9" s="152"/>
      <x:c r="M9" s="152"/>
      <x:c r="N9" s="152"/>
    </x:row>
    <x:row r="10">
      <x:c r="A10" s="161" t="str">
        <x:v>Dryer 2</x:v>
      </x:c>
      <x:c r="B10" s="164" t="n">
        <x:f>Phase6_Calculations!E8</x:f>
        <x:v>4777</x:v>
      </x:c>
      <x:c r="C10" s="173" t="n">
        <x:f>Phase6_Calculations!F8</x:f>
        <x:v>8.865998515219005</x:v>
      </x:c>
      <x:c r="D10" s="173" t="n">
        <x:f>Phase6_Calculations!G8</x:f>
        <x:v>86.49169867189677</x:v>
      </x:c>
      <x:c r="E10" s="173" t="n">
        <x:f>Phase6_Calculations!H8</x:f>
        <x:v>3.098214342111081</x:v>
      </x:c>
      <x:c r="F10" s="152"/>
      <x:c r="G10" s="152"/>
      <x:c r="H10" s="152"/>
      <x:c r="I10" s="152"/>
      <x:c r="J10" s="152"/>
      <x:c r="K10" s="152"/>
      <x:c r="L10" s="152"/>
      <x:c r="M10" s="152"/>
      <x:c r="N10" s="152"/>
    </x:row>
    <x:row r="11">
      <x:c r="A11" s="152"/>
      <x:c r="B11" s="152"/>
      <x:c r="C11" s="152"/>
      <x:c r="D11" s="152"/>
      <x:c r="E11" s="152"/>
      <x:c r="F11" s="152"/>
      <x:c r="G11" s="152"/>
      <x:c r="H11" s="152"/>
      <x:c r="I11" s="152"/>
      <x:c r="J11" s="152"/>
      <x:c r="K11" s="152"/>
      <x:c r="L11" s="152"/>
      <x:c r="M11" s="152"/>
      <x:c r="N11" s="152"/>
    </x:row>
    <x:row r="12">
      <x:c r="A12" s="152"/>
      <x:c r="B12" s="152"/>
      <x:c r="C12" s="152"/>
      <x:c r="D12" s="152"/>
      <x:c r="E12" s="152"/>
      <x:c r="F12" s="152"/>
      <x:c r="G12" s="152"/>
      <x:c r="H12" s="152"/>
      <x:c r="I12" s="152"/>
      <x:c r="J12" s="152"/>
      <x:c r="K12" s="152"/>
      <x:c r="L12" s="152"/>
      <x:c r="M12" s="152"/>
      <x:c r="N12" s="152"/>
    </x:row>
    <x:row r="13">
      <x:c r="A13" s="157" t="str">
        <x:v>PRODUCT × MACHINE QUALITY MATRIX</x:v>
      </x:c>
      <x:c r="B13" s="157"/>
      <x:c r="C13" s="157"/>
      <x:c r="D13" s="157"/>
      <x:c r="E13" s="157"/>
      <x:c r="F13" s="157"/>
      <x:c r="G13" s="157" t="str">
        <x:v>WHAT TO INVESTIGATE NEXT</x:v>
      </x:c>
      <x:c r="H13" s="157"/>
      <x:c r="I13" s="157"/>
      <x:c r="J13" s="157"/>
      <x:c r="K13" s="157"/>
      <x:c r="L13" s="157"/>
      <x:c r="M13" s="157"/>
      <x:c r="N13" s="152"/>
    </x:row>
    <x:row r="14">
      <x:c r="A14" s="160" t="str">
        <x:f>Phase6_Calculations!G13</x:f>
        <x:v>Product × Machine</x:v>
      </x:c>
      <x:c r="B14" s="160" t="str">
        <x:f>Phase6_Calculations!H13</x:f>
        <x:v>Dryer 1</x:v>
      </x:c>
      <x:c r="C14" s="160" t="str">
        <x:f>Phase6_Calculations!I13</x:f>
        <x:v>Dryer 2</x:v>
      </x:c>
      <x:c r="D14" s="160" t="str">
        <x:f>Phase6_Calculations!J13</x:f>
        <x:v>Dryer 3</x:v>
      </x:c>
      <x:c r="E14" s="160" t="str">
        <x:f>Phase6_Calculations!K13</x:f>
        <x:v>Dryer 4</x:v>
      </x:c>
      <x:c r="F14" s="152"/>
      <x:c r="G14" s="168" t="str">
        <x:v>1</x:v>
      </x:c>
      <x:c r="H14" s="161" t="str">
        <x:v>Dryer 3 diagnostic</x:v>
      </x:c>
      <x:c r="I14" s="161" t="str">
        <x:v>Highest downtime + weakest attainment; inspect event-level loss categories.</x:v>
      </x:c>
      <x:c r="J14" s="161" t="str"/>
      <x:c r="K14" s="161" t="str"/>
      <x:c r="L14" s="161" t="str"/>
      <x:c r="M14" s="161" t="str"/>
      <x:c r="N14" s="152"/>
    </x:row>
    <x:row r="15">
      <x:c r="A15" s="166" t="str">
        <x:f>Phase6_Calculations!G14</x:f>
        <x:v>Dried Mango</x:v>
      </x:c>
      <x:c r="B15" s="174" t="n">
        <x:f>Phase6_Calculations!H14</x:f>
        <x:v>3.602596762264771</x:v>
      </x:c>
      <x:c r="C15" s="174" t="n">
        <x:f>Phase6_Calculations!I14</x:f>
        <x:v>3.587518158247982</x:v>
      </x:c>
      <x:c r="D15" s="174" t="n">
        <x:f>Phase6_Calculations!J14</x:f>
        <x:v>4.819336056951342</x:v>
      </x:c>
      <x:c r="E15" s="174" t="n">
        <x:f>Phase6_Calculations!K14</x:f>
        <x:v>3.5951239362360896</x:v>
      </x:c>
      <x:c r="F15" s="152"/>
      <x:c r="G15" s="168" t="str">
        <x:v>2</x:v>
      </x:c>
      <x:c r="H15" s="161" t="str">
        <x:v>Shift C operating context</x:v>
      </x:c>
      <x:c r="I15" s="161" t="str">
        <x:v>Review handover, staffing, escalation and action backlog.</x:v>
      </x:c>
      <x:c r="J15" s="161" t="str"/>
      <x:c r="K15" s="161" t="str"/>
      <x:c r="L15" s="161" t="str"/>
      <x:c r="M15" s="161" t="str"/>
      <x:c r="N15" s="152"/>
    </x:row>
    <x:row r="16">
      <x:c r="A16" s="166" t="str">
        <x:f>Phase6_Calculations!G15</x:f>
        <x:v>Dried Pineapple</x:v>
      </x:c>
      <x:c r="B16" s="174" t="n">
        <x:f>Phase6_Calculations!H15</x:f>
        <x:v>3.2924997110828613</x:v>
      </x:c>
      <x:c r="C16" s="174" t="n">
        <x:f>Phase6_Calculations!I15</x:f>
        <x:v>3.025847392044575</x:v>
      </x:c>
      <x:c r="D16" s="174" t="n">
        <x:f>Phase6_Calculations!J15</x:f>
        <x:v>4.423582959960173</x:v>
      </x:c>
      <x:c r="E16" s="174" t="n">
        <x:f>Phase6_Calculations!K15</x:f>
        <x:v>3.039337214228554</x:v>
      </x:c>
      <x:c r="F16" s="152"/>
      <x:c r="G16" s="168" t="str">
        <x:v>3</x:v>
      </x:c>
      <x:c r="H16" s="161" t="str">
        <x:v>Dried Mango × Dryer 3</x:v>
      </x:c>
      <x:c r="I16" s="161" t="str">
        <x:v>Drill into process parameters and defect/quality checkpoints.</x:v>
      </x:c>
      <x:c r="J16" s="161" t="str"/>
      <x:c r="K16" s="161" t="str"/>
      <x:c r="L16" s="161" t="str"/>
      <x:c r="M16" s="161" t="str"/>
      <x:c r="N16" s="152"/>
    </x:row>
    <x:row r="17">
      <x:c r="A17" s="166" t="str">
        <x:f>Phase6_Calculations!G16</x:f>
        <x:v>Desiccated Coconut</x:v>
      </x:c>
      <x:c r="B17" s="174" t="n">
        <x:f>Phase6_Calculations!H16</x:f>
        <x:v>2.738122137090976</x:v>
      </x:c>
      <x:c r="C17" s="174" t="n">
        <x:f>Phase6_Calculations!I16</x:f>
        <x:v>2.540433323161428</x:v>
      </x:c>
      <x:c r="D17" s="174" t="n">
        <x:f>Phase6_Calculations!J16</x:f>
        <x:v>3.9925719591457756</x:v>
      </x:c>
      <x:c r="E17" s="174" t="n">
        <x:f>Phase6_Calculations!K16</x:f>
        <x:v>2.722132471728594</x:v>
      </x:c>
      <x:c r="F17" s="152"/>
      <x:c r="G17" s="168" t="str">
        <x:v>4</x:v>
      </x:c>
      <x:c r="H17" s="161" t="str">
        <x:v>Downtime taxonomy</x:v>
      </x:c>
      <x:c r="I17" s="161" t="str">
        <x:v>Improve reason capture before attempting root-cause inference.</x:v>
      </x:c>
      <x:c r="J17" s="161" t="str"/>
      <x:c r="K17" s="161" t="str"/>
      <x:c r="L17" s="161" t="str"/>
      <x:c r="M17" s="161" t="str"/>
      <x:c r="N17" s="152"/>
    </x:row>
    <x:row r="18">
      <x:c r="A18" s="152"/>
      <x:c r="B18" s="152"/>
      <x:c r="C18" s="152"/>
      <x:c r="D18" s="152"/>
      <x:c r="E18" s="152"/>
      <x:c r="F18" s="152"/>
      <x:c r="G18" s="169" t="str">
        <x:v>Caveat</x:v>
      </x:c>
      <x:c r="H18" s="169" t="str">
        <x:v>These are investigation priorities for the simulated case, not proven causes.</x:v>
      </x:c>
      <x:c r="I18" s="169" t="str"/>
      <x:c r="J18" s="169" t="str"/>
      <x:c r="K18" s="169" t="str"/>
      <x:c r="L18" s="169" t="str"/>
      <x:c r="M18" s="169" t="str"/>
      <x:c r="N18" s="152"/>
    </x:row>
    <x:row r="19">
      <x:c r="A19" s="152"/>
      <x:c r="B19" s="152"/>
      <x:c r="C19" s="152"/>
      <x:c r="D19" s="152"/>
      <x:c r="E19" s="152"/>
      <x:c r="F19" s="152"/>
      <x:c r="G19" s="152"/>
      <x:c r="H19" s="152"/>
      <x:c r="I19" s="152"/>
      <x:c r="J19" s="152"/>
      <x:c r="K19" s="152"/>
      <x:c r="L19" s="152"/>
      <x:c r="M19" s="152"/>
      <x:c r="N19" s="152"/>
    </x:row>
    <x:row r="20" ht="18" customHeight="1">
      <x:c r="A20" s="152"/>
      <x:c r="B20" s="152"/>
      <x:c r="C20" s="152"/>
      <x:c r="D20" s="152"/>
      <x:c r="E20" s="152"/>
      <x:c r="F20" s="152"/>
      <x:c r="G20" s="152"/>
      <x:c r="H20" s="152"/>
      <x:c r="I20" s="152"/>
      <x:c r="J20" s="152"/>
      <x:c r="K20" s="152"/>
      <x:c r="L20" s="152"/>
      <x:c r="M20" s="152"/>
      <x:c r="N20" s="152"/>
    </x:row>
    <x:row r="21" ht="18" customHeight="1">
      <x:c r="A21" s="152"/>
      <x:c r="B21" s="152"/>
      <x:c r="C21" s="152"/>
      <x:c r="D21" s="152"/>
      <x:c r="E21" s="152"/>
      <x:c r="F21" s="152"/>
      <x:c r="G21" s="152"/>
      <x:c r="H21" s="152"/>
      <x:c r="I21" s="152"/>
      <x:c r="J21" s="152"/>
      <x:c r="K21" s="152"/>
      <x:c r="L21" s="152"/>
      <x:c r="M21" s="152"/>
      <x:c r="N21" s="152"/>
    </x:row>
    <x:row r="22" ht="18" customHeight="1">
      <x:c r="A22" s="152"/>
      <x:c r="B22" s="152"/>
      <x:c r="C22" s="152"/>
      <x:c r="D22" s="152"/>
      <x:c r="E22" s="152"/>
      <x:c r="F22" s="152"/>
      <x:c r="G22" s="152"/>
      <x:c r="H22" s="152"/>
      <x:c r="I22" s="152"/>
      <x:c r="J22" s="152"/>
      <x:c r="K22" s="152"/>
      <x:c r="L22" s="152"/>
      <x:c r="M22" s="152"/>
      <x:c r="N22" s="152"/>
    </x:row>
    <x:row r="23" ht="18" customHeight="1">
      <x:c r="A23" s="152"/>
      <x:c r="B23" s="152"/>
      <x:c r="C23" s="152"/>
      <x:c r="D23" s="152"/>
      <x:c r="E23" s="152"/>
      <x:c r="F23" s="152"/>
      <x:c r="G23" s="152"/>
      <x:c r="H23" s="152"/>
      <x:c r="I23" s="152"/>
      <x:c r="J23" s="152"/>
      <x:c r="K23" s="152"/>
      <x:c r="L23" s="152"/>
      <x:c r="M23" s="152"/>
      <x:c r="N23" s="152"/>
    </x:row>
    <x:row r="24" ht="18" customHeight="1">
      <x:c r="A24" s="152"/>
      <x:c r="B24" s="152"/>
      <x:c r="C24" s="152"/>
      <x:c r="D24" s="152"/>
      <x:c r="E24" s="152"/>
      <x:c r="F24" s="152"/>
      <x:c r="G24" s="152"/>
      <x:c r="H24" s="152"/>
      <x:c r="I24" s="152"/>
      <x:c r="J24" s="152"/>
      <x:c r="K24" s="152"/>
      <x:c r="L24" s="152"/>
      <x:c r="M24" s="152"/>
      <x:c r="N24" s="152"/>
    </x:row>
    <x:row r="25" ht="18" customHeight="1">
      <x:c r="A25" s="152"/>
      <x:c r="B25" s="152"/>
      <x:c r="C25" s="152"/>
      <x:c r="D25" s="152"/>
      <x:c r="E25" s="152"/>
      <x:c r="F25" s="152"/>
      <x:c r="G25" s="152"/>
      <x:c r="H25" s="152"/>
      <x:c r="I25" s="152"/>
      <x:c r="J25" s="152"/>
      <x:c r="K25" s="152"/>
      <x:c r="L25" s="152"/>
      <x:c r="M25" s="152"/>
      <x:c r="N25" s="152"/>
    </x:row>
    <x:row r="26" ht="18" customHeight="1">
      <x:c r="A26" s="152"/>
      <x:c r="B26" s="152"/>
      <x:c r="C26" s="152"/>
      <x:c r="D26" s="152"/>
      <x:c r="E26" s="152"/>
      <x:c r="F26" s="152"/>
      <x:c r="G26" s="152"/>
      <x:c r="H26" s="152"/>
      <x:c r="I26" s="152"/>
      <x:c r="J26" s="152"/>
      <x:c r="K26" s="152"/>
      <x:c r="L26" s="152"/>
      <x:c r="M26" s="152"/>
      <x:c r="N26" s="152"/>
    </x:row>
    <x:row r="27" ht="18" customHeight="1">
      <x:c r="A27" s="152"/>
      <x:c r="B27" s="152"/>
      <x:c r="C27" s="152"/>
      <x:c r="D27" s="152"/>
      <x:c r="E27" s="152"/>
      <x:c r="F27" s="152"/>
      <x:c r="G27" s="152"/>
      <x:c r="H27" s="152"/>
      <x:c r="I27" s="152"/>
      <x:c r="J27" s="152"/>
      <x:c r="K27" s="152"/>
      <x:c r="L27" s="152"/>
      <x:c r="M27" s="152"/>
      <x:c r="N27" s="152"/>
    </x:row>
    <x:row r="28" ht="18" customHeight="1">
      <x:c r="A28" s="152"/>
      <x:c r="B28" s="152"/>
      <x:c r="C28" s="152"/>
      <x:c r="D28" s="152"/>
      <x:c r="E28" s="152"/>
      <x:c r="F28" s="152"/>
      <x:c r="G28" s="152"/>
      <x:c r="H28" s="152"/>
      <x:c r="I28" s="152"/>
      <x:c r="J28" s="152"/>
      <x:c r="K28" s="152"/>
      <x:c r="L28" s="152"/>
      <x:c r="M28" s="152"/>
      <x:c r="N28" s="152"/>
    </x:row>
    <x:row r="29" ht="18" customHeight="1">
      <x:c r="A29" s="152"/>
      <x:c r="B29" s="152"/>
      <x:c r="C29" s="152"/>
      <x:c r="D29" s="152"/>
      <x:c r="E29" s="152"/>
      <x:c r="F29" s="152"/>
      <x:c r="G29" s="152"/>
      <x:c r="H29" s="152"/>
      <x:c r="I29" s="152"/>
      <x:c r="J29" s="152"/>
      <x:c r="K29" s="152"/>
      <x:c r="L29" s="152"/>
      <x:c r="M29" s="152"/>
      <x:c r="N29" s="152"/>
    </x:row>
    <x:row r="30" ht="18" customHeight="1">
      <x:c r="A30" s="152"/>
      <x:c r="B30" s="152"/>
      <x:c r="C30" s="152"/>
      <x:c r="D30" s="152"/>
      <x:c r="E30" s="152"/>
      <x:c r="F30" s="152"/>
      <x:c r="G30" s="152"/>
      <x:c r="H30" s="152"/>
      <x:c r="I30" s="152"/>
      <x:c r="J30" s="152"/>
      <x:c r="K30" s="152"/>
      <x:c r="L30" s="152"/>
      <x:c r="M30" s="152"/>
      <x:c r="N30" s="152"/>
    </x:row>
    <x:row r="31" ht="18" customHeight="1">
      <x:c r="A31" s="152"/>
      <x:c r="B31" s="152"/>
      <x:c r="C31" s="152"/>
      <x:c r="D31" s="152"/>
      <x:c r="E31" s="152"/>
      <x:c r="F31" s="152"/>
      <x:c r="G31" s="152"/>
      <x:c r="H31" s="152"/>
      <x:c r="I31" s="152"/>
      <x:c r="J31" s="152"/>
      <x:c r="K31" s="152"/>
      <x:c r="L31" s="152"/>
      <x:c r="M31" s="152"/>
      <x:c r="N31" s="152"/>
    </x:row>
    <x:row r="32" ht="18" customHeight="1">
      <x:c r="A32" s="152"/>
      <x:c r="B32" s="152"/>
      <x:c r="C32" s="152"/>
      <x:c r="D32" s="152"/>
      <x:c r="E32" s="152"/>
      <x:c r="F32" s="152"/>
      <x:c r="G32" s="152"/>
      <x:c r="H32" s="152"/>
      <x:c r="I32" s="152"/>
      <x:c r="J32" s="152"/>
      <x:c r="K32" s="152"/>
      <x:c r="L32" s="152"/>
      <x:c r="M32" s="152"/>
      <x:c r="N32" s="152"/>
    </x:row>
    <x:row r="33" ht="18" customHeight="1">
      <x:c r="A33" s="152"/>
      <x:c r="B33" s="152"/>
      <x:c r="C33" s="152"/>
      <x:c r="D33" s="152"/>
      <x:c r="E33" s="152"/>
      <x:c r="F33" s="152"/>
      <x:c r="G33" s="152"/>
      <x:c r="H33" s="152"/>
      <x:c r="I33" s="152"/>
      <x:c r="J33" s="152"/>
      <x:c r="K33" s="152"/>
      <x:c r="L33" s="152"/>
      <x:c r="M33" s="152"/>
      <x:c r="N33" s="152"/>
    </x:row>
    <x:row r="34" ht="18" customHeight="1">
      <x:c r="A34" s="152"/>
      <x:c r="B34" s="152"/>
      <x:c r="C34" s="152"/>
      <x:c r="D34" s="152"/>
      <x:c r="E34" s="152"/>
      <x:c r="F34" s="152"/>
      <x:c r="G34" s="152"/>
      <x:c r="H34" s="152"/>
      <x:c r="I34" s="152"/>
      <x:c r="J34" s="152"/>
      <x:c r="K34" s="152"/>
      <x:c r="L34" s="152"/>
      <x:c r="M34" s="152"/>
      <x:c r="N34" s="152"/>
    </x:row>
    <x:row r="35">
      <x:c r="A35" s="152"/>
      <x:c r="B35" s="152"/>
      <x:c r="C35" s="152"/>
      <x:c r="D35" s="152"/>
      <x:c r="E35" s="152"/>
      <x:c r="F35" s="152"/>
      <x:c r="G35" s="152"/>
      <x:c r="H35" s="152"/>
      <x:c r="I35" s="152"/>
      <x:c r="J35" s="152"/>
      <x:c r="K35" s="152"/>
      <x:c r="L35" s="152"/>
      <x:c r="M35" s="152"/>
      <x:c r="N35" s="152"/>
    </x:row>
    <x:row r="36">
      <x:c r="A36" s="152"/>
      <x:c r="B36" s="152"/>
      <x:c r="C36" s="152"/>
      <x:c r="D36" s="152"/>
      <x:c r="E36" s="152"/>
      <x:c r="F36" s="152"/>
      <x:c r="G36" s="152"/>
      <x:c r="H36" s="152"/>
      <x:c r="I36" s="152"/>
      <x:c r="J36" s="152"/>
      <x:c r="K36" s="152"/>
      <x:c r="L36" s="152"/>
      <x:c r="M36" s="152"/>
      <x:c r="N36" s="152"/>
    </x:row>
    <x:row r="37">
      <x:c r="A37" s="152"/>
      <x:c r="B37" s="152"/>
      <x:c r="C37" s="152"/>
      <x:c r="D37" s="152"/>
      <x:c r="E37" s="152"/>
      <x:c r="F37" s="152"/>
      <x:c r="G37" s="152"/>
      <x:c r="H37" s="152"/>
      <x:c r="I37" s="152"/>
      <x:c r="J37" s="152"/>
      <x:c r="K37" s="152"/>
      <x:c r="L37" s="152"/>
      <x:c r="M37" s="152"/>
      <x:c r="N37" s="152"/>
    </x:row>
    <x:row r="38">
      <x:c r="A38" s="152"/>
      <x:c r="B38" s="152"/>
      <x:c r="C38" s="152"/>
      <x:c r="D38" s="152"/>
      <x:c r="E38" s="152"/>
      <x:c r="F38" s="152"/>
      <x:c r="G38" s="152"/>
      <x:c r="H38" s="152"/>
      <x:c r="I38" s="152"/>
      <x:c r="J38" s="152"/>
      <x:c r="K38" s="152"/>
      <x:c r="L38" s="152"/>
      <x:c r="M38" s="152"/>
      <x:c r="N38" s="152"/>
    </x:row>
    <x:row r="39">
      <x:c r="A39" s="152"/>
      <x:c r="B39" s="152"/>
      <x:c r="C39" s="152"/>
      <x:c r="D39" s="152"/>
      <x:c r="E39" s="152"/>
      <x:c r="F39" s="152"/>
      <x:c r="G39" s="152"/>
      <x:c r="H39" s="152"/>
      <x:c r="I39" s="152"/>
      <x:c r="J39" s="152"/>
      <x:c r="K39" s="152"/>
      <x:c r="L39" s="152"/>
      <x:c r="M39" s="152"/>
      <x:c r="N39" s="152"/>
    </x:row>
    <x:row r="40">
      <x:c r="A40" s="152"/>
      <x:c r="B40" s="152"/>
      <x:c r="C40" s="152"/>
      <x:c r="D40" s="152"/>
      <x:c r="E40" s="152"/>
      <x:c r="F40" s="152"/>
      <x:c r="G40" s="152"/>
      <x:c r="H40" s="152"/>
      <x:c r="I40" s="152"/>
      <x:c r="J40" s="152"/>
      <x:c r="K40" s="152"/>
      <x:c r="L40" s="152"/>
      <x:c r="M40" s="152"/>
      <x:c r="N40" s="152"/>
    </x:row>
  </x:sheetData>
  <x:mergeCells>
    <x:mergeCell ref="A1:N1"/>
    <x:mergeCell ref="A2:N2"/>
    <x:mergeCell ref="A3:N3"/>
    <x:mergeCell ref="A5:G5"/>
    <x:mergeCell ref="G5:M5"/>
    <x:mergeCell ref="A13:F13"/>
    <x:mergeCell ref="G13:M13"/>
  </x:mergeCells>
  <x:conditionalFormatting sqref="H7:K9">
    <x:cfRule type="colorScale" priority="1">
      <x:colorScale>
        <x:cfvo type="min"/>
        <x:cfvo type="percentile" val="50"/>
        <x:cfvo type="max"/>
        <x:color rgb="FFFEE2E2"/>
        <x:color rgb="FFFEF3C7"/>
        <x:color rgb="FFDCFCE7"/>
      </x:colorScale>
    </x:cfRule>
  </x:conditionalFormatting>
  <x:conditionalFormatting sqref="B15:E17">
    <x:cfRule type="colorScale" priority="2">
      <x:colorScale>
        <x:cfvo type="min"/>
        <x:cfvo type="percentile" val="50"/>
        <x:cfvo type="max"/>
        <x:color rgb="FFDCFCE7"/>
        <x:color rgb="FFFEF3C7"/>
        <x:color rgb="FFFEE2E2"/>
      </x:colorScale>
    </x:cfRule>
  </x:conditionalFormatting>
  <x:pageMargins left="0.7" right="0.7" top="0.75" bottom="0.75" header="0.3" footer="0.3"/>
  <x:drawing xmlns:r="http://schemas.openxmlformats.org/officeDocument/2006/relationships" r:id="Rd6b2acf31e944fca"/>
</x:worksheet>
</file>

<file path=xl/worksheets/sheet18.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8" customHeight="1">
      <x:c r="A1" s="146" t="str">
        <x:v>DRY-FRUIT MANUFACTURING | HSE &amp; ACTIONS</x:v>
      </x:c>
      <x:c r="B1" s="152"/>
      <x:c r="C1" s="152"/>
      <x:c r="D1" s="152"/>
      <x:c r="E1" s="152"/>
      <x:c r="F1" s="152"/>
      <x:c r="G1" s="152"/>
      <x:c r="H1" s="152"/>
      <x:c r="I1" s="152"/>
      <x:c r="J1" s="152"/>
      <x:c r="K1" s="152"/>
      <x:c r="L1" s="152"/>
      <x:c r="M1" s="152"/>
      <x:c r="N1" s="152"/>
    </x:row>
    <x:row r="2" ht="28" customHeight="1">
      <x:c r="A2" s="109" t="str">
        <x:v>Phase 6 HSE context — safety signals and corrective-action backlog without overstating causality.</x:v>
      </x:c>
      <x:c r="B2" s="152"/>
      <x:c r="C2" s="152"/>
      <x:c r="D2" s="152"/>
      <x:c r="E2" s="152"/>
      <x:c r="F2" s="152"/>
      <x:c r="G2" s="152"/>
      <x:c r="H2" s="152"/>
      <x:c r="I2" s="152"/>
      <x:c r="J2" s="152"/>
      <x:c r="K2" s="152"/>
      <x:c r="L2" s="152"/>
      <x:c r="M2" s="152"/>
      <x:c r="N2" s="152"/>
    </x:row>
    <x:row r="3" ht="28" customHeight="1">
      <x:c r="A3" s="113" t="str">
        <x:v>SYNTHETIC DATA DISCLOSURE — This portfolio uses simulated manufacturing data. Findings are illustrative and do not represent actual employer performance. Associations are not causal claims.</x:v>
      </x:c>
      <x:c r="B3" s="152"/>
      <x:c r="C3" s="152"/>
      <x:c r="D3" s="152"/>
      <x:c r="E3" s="152"/>
      <x:c r="F3" s="152"/>
      <x:c r="G3" s="152"/>
      <x:c r="H3" s="152"/>
      <x:c r="I3" s="152"/>
      <x:c r="J3" s="152"/>
      <x:c r="K3" s="152"/>
      <x:c r="L3" s="152"/>
      <x:c r="M3" s="152"/>
      <x:c r="N3" s="152"/>
    </x:row>
    <x:row r="4">
      <x:c r="A4" s="152"/>
      <x:c r="B4" s="152"/>
      <x:c r="C4" s="152"/>
      <x:c r="D4" s="152"/>
      <x:c r="E4" s="152"/>
      <x:c r="F4" s="152"/>
      <x:c r="G4" s="152"/>
      <x:c r="H4" s="152"/>
      <x:c r="I4" s="152"/>
      <x:c r="J4" s="152"/>
      <x:c r="K4" s="152"/>
      <x:c r="L4" s="152"/>
      <x:c r="M4" s="152"/>
      <x:c r="N4" s="152"/>
    </x:row>
    <x:row r="5">
      <x:c r="A5" s="157" t="str">
        <x:v>HSE SHIFT CONTEXT</x:v>
      </x:c>
      <x:c r="B5" s="157"/>
      <x:c r="C5" s="157"/>
      <x:c r="D5" s="157"/>
      <x:c r="E5" s="152"/>
      <x:c r="F5" s="152"/>
      <x:c r="G5" s="157" t="str">
        <x:v>HSE / CORRECTIVE-ACTION INTERPRETATION</x:v>
      </x:c>
      <x:c r="H5" s="157"/>
      <x:c r="I5" s="157"/>
      <x:c r="J5" s="157"/>
      <x:c r="K5" s="157"/>
      <x:c r="L5" s="157"/>
      <x:c r="M5" s="157"/>
      <x:c r="N5" s="157"/>
    </x:row>
    <x:row r="6">
      <x:c r="A6" s="160" t="str">
        <x:v>Shift</x:v>
      </x:c>
      <x:c r="B6" s="160" t="str">
        <x:v>PPE compliance %</x:v>
      </x:c>
      <x:c r="C6" s="160" t="str">
        <x:v>Safety observations</x:v>
      </x:c>
      <x:c r="D6" s="160" t="str">
        <x:v>Active corrective-action %</x:v>
      </x:c>
      <x:c r="E6" s="160" t="str">
        <x:v>Interpretation</x:v>
      </x:c>
      <x:c r="F6" s="152"/>
      <x:c r="G6" s="170" t="str">
        <x:v>Observed signal</x:v>
      </x:c>
      <x:c r="H6" s="170" t="str">
        <x:v>Portfolio interpretation</x:v>
      </x:c>
      <x:c r="I6" s="170" t="str"/>
      <x:c r="J6" s="170" t="str"/>
      <x:c r="K6" s="170" t="str"/>
      <x:c r="L6" s="170" t="str"/>
      <x:c r="M6" s="170" t="str"/>
      <x:c r="N6" s="170" t="str"/>
    </x:row>
    <x:row r="7">
      <x:c r="A7" s="161" t="str">
        <x:v>Shift A</x:v>
      </x:c>
      <x:c r="B7" s="173" t="n">
        <x:f>Phase6_Calculations!N15</x:f>
        <x:v>91.27055555555557</x:v>
      </x:c>
      <x:c r="C7" s="161" t="n">
        <x:f>Phase6_Calculations!N16</x:f>
        <x:v>532</x:v>
      </x:c>
      <x:c r="D7" s="173" t="n">
        <x:f>Phase6_Calculations!N17</x:f>
        <x:v>12.777777777777777</x:v>
      </x:c>
      <x:c r="E7" s="161" t="str">
        <x:v>Context</x:v>
      </x:c>
      <x:c r="F7" s="152"/>
      <x:c r="G7" s="161" t="str">
        <x:v>Shift C has the lowest PPE compliance</x:v>
      </x:c>
      <x:c r="H7" s="161" t="str">
        <x:v>Use as a context signal; do not infer non-compliance caused the performance gap.</x:v>
      </x:c>
      <x:c r="I7" s="161" t="str"/>
      <x:c r="J7" s="161" t="str"/>
      <x:c r="K7" s="161" t="str"/>
      <x:c r="L7" s="161" t="str"/>
      <x:c r="M7" s="161" t="str"/>
      <x:c r="N7" s="161" t="str"/>
    </x:row>
    <x:row r="8">
      <x:c r="A8" s="161" t="str">
        <x:v>Shift B</x:v>
      </x:c>
      <x:c r="B8" s="173" t="n">
        <x:f>Phase6_Calculations!O15</x:f>
        <x:v>91.88944444444444</x:v>
      </x:c>
      <x:c r="C8" s="161" t="n">
        <x:f>Phase6_Calculations!O16</x:f>
        <x:v>597</x:v>
      </x:c>
      <x:c r="D8" s="173" t="n">
        <x:f>Phase6_Calculations!O17</x:f>
        <x:v>10</x:v>
      </x:c>
      <x:c r="E8" s="161" t="str">
        <x:v>Context</x:v>
      </x:c>
      <x:c r="F8" s="152"/>
      <x:c r="G8" s="161" t="str">
        <x:v>Shift C has elevated unresolved actions</x:v>
      </x:c>
      <x:c r="H8" s="161" t="str">
        <x:v>This strengthens the case for management review of the action backlog.</x:v>
      </x:c>
      <x:c r="I8" s="161" t="str"/>
      <x:c r="J8" s="161" t="str"/>
      <x:c r="K8" s="161" t="str"/>
      <x:c r="L8" s="161" t="str"/>
      <x:c r="M8" s="161" t="str"/>
      <x:c r="N8" s="161" t="str"/>
    </x:row>
    <x:row r="9">
      <x:c r="A9" s="161" t="str">
        <x:v>Shift C</x:v>
      </x:c>
      <x:c r="B9" s="173" t="n">
        <x:f>Phase6_Calculations!P15</x:f>
        <x:v>87.98722222222217</x:v>
      </x:c>
      <x:c r="C9" s="161" t="n">
        <x:f>Phase6_Calculations!P16</x:f>
        <x:v>533</x:v>
      </x:c>
      <x:c r="D9" s="173" t="n">
        <x:f>Phase6_Calculations!P17</x:f>
        <x:v>20</x:v>
      </x:c>
      <x:c r="E9" s="161" t="str">
        <x:v>Multi-dimensional weakness signal</x:v>
      </x:c>
      <x:c r="F9" s="152"/>
      <x:c r="G9" s="161" t="str">
        <x:v>PPE ↔ safety observations r ≈ 0.077</x:v>
      </x:c>
      <x:c r="H9" s="161" t="str">
        <x:v>No meaningful linear relationship in this simulation; avoid a causal PPE story.</x:v>
      </x:c>
      <x:c r="I9" s="161" t="str"/>
      <x:c r="J9" s="161" t="str"/>
      <x:c r="K9" s="161" t="str"/>
      <x:c r="L9" s="161" t="str"/>
      <x:c r="M9" s="161" t="str"/>
      <x:c r="N9" s="161" t="str"/>
    </x:row>
    <x:row r="10">
      <x:c r="A10" s="152"/>
      <x:c r="B10" s="152"/>
      <x:c r="C10" s="152"/>
      <x:c r="D10" s="152"/>
      <x:c r="E10" s="152"/>
      <x:c r="F10" s="152"/>
      <x:c r="G10" s="161" t="str">
        <x:v>Incident types are observational fields</x:v>
      </x:c>
      <x:c r="H10" s="161" t="str">
        <x:v>Validate definitions, severity and exposure before drawing HSE conclusions.</x:v>
      </x:c>
      <x:c r="I10" s="161" t="str"/>
      <x:c r="J10" s="161" t="str"/>
      <x:c r="K10" s="161" t="str"/>
      <x:c r="L10" s="161" t="str"/>
      <x:c r="M10" s="161" t="str"/>
      <x:c r="N10" s="161" t="str"/>
    </x:row>
    <x:row r="11">
      <x:c r="A11" s="152"/>
      <x:c r="B11" s="152"/>
      <x:c r="C11" s="152"/>
      <x:c r="D11" s="152"/>
      <x:c r="E11" s="152"/>
      <x:c r="F11" s="152"/>
      <x:c r="G11" s="161" t="str">
        <x:v>Corrective-action status is incomplete context</x:v>
      </x:c>
      <x:c r="H11" s="161" t="str">
        <x:v>Action age, owner, due date and closure quality would make this much more useful.</x:v>
      </x:c>
      <x:c r="I11" s="161" t="str"/>
      <x:c r="J11" s="161" t="str"/>
      <x:c r="K11" s="161" t="str"/>
      <x:c r="L11" s="161" t="str"/>
      <x:c r="M11" s="161" t="str"/>
      <x:c r="N11" s="161" t="str"/>
    </x:row>
    <x:row r="12">
      <x:c r="A12" s="152"/>
      <x:c r="B12" s="152"/>
      <x:c r="C12" s="152"/>
      <x:c r="D12" s="152"/>
      <x:c r="E12" s="152"/>
      <x:c r="F12" s="152"/>
      <x:c r="G12" s="161" t="str">
        <x:v>Portfolio rule</x:v>
      </x:c>
      <x:c r="H12" s="161" t="str">
        <x:v>Synthetic findings are illustrative; real HSE decisions require validated production/HSE records.</x:v>
      </x:c>
      <x:c r="I12" s="161" t="str"/>
      <x:c r="J12" s="161" t="str"/>
      <x:c r="K12" s="161" t="str"/>
      <x:c r="L12" s="161" t="str"/>
      <x:c r="M12" s="161" t="str"/>
      <x:c r="N12" s="161" t="str"/>
    </x:row>
    <x:row r="13">
      <x:c r="A13" s="152"/>
      <x:c r="B13" s="152"/>
      <x:c r="C13" s="152"/>
      <x:c r="D13" s="152"/>
      <x:c r="E13" s="152"/>
      <x:c r="F13" s="152"/>
      <x:c r="G13" s="152"/>
      <x:c r="H13" s="152"/>
      <x:c r="I13" s="152"/>
      <x:c r="J13" s="152"/>
      <x:c r="K13" s="152"/>
      <x:c r="L13" s="152"/>
      <x:c r="M13" s="152"/>
      <x:c r="N13" s="152"/>
    </x:row>
    <x:row r="14">
      <x:c r="A14" s="157" t="str">
        <x:v>RECOMMENDED HSE DATA ENHANCEMENTS</x:v>
      </x:c>
      <x:c r="B14" s="157"/>
      <x:c r="C14" s="157"/>
      <x:c r="D14" s="157"/>
      <x:c r="E14" s="157"/>
      <x:c r="F14" s="157"/>
      <x:c r="G14" s="157"/>
      <x:c r="H14" s="157"/>
      <x:c r="I14" s="157"/>
      <x:c r="J14" s="157"/>
      <x:c r="K14" s="157"/>
      <x:c r="L14" s="157"/>
      <x:c r="M14" s="157"/>
      <x:c r="N14" s="157"/>
    </x:row>
    <x:row r="15">
      <x:c r="A15" s="170" t="str">
        <x:v>Field</x:v>
      </x:c>
      <x:c r="B15" s="170" t="str">
        <x:v>Why it matters</x:v>
      </x:c>
      <x:c r="C15" s="170" t="str"/>
      <x:c r="D15" s="170" t="str"/>
      <x:c r="E15" s="170" t="str"/>
      <x:c r="F15" s="170" t="str"/>
      <x:c r="G15" s="152"/>
      <x:c r="H15" s="152"/>
      <x:c r="I15" s="152"/>
      <x:c r="J15" s="152"/>
      <x:c r="K15" s="152"/>
      <x:c r="L15" s="152"/>
      <x:c r="M15" s="152"/>
      <x:c r="N15" s="152"/>
    </x:row>
    <x:row r="16">
      <x:c r="A16" s="161" t="str">
        <x:v>Observation severity</x:v>
      </x:c>
      <x:c r="B16" s="161" t="str">
        <x:v>Separates minor signals from higher-risk exposure.</x:v>
      </x:c>
      <x:c r="C16" s="161" t="str"/>
      <x:c r="D16" s="161" t="str"/>
      <x:c r="E16" s="161" t="str"/>
      <x:c r="F16" s="161" t="str"/>
      <x:c r="G16" s="152"/>
      <x:c r="H16" s="152"/>
      <x:c r="I16" s="152"/>
      <x:c r="J16" s="152"/>
      <x:c r="K16" s="152"/>
      <x:c r="L16" s="152"/>
      <x:c r="M16" s="152"/>
      <x:c r="N16" s="152"/>
    </x:row>
    <x:row r="17">
      <x:c r="A17" s="161" t="str">
        <x:v>Exposure hours</x:v>
      </x:c>
      <x:c r="B17" s="161" t="str">
        <x:v>Allows rates to be normalised by exposure rather than raw counts.</x:v>
      </x:c>
      <x:c r="C17" s="161" t="str"/>
      <x:c r="D17" s="161" t="str"/>
      <x:c r="E17" s="161" t="str"/>
      <x:c r="F17" s="161" t="str"/>
      <x:c r="G17" s="152"/>
      <x:c r="H17" s="152"/>
      <x:c r="I17" s="152"/>
      <x:c r="J17" s="152"/>
      <x:c r="K17" s="152"/>
      <x:c r="L17" s="152"/>
      <x:c r="M17" s="152"/>
      <x:c r="N17" s="152"/>
    </x:row>
    <x:row r="18">
      <x:c r="A18" s="161" t="str">
        <x:v>Corrective-action age</x:v>
      </x:c>
      <x:c r="B18" s="161" t="str">
        <x:v>Distinguishes fresh work from overdue backlog.</x:v>
      </x:c>
      <x:c r="C18" s="161" t="str"/>
      <x:c r="D18" s="161" t="str"/>
      <x:c r="E18" s="161" t="str"/>
      <x:c r="F18" s="161" t="str"/>
      <x:c r="G18" s="152"/>
      <x:c r="H18" s="152"/>
      <x:c r="I18" s="152"/>
      <x:c r="J18" s="152"/>
      <x:c r="K18" s="152"/>
      <x:c r="L18" s="152"/>
      <x:c r="M18" s="152"/>
      <x:c r="N18" s="152"/>
    </x:row>
    <x:row r="19">
      <x:c r="A19" s="161" t="str">
        <x:v>Action owner</x:v>
      </x:c>
      <x:c r="B19" s="161" t="str">
        <x:v>Enables accountability analysis.</x:v>
      </x:c>
      <x:c r="C19" s="161" t="str"/>
      <x:c r="D19" s="161" t="str"/>
      <x:c r="E19" s="161" t="str"/>
      <x:c r="F19" s="161" t="str"/>
      <x:c r="G19" s="152"/>
      <x:c r="H19" s="152"/>
      <x:c r="I19" s="152"/>
      <x:c r="J19" s="152"/>
      <x:c r="K19" s="152"/>
      <x:c r="L19" s="152"/>
      <x:c r="M19" s="152"/>
      <x:c r="N19" s="152"/>
    </x:row>
    <x:row r="20">
      <x:c r="A20" s="161" t="str">
        <x:v>Due date</x:v>
      </x:c>
      <x:c r="B20" s="161" t="str">
        <x:v>Enables overdue-rate reporting.</x:v>
      </x:c>
      <x:c r="C20" s="161" t="str"/>
      <x:c r="D20" s="161" t="str"/>
      <x:c r="E20" s="161" t="str"/>
      <x:c r="F20" s="161" t="str"/>
      <x:c r="G20" s="152"/>
      <x:c r="H20" s="152"/>
      <x:c r="I20" s="152"/>
      <x:c r="J20" s="152"/>
      <x:c r="K20" s="152"/>
      <x:c r="L20" s="152"/>
      <x:c r="M20" s="152"/>
      <x:c r="N20" s="152"/>
    </x:row>
    <x:row r="21">
      <x:c r="A21" s="161" t="str">
        <x:v>Repeat occurrence flag</x:v>
      </x:c>
      <x:c r="B21" s="161" t="str">
        <x:v>Separates recurring issues from isolated observations.</x:v>
      </x:c>
      <x:c r="C21" s="161" t="str"/>
      <x:c r="D21" s="161" t="str"/>
      <x:c r="E21" s="161" t="str"/>
      <x:c r="F21" s="161" t="str"/>
      <x:c r="G21" s="152"/>
      <x:c r="H21" s="152"/>
      <x:c r="I21" s="152"/>
      <x:c r="J21" s="152"/>
      <x:c r="K21" s="152"/>
      <x:c r="L21" s="152"/>
      <x:c r="M21" s="152"/>
      <x:c r="N21" s="152"/>
    </x:row>
    <x:row r="22">
      <x:c r="A22" s="152"/>
      <x:c r="B22" s="152"/>
      <x:c r="C22" s="152"/>
      <x:c r="D22" s="152"/>
      <x:c r="E22" s="152"/>
      <x:c r="F22" s="152"/>
      <x:c r="G22" s="152"/>
      <x:c r="H22" s="152"/>
      <x:c r="I22" s="152"/>
      <x:c r="J22" s="152"/>
      <x:c r="K22" s="152"/>
      <x:c r="L22" s="152"/>
      <x:c r="M22" s="152"/>
      <x:c r="N22" s="152"/>
    </x:row>
    <x:row r="23" ht="18" customHeight="1">
      <x:c r="A23" s="152"/>
      <x:c r="B23" s="152"/>
      <x:c r="C23" s="152"/>
      <x:c r="D23" s="152"/>
      <x:c r="E23" s="152"/>
      <x:c r="F23" s="152"/>
      <x:c r="G23" s="152"/>
      <x:c r="H23" s="152"/>
      <x:c r="I23" s="152"/>
      <x:c r="J23" s="152"/>
      <x:c r="K23" s="152"/>
      <x:c r="L23" s="152"/>
      <x:c r="M23" s="152"/>
      <x:c r="N23" s="152"/>
    </x:row>
    <x:row r="24" ht="18" customHeight="1">
      <x:c r="A24" s="152"/>
      <x:c r="B24" s="152"/>
      <x:c r="C24" s="152"/>
      <x:c r="D24" s="152"/>
      <x:c r="E24" s="152"/>
      <x:c r="F24" s="152"/>
      <x:c r="G24" s="152"/>
      <x:c r="H24" s="152"/>
      <x:c r="I24" s="152"/>
      <x:c r="J24" s="152"/>
      <x:c r="K24" s="152"/>
      <x:c r="L24" s="152"/>
      <x:c r="M24" s="152"/>
      <x:c r="N24" s="152"/>
    </x:row>
    <x:row r="25" ht="18" customHeight="1">
      <x:c r="A25" s="152"/>
      <x:c r="B25" s="152"/>
      <x:c r="C25" s="152"/>
      <x:c r="D25" s="152"/>
      <x:c r="E25" s="152"/>
      <x:c r="F25" s="152"/>
      <x:c r="G25" s="152"/>
      <x:c r="H25" s="152"/>
      <x:c r="I25" s="152"/>
      <x:c r="J25" s="152"/>
      <x:c r="K25" s="152"/>
      <x:c r="L25" s="152"/>
      <x:c r="M25" s="152"/>
      <x:c r="N25" s="152"/>
    </x:row>
    <x:row r="26" ht="18" customHeight="1">
      <x:c r="A26" s="152"/>
      <x:c r="B26" s="152"/>
      <x:c r="C26" s="152"/>
      <x:c r="D26" s="152"/>
      <x:c r="E26" s="152"/>
      <x:c r="F26" s="152"/>
      <x:c r="G26" s="152"/>
      <x:c r="H26" s="152"/>
      <x:c r="I26" s="152"/>
      <x:c r="J26" s="152"/>
      <x:c r="K26" s="152"/>
      <x:c r="L26" s="152"/>
      <x:c r="M26" s="152"/>
      <x:c r="N26" s="152"/>
    </x:row>
    <x:row r="27" ht="18" customHeight="1">
      <x:c r="A27" s="152"/>
      <x:c r="B27" s="152"/>
      <x:c r="C27" s="152"/>
      <x:c r="D27" s="152"/>
      <x:c r="E27" s="152"/>
      <x:c r="F27" s="152"/>
      <x:c r="G27" s="152"/>
      <x:c r="H27" s="152"/>
      <x:c r="I27" s="152"/>
      <x:c r="J27" s="152"/>
      <x:c r="K27" s="152"/>
      <x:c r="L27" s="152"/>
      <x:c r="M27" s="152"/>
      <x:c r="N27" s="152"/>
    </x:row>
    <x:row r="28" ht="18" customHeight="1">
      <x:c r="A28" s="152"/>
      <x:c r="B28" s="152"/>
      <x:c r="C28" s="152"/>
      <x:c r="D28" s="152"/>
      <x:c r="E28" s="152"/>
      <x:c r="F28" s="152"/>
      <x:c r="G28" s="152"/>
      <x:c r="H28" s="152"/>
      <x:c r="I28" s="152"/>
      <x:c r="J28" s="152"/>
      <x:c r="K28" s="152"/>
      <x:c r="L28" s="152"/>
      <x:c r="M28" s="152"/>
      <x:c r="N28" s="152"/>
    </x:row>
    <x:row r="29" ht="18" customHeight="1">
      <x:c r="A29" s="152"/>
      <x:c r="B29" s="152"/>
      <x:c r="C29" s="152"/>
      <x:c r="D29" s="152"/>
      <x:c r="E29" s="152"/>
      <x:c r="F29" s="152"/>
      <x:c r="G29" s="152"/>
      <x:c r="H29" s="152"/>
      <x:c r="I29" s="152"/>
      <x:c r="J29" s="152"/>
      <x:c r="K29" s="152"/>
      <x:c r="L29" s="152"/>
      <x:c r="M29" s="152"/>
      <x:c r="N29" s="152"/>
    </x:row>
    <x:row r="30" ht="18" customHeight="1">
      <x:c r="A30" s="152"/>
      <x:c r="B30" s="152"/>
      <x:c r="C30" s="152"/>
      <x:c r="D30" s="152"/>
      <x:c r="E30" s="152"/>
      <x:c r="F30" s="152"/>
      <x:c r="G30" s="152"/>
      <x:c r="H30" s="152"/>
      <x:c r="I30" s="152"/>
      <x:c r="J30" s="152"/>
      <x:c r="K30" s="152"/>
      <x:c r="L30" s="152"/>
      <x:c r="M30" s="152"/>
      <x:c r="N30" s="152"/>
    </x:row>
    <x:row r="31" ht="18" customHeight="1">
      <x:c r="A31" s="152"/>
      <x:c r="B31" s="152"/>
      <x:c r="C31" s="152"/>
      <x:c r="D31" s="152"/>
      <x:c r="E31" s="152"/>
      <x:c r="F31" s="152"/>
      <x:c r="G31" s="152"/>
      <x:c r="H31" s="152"/>
      <x:c r="I31" s="152"/>
      <x:c r="J31" s="152"/>
      <x:c r="K31" s="152"/>
      <x:c r="L31" s="152"/>
      <x:c r="M31" s="152"/>
      <x:c r="N31" s="152"/>
    </x:row>
    <x:row r="32" ht="18" customHeight="1">
      <x:c r="A32" s="152"/>
      <x:c r="B32" s="152"/>
      <x:c r="C32" s="152"/>
      <x:c r="D32" s="152"/>
      <x:c r="E32" s="152"/>
      <x:c r="F32" s="152"/>
      <x:c r="G32" s="152"/>
      <x:c r="H32" s="152"/>
      <x:c r="I32" s="152"/>
      <x:c r="J32" s="152"/>
      <x:c r="K32" s="152"/>
      <x:c r="L32" s="152"/>
      <x:c r="M32" s="152"/>
      <x:c r="N32" s="152"/>
    </x:row>
    <x:row r="33" ht="18" customHeight="1">
      <x:c r="A33" s="152"/>
      <x:c r="B33" s="152"/>
      <x:c r="C33" s="152"/>
      <x:c r="D33" s="152"/>
      <x:c r="E33" s="152"/>
      <x:c r="F33" s="152"/>
      <x:c r="G33" s="152"/>
      <x:c r="H33" s="152"/>
      <x:c r="I33" s="152"/>
      <x:c r="J33" s="152"/>
      <x:c r="K33" s="152"/>
      <x:c r="L33" s="152"/>
      <x:c r="M33" s="152"/>
      <x:c r="N33" s="152"/>
    </x:row>
    <x:row r="34" ht="18" customHeight="1">
      <x:c r="A34" s="152"/>
      <x:c r="B34" s="152"/>
      <x:c r="C34" s="152"/>
      <x:c r="D34" s="152"/>
      <x:c r="E34" s="152"/>
      <x:c r="F34" s="152"/>
      <x:c r="G34" s="152"/>
      <x:c r="H34" s="152"/>
      <x:c r="I34" s="152"/>
      <x:c r="J34" s="152"/>
      <x:c r="K34" s="152"/>
      <x:c r="L34" s="152"/>
      <x:c r="M34" s="152"/>
      <x:c r="N34" s="152"/>
    </x:row>
    <x:row r="35" ht="18" customHeight="1">
      <x:c r="A35" s="152"/>
      <x:c r="B35" s="152"/>
      <x:c r="C35" s="152"/>
      <x:c r="D35" s="152"/>
      <x:c r="E35" s="152"/>
      <x:c r="F35" s="152"/>
      <x:c r="G35" s="152"/>
      <x:c r="H35" s="152"/>
      <x:c r="I35" s="152"/>
      <x:c r="J35" s="152"/>
      <x:c r="K35" s="152"/>
      <x:c r="L35" s="152"/>
      <x:c r="M35" s="152"/>
      <x:c r="N35" s="152"/>
    </x:row>
    <x:row r="36" ht="18" customHeight="1">
      <x:c r="A36" s="152"/>
      <x:c r="B36" s="152"/>
      <x:c r="C36" s="152"/>
      <x:c r="D36" s="152"/>
      <x:c r="E36" s="152"/>
      <x:c r="F36" s="152"/>
      <x:c r="G36" s="152"/>
      <x:c r="H36" s="152"/>
      <x:c r="I36" s="152"/>
      <x:c r="J36" s="152"/>
      <x:c r="K36" s="152"/>
      <x:c r="L36" s="152"/>
      <x:c r="M36" s="152"/>
      <x:c r="N36" s="152"/>
    </x:row>
    <x:row r="37" ht="18" customHeight="1">
      <x:c r="A37" s="152"/>
      <x:c r="B37" s="152"/>
      <x:c r="C37" s="152"/>
      <x:c r="D37" s="152"/>
      <x:c r="E37" s="152"/>
      <x:c r="F37" s="152"/>
      <x:c r="G37" s="152"/>
      <x:c r="H37" s="152"/>
      <x:c r="I37" s="152"/>
      <x:c r="J37" s="152"/>
      <x:c r="K37" s="152"/>
      <x:c r="L37" s="152"/>
      <x:c r="M37" s="152"/>
      <x:c r="N37" s="152"/>
    </x:row>
    <x:row r="38">
      <x:c r="A38" s="152"/>
      <x:c r="B38" s="152"/>
      <x:c r="C38" s="152"/>
      <x:c r="D38" s="152"/>
      <x:c r="E38" s="152"/>
      <x:c r="F38" s="152"/>
      <x:c r="G38" s="152"/>
      <x:c r="H38" s="152"/>
      <x:c r="I38" s="152"/>
      <x:c r="J38" s="152"/>
      <x:c r="K38" s="152"/>
      <x:c r="L38" s="152"/>
      <x:c r="M38" s="152"/>
      <x:c r="N38" s="152"/>
    </x:row>
    <x:row r="39">
      <x:c r="A39" s="152"/>
      <x:c r="B39" s="152"/>
      <x:c r="C39" s="152"/>
      <x:c r="D39" s="152"/>
      <x:c r="E39" s="152"/>
      <x:c r="F39" s="152"/>
      <x:c r="G39" s="152"/>
      <x:c r="H39" s="152"/>
      <x:c r="I39" s="152"/>
      <x:c r="J39" s="152"/>
      <x:c r="K39" s="152"/>
      <x:c r="L39" s="152"/>
      <x:c r="M39" s="152"/>
      <x:c r="N39" s="152"/>
    </x:row>
    <x:row r="40">
      <x:c r="A40" s="152"/>
      <x:c r="B40" s="152"/>
      <x:c r="C40" s="152"/>
      <x:c r="D40" s="152"/>
      <x:c r="E40" s="152"/>
      <x:c r="F40" s="152"/>
      <x:c r="G40" s="152"/>
      <x:c r="H40" s="152"/>
      <x:c r="I40" s="152"/>
      <x:c r="J40" s="152"/>
      <x:c r="K40" s="152"/>
      <x:c r="L40" s="152"/>
      <x:c r="M40" s="152"/>
      <x:c r="N40" s="152"/>
    </x:row>
  </x:sheetData>
  <x:mergeCells>
    <x:mergeCell ref="A1:N1"/>
    <x:mergeCell ref="A2:N2"/>
    <x:mergeCell ref="A3:N3"/>
    <x:mergeCell ref="A5:D5"/>
    <x:mergeCell ref="G5:N5"/>
    <x:mergeCell ref="A14:N14"/>
  </x:mergeCells>
  <x:pageMargins left="0.7" right="0.7" top="0.75" bottom="0.75" header="0.3" footer="0.3"/>
  <x:drawing xmlns:r="http://schemas.openxmlformats.org/officeDocument/2006/relationships" r:id="R795017ea050b4a29"/>
</x:worksheet>
</file>

<file path=xl/worksheets/sheet19.xml><?xml version="1.0" encoding="utf-8"?>
<x:worksheet xmlns:x="http://schemas.openxmlformats.org/spreadsheetml/2006/main">
  <x:sheetFormatPr defaultRowHeight="15"/>
  <x:cols>
    <x:col min="1" max="1" width="20" hidden="0" customWidth="1"/>
    <x:col min="2" max="2" width="68" hidden="0" customWidth="1"/>
    <x:col min="3" max="3" width="4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208" t="str">
        <x:v>PHASE 7 — PORTFOLIO CASE STUDY | DRY-FRUIT MANUFACTURING ANALYTICS</x:v>
      </x:c>
    </x:row>
    <x:row r="3" ht="34" customHeight="1">
      <x:c r="A3" s="215" t="str">
        <x:v>Section</x:v>
      </x:c>
      <x:c r="B3" s="215" t="str">
        <x:v>Portfolio-ready content</x:v>
      </x:c>
      <x:c r="C3" s="215" t="str">
        <x:v>Evidence / note</x:v>
      </x:c>
      <x:c r="D3" s="215"/>
      <x:c r="E3" s="215"/>
      <x:c r="F3" s="215"/>
      <x:c r="G3" s="215"/>
      <x:c r="H3" s="215"/>
    </x:row>
    <x:row r="4" ht="34" customHeight="1">
      <x:c r="A4" s="216" t="str">
        <x:v>Title</x:v>
      </x:c>
      <x:c r="B4" s="71" t="str">
        <x:v>Dry-Fruit Manufacturing Operations Performance &amp; HSE Analytics</x:v>
      </x:c>
      <x:c r="C4" s="71" t="str">
        <x:v>Simulated manufacturing analytics case study</x:v>
      </x:c>
      <x:c r="D4" s="79"/>
      <x:c r="E4" s="79"/>
      <x:c r="F4" s="79"/>
      <x:c r="G4" s="79"/>
      <x:c r="H4" s="79"/>
    </x:row>
    <x:row r="5" ht="34" customHeight="1">
      <x:c r="A5" s="216" t="str">
        <x:v>Executive summary</x:v>
      </x:c>
      <x:c r="B5" s="71" t="str">
        <x:v>I analysed 540 synthetic manufacturing records covering production, downtime, quality, maintenance and HSE signals. I cleaned and structured the data, calculated operational KPIs, reproduced key analyses in SQL, tested deeper relationships, and built a management-oriented dashboard. The analysis identified recurring synthetic patterns around downtime, Dryer 3, Shift C, and the Dried Mango × Dryer 3 quality cohort. These are illustrative findings from simulated data, not real employer performance.</x:v>
      </x:c>
      <x:c r="C5" s="71" t="str">
        <x:v>Synthetic-data disclosure is mandatory for publication.</x:v>
      </x:c>
      <x:c r="D5" s="79"/>
      <x:c r="E5" s="79"/>
      <x:c r="F5" s="79"/>
      <x:c r="G5" s="79"/>
      <x:c r="H5" s="79"/>
    </x:row>
    <x:row r="6" ht="34" customHeight="1">
      <x:c r="A6" s="216" t="str">
        <x:v>Business problem</x:v>
      </x:c>
      <x:c r="B6" s="71" t="str">
        <x:v>What operational factors appear to be driving production underperformance, quality losses and HSE exposure?</x:v>
      </x:c>
      <x:c r="C6" s="71" t="str">
        <x:v>Use association language; do not claim causation.</x:v>
      </x:c>
      <x:c r="D6" s="79"/>
      <x:c r="E6" s="79"/>
      <x:c r="F6" s="79"/>
      <x:c r="G6" s="79"/>
      <x:c r="H6" s="79"/>
    </x:row>
    <x:row r="7" ht="34" customHeight="1">
      <x:c r="A7" s="216" t="str">
        <x:v>Dataset</x:v>
      </x:c>
      <x:c r="B7" s="71" t="str">
        <x:v>540 synthetic production records; six-month-style period; products: Dried Mango, Dried Pineapple, Desiccated Coconut; machines: Dryer 1–4; shifts: A–C.</x:v>
      </x:c>
      <x:c r="C7" s="71" t="str">
        <x:v>Source: Raw_Data / Analysis_Calc</x:v>
      </x:c>
      <x:c r="D7" s="79"/>
      <x:c r="E7" s="79"/>
      <x:c r="F7" s="79"/>
      <x:c r="G7" s="79"/>
      <x:c r="H7" s="79"/>
    </x:row>
    <x:row r="8" ht="34" customHeight="1">
      <x:c r="A8" s="216" t="str">
        <x:v>Methodology</x:v>
      </x:c>
      <x:c r="B8" s="71" t="str">
        <x:v>Business question → data understanding → cleaning → KPI calculation → grouped analysis → SQL reproduction → deeper relationship testing → management dashboard → recommendations.</x:v>
      </x:c>
      <x:c r="C8" s="71" t="str">
        <x:v>Preserves the project workflow.</x:v>
      </x:c>
      <x:c r="D8" s="79"/>
      <x:c r="E8" s="79"/>
      <x:c r="F8" s="79"/>
      <x:c r="G8" s="79"/>
      <x:c r="H8" s="79"/>
    </x:row>
    <x:row r="9" ht="34" customHeight="1">
      <x:c r="A9" s="216" t="str">
        <x:v>KPI logic</x:v>
      </x:c>
      <x:c r="B9" s="71" t="str">
        <x:v>Production attainment = Actual Output ÷ Target Output × 100; Reject rate = Rejects ÷ Actual Output × 100; Downtime rate = Downtime Minutes ÷ Scheduled Minutes × 100; Net good output = Actual Output − Rejects.</x:v>
      </x:c>
      <x:c r="C9" s="71" t="str">
        <x:v>OEE-like metric is not presented as formal OEE.</x:v>
      </x:c>
      <x:c r="D9" s="79"/>
      <x:c r="E9" s="79"/>
      <x:c r="F9" s="79"/>
      <x:c r="G9" s="79"/>
      <x:c r="H9" s="79"/>
    </x:row>
    <x:row r="10" ht="34" customHeight="1">
      <x:c r="A10" s="216" t="str">
        <x:v>Key finding 1</x:v>
      </x:c>
      <x:c r="B10" s="71" t="str">
        <x:v>Downtime is the strongest operational loss signal: overall record-level correlation with attainment ≈ -0.663; machine-level and shift-level correlations remain negative.</x:v>
      </x:c>
      <x:c r="C10" s="71" t="str">
        <x:v>Association, not causation.</x:v>
      </x:c>
      <x:c r="D10" s="79"/>
      <x:c r="E10" s="79"/>
      <x:c r="F10" s="79"/>
      <x:c r="G10" s="79"/>
      <x:c r="H10" s="79"/>
    </x:row>
    <x:row r="11" ht="34" customHeight="1">
      <x:c r="A11" s="216" t="str">
        <x:v>Key finding 2</x:v>
      </x:c>
      <x:c r="B11" s="71" t="str">
        <x:v>Dryer 3 has the highest downtime burden: 8,668 minutes and 13.41% downtime rate.</x:v>
      </x:c>
      <x:c r="C11" s="71" t="str">
        <x:v>Synthetic hotspot requiring validation in real data.</x:v>
      </x:c>
      <x:c r="D11" s="79"/>
      <x:c r="E11" s="79"/>
      <x:c r="F11" s="79"/>
      <x:c r="G11" s="79"/>
      <x:c r="H11" s="79"/>
    </x:row>
    <x:row r="12" ht="34" customHeight="1">
      <x:c r="A12" s="216" t="str">
        <x:v>Key finding 3</x:v>
      </x:c>
      <x:c r="B12" s="71" t="str">
        <x:v>Shift C is the weakest shift on attainment at 84.51% and also has the highest downtime rate.</x:v>
      </x:c>
      <x:c r="C12" s="71" t="str">
        <x:v>Multi-dimensional synthetic signal.</x:v>
      </x:c>
      <x:c r="D12" s="79"/>
      <x:c r="E12" s="79"/>
      <x:c r="F12" s="79"/>
      <x:c r="G12" s="79"/>
      <x:c r="H12" s="79"/>
    </x:row>
    <x:row r="13" ht="34" customHeight="1">
      <x:c r="A13" s="216" t="str">
        <x:v>Key finding 4</x:v>
      </x:c>
      <x:c r="B13" s="71" t="str">
        <x:v>Shift C × Dryer 3 is the strongest diagnostic hotspot: approximately 80.47% attainment, 15.38% downtime rate and 4.51% reject rate.</x:v>
      </x:c>
      <x:c r="C13" s="71" t="str">
        <x:v>Interaction finding; not a proven root cause.</x:v>
      </x:c>
      <x:c r="D13" s="79"/>
      <x:c r="E13" s="79"/>
      <x:c r="F13" s="79"/>
      <x:c r="G13" s="79"/>
      <x:c r="H13" s="79"/>
    </x:row>
    <x:row r="14" ht="34" customHeight="1">
      <x:c r="A14" s="216" t="str">
        <x:v>Key finding 5</x:v>
      </x:c>
      <x:c r="B14" s="71" t="str">
        <x:v>Dried Mango × Dryer 3 has the highest product-machine reject rate at 4.82%.</x:v>
      </x:c>
      <x:c r="C14" s="71" t="str">
        <x:v>Synthetic quality-loss concentration.</x:v>
      </x:c>
      <x:c r="D14" s="79"/>
      <x:c r="E14" s="79"/>
      <x:c r="F14" s="79"/>
      <x:c r="G14" s="79"/>
      <x:c r="H14" s="79"/>
    </x:row>
    <x:row r="15" ht="34" customHeight="1">
      <x:c r="A15" s="216" t="str">
        <x:v>Key finding 6</x:v>
      </x:c>
      <x:c r="B15" s="71" t="str">
        <x:v>GMP ↔ reject and PPE ↔ safety-observation relationships are weak in this simulation; these should remain context indicators rather than causal drivers.</x:v>
      </x:c>
      <x:c r="C15" s="71" t="str">
        <x:v>Avoid forcing weak relationships into the story.</x:v>
      </x:c>
      <x:c r="D15" s="79"/>
      <x:c r="E15" s="79"/>
      <x:c r="F15" s="79"/>
      <x:c r="G15" s="79"/>
      <x:c r="H15" s="79"/>
    </x:row>
    <x:row r="16" ht="34" customHeight="1">
      <x:c r="A16" s="216" t="str">
        <x:v>Recommendations</x:v>
      </x:c>
      <x:c r="B16" s="71" t="str">
        <x:v>1) Prioritise a Dryer 3 / Shift C diagnostic review. 2) Improve event-level downtime reason capture. 3) Drill into Dried Mango × Dryer 3 process and quality controls. 4) Review Shift C handover, staffing, escalation and action backlog. 5) Improve HSE data granularity with severity, exposure hours, action age, owner, due date and repeat-occurrence fields.</x:v>
      </x:c>
      <x:c r="C16" s="71" t="str">
        <x:v>Recommendations must be validated against real production/HSE data before operational use.</x:v>
      </x:c>
      <x:c r="D16" s="79"/>
      <x:c r="E16" s="79"/>
      <x:c r="F16" s="79"/>
      <x:c r="G16" s="79"/>
      <x:c r="H16" s="79"/>
    </x:row>
    <x:row r="17" ht="34" customHeight="1">
      <x:c r="A17" s="216" t="str">
        <x:v>Limitations</x:v>
      </x:c>
      <x:c r="B17" s="71" t="str">
        <x:v>Synthetic dataset; deliberately embedded patterns; no real employer performance; no causal design; incomplete real-world context; July has only nine records; HSE fields lack some exposure/severity/action-age detail.</x:v>
      </x:c>
      <x:c r="C17" s="71" t="str">
        <x:v>State prominently in public portfolio.</x:v>
      </x:c>
      <x:c r="D17" s="79"/>
      <x:c r="E17" s="79"/>
      <x:c r="F17" s="79"/>
      <x:c r="G17" s="79"/>
      <x:c r="H17" s="79"/>
    </x:row>
    <x:row r="18" ht="34" customHeight="1">
      <x:c r="A18" s="216" t="str">
        <x:v>Portfolio outcome</x:v>
      </x:c>
      <x:c r="B18" s="71" t="str">
        <x:v>Evidence of business-question framing, data cleaning, KPI design, SQL, deeper analysis, dashboarding, interpretation and management communication.</x:v>
      </x:c>
      <x:c r="C18" s="71" t="str">
        <x:v>This is the capability claim—not professional analyst experience.</x:v>
      </x:c>
      <x:c r="D18" s="79"/>
      <x:c r="E18" s="79"/>
      <x:c r="F18" s="79"/>
      <x:c r="G18" s="79"/>
      <x:c r="H18" s="79"/>
    </x:row>
    <x:row r="19" ht="34" customHeight="1">
      <x:c r="A19" s="216"/>
      <x:c r="B19" s="71"/>
      <x:c r="C19" s="71"/>
      <x:c r="D19" s="79"/>
      <x:c r="E19" s="79"/>
      <x:c r="F19" s="79"/>
      <x:c r="G19" s="79"/>
      <x:c r="H19" s="79"/>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28" hidden="0" customWidth="1"/>
    <x:col min="3" max="3" width="34" hidden="0" customWidth="1"/>
    <x:col min="4" max="4" width="22" hidden="0" customWidth="1"/>
    <x:col min="5" max="5" width="30" hidden="0" customWidth="1"/>
    <x:col min="6" max="6" width="34" hidden="0" customWidth="1"/>
    <x:col min="7" max="7" width="12" hidden="0" customWidth="1"/>
    <x:col min="8" max="8" width="36" hidden="0" customWidth="1"/>
    <x:col min="9" max="9" width="42" hidden="0" customWidth="1"/>
    <x:col min="10" max="10" width="12" hidden="0" customWidth="1"/>
  </x:cols>
  <x:sheetData>
    <x:row r="1">
      <x:c r="A1" s="217" t="str">
        <x:v>PHASE 7 — EVIDENCE &amp; CLAIM CONTROL LOG</x:v>
      </x:c>
    </x:row>
    <x:row r="3" ht="40" customHeight="1">
      <x:c r="A3" s="215" t="str">
        <x:v>Rank</x:v>
      </x:c>
      <x:c r="B3" s="215" t="str">
        <x:v>Claim</x:v>
      </x:c>
      <x:c r="C3" s="215" t="str">
        <x:v>Metric / evidence</x:v>
      </x:c>
      <x:c r="D3" s="215" t="str">
        <x:v>Source sheet</x:v>
      </x:c>
      <x:c r="E3" s="215" t="str">
        <x:v>Source area</x:v>
      </x:c>
      <x:c r="F3" s="215" t="str">
        <x:v>Interpretation</x:v>
      </x:c>
      <x:c r="G3" s="215" t="str">
        <x:v>Confidence</x:v>
      </x:c>
      <x:c r="H3" s="215" t="str">
        <x:v>Portfolio wording</x:v>
      </x:c>
      <x:c r="I3" s="215" t="str">
        <x:v>Real-world validation required</x:v>
      </x:c>
      <x:c r="J3" s="215" t="str">
        <x:v>Status</x:v>
      </x:c>
    </x:row>
    <x:row r="4" ht="40" customHeight="1">
      <x:c r="A4" s="220" t="n">
        <x:v>1</x:v>
      </x:c>
      <x:c r="B4" s="71" t="str">
        <x:v>Downtime is the lead operational loss signal</x:v>
      </x:c>
      <x:c r="C4" s="71" t="str">
        <x:v>r ≈ -0.663 overall; subgroup correlations remain negative</x:v>
      </x:c>
      <x:c r="D4" s="71" t="str">
        <x:v>Phase5_Robustness</x:v>
      </x:c>
      <x:c r="E4" s="71" t="str">
        <x:v>Overall + machine/shift correlation sections</x:v>
      </x:c>
      <x:c r="F4" s="71" t="str">
        <x:v>Strong synthetic association</x:v>
      </x:c>
      <x:c r="G4" s="71" t="str">
        <x:v>High</x:v>
      </x:c>
      <x:c r="H4" s="71" t="str">
        <x:v>appears associated with</x:v>
      </x:c>
      <x:c r="I4" s="71" t="str">
        <x:v>Event-level downtime causes, sequence and repeat-stoppage data</x:v>
      </x:c>
      <x:c r="J4" s="71" t="str">
        <x:v>Ready</x:v>
      </x:c>
    </x:row>
    <x:row r="5" ht="40" customHeight="1">
      <x:c r="A5" s="220" t="n">
        <x:v>2</x:v>
      </x:c>
      <x:c r="B5" s="71" t="str">
        <x:v>Dryer 3 has highest downtime</x:v>
      </x:c>
      <x:c r="C5" s="71" t="str">
        <x:v>8,668 min; 13.41% downtime rate</x:v>
      </x:c>
      <x:c r="D5" s="71" t="str">
        <x:v>Phase6_Calculations</x:v>
      </x:c>
      <x:c r="E5" s="71" t="str">
        <x:v>Machine loss table</x:v>
      </x:c>
      <x:c r="F5" s="71" t="str">
        <x:v>Highest machine-level downtime burden</x:v>
      </x:c>
      <x:c r="G5" s="71" t="str">
        <x:v>High</x:v>
      </x:c>
      <x:c r="H5" s="71" t="str">
        <x:v>has the highest simulated downtime burden</x:v>
      </x:c>
      <x:c r="I5" s="71" t="str">
        <x:v>Validated downtime log + maintenance/event history</x:v>
      </x:c>
      <x:c r="J5" s="71" t="str">
        <x:v>Ready</x:v>
      </x:c>
    </x:row>
    <x:row r="6" ht="40" customHeight="1">
      <x:c r="A6" s="220" t="n">
        <x:v>3</x:v>
      </x:c>
      <x:c r="B6" s="71" t="str">
        <x:v>Shift C is weakest on attainment</x:v>
      </x:c>
      <x:c r="C6" s="71" t="str">
        <x:v>84.51% attainment; highest downtime rate</x:v>
      </x:c>
      <x:c r="D6" s="71" t="str">
        <x:v>Phase6_Calculations</x:v>
      </x:c>
      <x:c r="E6" s="71" t="str">
        <x:v>Shift summary / interaction tables</x:v>
      </x:c>
      <x:c r="F6" s="71" t="str">
        <x:v>Multi-dimensional weakness signal</x:v>
      </x:c>
      <x:c r="G6" s="71" t="str">
        <x:v>High</x:v>
      </x:c>
      <x:c r="H6" s="71" t="str">
        <x:v>shows the weakest simulated attainment</x:v>
      </x:c>
      <x:c r="I6" s="71" t="str">
        <x:v>Handover, staffing, staffing-to-load, escalation and closure data</x:v>
      </x:c>
      <x:c r="J6" s="71" t="str">
        <x:v>Ready</x:v>
      </x:c>
    </x:row>
    <x:row r="7" ht="40" customHeight="1">
      <x:c r="A7" s="220" t="n">
        <x:v>4</x:v>
      </x:c>
      <x:c r="B7" s="71" t="str">
        <x:v>Shift C × Dryer 3 is strongest hotspot</x:v>
      </x:c>
      <x:c r="C7" s="71" t="str">
        <x:v>80.47% attainment; 15.38% downtime; 4.51% reject</x:v>
      </x:c>
      <x:c r="D7" s="71" t="str">
        <x:v>Dashboard_Operations</x:v>
      </x:c>
      <x:c r="E7" s="71" t="str">
        <x:v>Shift × machine table</x:v>
      </x:c>
      <x:c r="F7" s="71" t="str">
        <x:v>Diagnostic interaction worth investigation</x:v>
      </x:c>
      <x:c r="G7" s="71" t="str">
        <x:v>High</x:v>
      </x:c>
      <x:c r="H7" s="71" t="str">
        <x:v>is the strongest diagnostic hotspot in the simulation</x:v>
      </x:c>
      <x:c r="I7" s="71" t="str">
        <x:v>Validated event-level loss and operating-condition data</x:v>
      </x:c>
      <x:c r="J7" s="71" t="str">
        <x:v>Ready</x:v>
      </x:c>
    </x:row>
    <x:row r="8" ht="40" customHeight="1">
      <x:c r="A8" s="220" t="n">
        <x:v>5</x:v>
      </x:c>
      <x:c r="B8" s="71" t="str">
        <x:v>Dried Mango × Dryer 3 has highest reject cohort</x:v>
      </x:c>
      <x:c r="C8" s="71" t="str">
        <x:v>4.82% reject rate</x:v>
      </x:c>
      <x:c r="D8" s="71" t="str">
        <x:v>Dashboard_Operations</x:v>
      </x:c>
      <x:c r="E8" s="71" t="str">
        <x:v>Product × machine matrix</x:v>
      </x:c>
      <x:c r="F8" s="71" t="str">
        <x:v>Quality-loss concentration</x:v>
      </x:c>
      <x:c r="G8" s="71" t="str">
        <x:v>High</x:v>
      </x:c>
      <x:c r="H8" s="71" t="str">
        <x:v>shows the highest simulated reject rate</x:v>
      </x:c>
      <x:c r="I8" s="71" t="str">
        <x:v>Process settings, moisture/temperature and defect codes</x:v>
      </x:c>
      <x:c r="J8" s="71" t="str">
        <x:v>Ready</x:v>
      </x:c>
    </x:row>
    <x:row r="9" ht="40" customHeight="1">
      <x:c r="A9" s="220" t="n">
        <x:v>6</x:v>
      </x:c>
      <x:c r="B9" s="71" t="str">
        <x:v>GMP/PPE do not explain outcomes strongly here</x:v>
      </x:c>
      <x:c r="C9" s="71" t="str">
        <x:v>GMP↔reject r ≈ -0.053; PPE↔safety obs r ≈ 0.077</x:v>
      </x:c>
      <x:c r="D9" s="71" t="str">
        <x:v>Phase5_Readout / Dashboard_HSE</x:v>
      </x:c>
      <x:c r="E9" s="71" t="str">
        <x:v>Relationship summaries</x:v>
      </x:c>
      <x:c r="F9" s="71" t="str">
        <x:v>Weak linear relationships</x:v>
      </x:c>
      <x:c r="G9" s="71" t="str">
        <x:v>Medium</x:v>
      </x:c>
      <x:c r="H9" s="71" t="str">
        <x:v>do not show a meaningful linear relationship in this simulation</x:v>
      </x:c>
      <x:c r="I9" s="71" t="str">
        <x:v>More granular control-level, exposure and severity data</x:v>
      </x:c>
      <x:c r="J9" s="71" t="str">
        <x:v>Ready</x:v>
      </x:c>
    </x:row>
  </x:sheetData>
  <x:mergeCells>
    <x:mergeCell ref="A1:J1"/>
  </x:mergeCells>
  <x:conditionalFormatting sqref="J4:J9">
    <x:cfRule type="cellIs" dxfId="0" priority="1">
      <x:formula>"Ready"</x:formula>
    </x:cfRule>
  </x:conditionalFormatting>
  <x:pageMargins left="0.7" right="0.7" top="0.75" bottom="0.75" header="0.3" footer="0.3"/>
</x:worksheet>
</file>

<file path=xl/worksheets/sheet21.xml><?xml version="1.0" encoding="utf-8"?>
<x:worksheet xmlns:x="http://schemas.openxmlformats.org/spreadsheetml/2006/main">
  <x:sheetFormatPr defaultRowHeight="15"/>
  <x:cols>
    <x:col min="1" max="1" width="25" hidden="0" customWidth="1"/>
    <x:col min="2" max="2" width="72" hidden="0" customWidth="1"/>
    <x:col min="3" max="3" width="25" hidden="0" customWidth="1"/>
  </x:cols>
  <x:sheetData>
    <x:row r="1">
      <x:c r="A1" s="217" t="str">
        <x:v>PHASE 7 — PORTFOLIO, GITHUB &amp; INTERVIEW PACK</x:v>
      </x:c>
    </x:row>
    <x:row r="3" ht="42" customHeight="1">
      <x:c r="A3" s="215" t="str">
        <x:v>Asset</x:v>
      </x:c>
      <x:c r="B3" s="215" t="str">
        <x:v>Recommended final wording / structure</x:v>
      </x:c>
      <x:c r="C3" s="215" t="str">
        <x:v>Use</x:v>
      </x:c>
    </x:row>
    <x:row r="4" ht="42" customHeight="1">
      <x:c r="A4" s="216" t="str">
        <x:v>GitHub repository</x:v>
      </x:c>
      <x:c r="B4" s="71" t="str">
        <x:v>dry-fruit-manufacturing-analytics/ with README.md, 01_Raw_Data/, 02_Cleaned_Data/, 03_SQL/, 04_Analysis/, 05_Dashboard/, 06_Case_Study/, 07_Interview/</x:v>
      </x:c>
      <x:c r="C4" s="71" t="str">
        <x:v>Repository structure</x:v>
      </x:c>
    </x:row>
    <x:row r="5" ht="42" customHeight="1">
      <x:c r="A5" s="216" t="str">
        <x:v>Repository disclosure</x:v>
      </x:c>
      <x:c r="B5" s="71" t="str">
        <x:v>This repository contains a simulated dry-fruit manufacturing analytics case study. The dataset is synthetic and findings are illustrative; they do not represent actual employer performance.</x:v>
      </x:c>
      <x:c r="C5" s="71" t="str">
        <x:v>Top of README</x:v>
      </x:c>
    </x:row>
    <x:row r="6" ht="42" customHeight="1">
      <x:c r="A6" s="216" t="str">
        <x:v>CV bullet</x:v>
      </x:c>
      <x:c r="B6" s="71" t="str">
        <x:v>Built an end-to-end analytics case study using a simulated dry-fruit manufacturing dataset; cleaned operational data, analysed production attainment, downtime and quality KPIs using spreadsheet tools and SQL, and developed management-oriented visualisations and recommendations.</x:v>
      </x:c>
      <x:c r="C6" s="71" t="str">
        <x:v>CV / résumé</x:v>
      </x:c>
    </x:row>
    <x:row r="7" ht="42" customHeight="1">
      <x:c r="A7" s="216" t="str">
        <x:v>LinkedIn project description</x:v>
      </x:c>
      <x:c r="B7" s="71" t="str">
        <x:v>Built a simulated manufacturing analytics case study to investigate production attainment, downtime, quality losses and HSE signals. Used spreadsheet analysis, SQL, deeper relationship testing and management dashboarding to translate operational questions into evidence-based recommendations while explicitly distinguishing synthetic findings from real-world conclusions.</x:v>
      </x:c>
      <x:c r="C7" s="71" t="str">
        <x:v>LinkedIn Projects</x:v>
      </x:c>
    </x:row>
    <x:row r="8" ht="42" customHeight="1">
      <x:c r="A8" s="216" t="str">
        <x:v>Interview opening</x:v>
      </x:c>
      <x:c r="B8" s="71" t="str">
        <x:v>I built a simulated manufacturing operations analytics project based on a dry-fruit production environment. I wanted to understand what operational factors appeared associated with underperformance, so I created and analysed a dataset covering production, downtime, quality, maintenance and HSE signals. I then reproduced the analysis in SQL, tested deeper relationships and built a management dashboard.</x:v>
      </x:c>
      <x:c r="C8" s="71" t="str">
        <x:v>Interview</x:v>
      </x:c>
    </x:row>
    <x:row r="9" ht="42" customHeight="1">
      <x:c r="A9" s="216" t="str">
        <x:v>Strongest lesson</x:v>
      </x:c>
      <x:c r="B9" s="71" t="str">
        <x:v>The biggest lesson was that good analytics starts with a business question—not with a chart. The analysis also taught me to separate a pattern in data from a causal claim and to make the limitation part of the insight.</x:v>
      </x:c>
      <x:c r="C9" s="71" t="str">
        <x:v>Interview</x:v>
      </x:c>
    </x:row>
    <x:row r="10" ht="42" customHeight="1">
      <x:c r="A10" s="216" t="str">
        <x:v>Tool narrative</x:v>
      </x:c>
      <x:c r="B10" s="71" t="str">
        <x:v>Spreadsheet → SQL → deeper statistical/relationship analysis → dashboard → management recommendations.</x:v>
      </x:c>
      <x:c r="C10" s="71" t="str">
        <x:v>Portfolio story</x:v>
      </x:c>
    </x:row>
    <x:row r="11" ht="42" customHeight="1">
      <x:c r="A11" s="216" t="str">
        <x:v>Do not claim</x:v>
      </x:c>
      <x:c r="B11" s="71" t="str">
        <x:v>Do not say the project improved ReelFruit or any real employer's production, caused a reduction in downtime, or represents actual factory performance.</x:v>
      </x:c>
      <x:c r="C11" s="71" t="str">
        <x:v>Ethics</x:v>
      </x:c>
    </x:row>
    <x:row r="12" ht="42" customHeight="1">
      <x:c r="A12" s="216" t="str">
        <x:v>Next technical extension</x:v>
      </x:c>
      <x:c r="B12" s="71" t="str">
        <x:v>Add Python/pandas EDA, automated data-quality checks, a reproducible notebook, and a versioned SQL script set.</x:v>
      </x:c>
      <x:c r="C12" s="71" t="str">
        <x:v>Future growth</x:v>
      </x:c>
    </x:row>
  </x:sheetData>
  <x:mergeCells>
    <x:mergeCell ref="A1:H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42" hidden="0" customWidth="1"/>
    <x:col min="3" max="3" width="28" hidden="0" customWidth="1"/>
    <x:col min="4" max="4" width="15" hidden="0" customWidth="1"/>
    <x:col min="5" max="5" width="35" hidden="0" customWidth="1"/>
    <x:col min="6" max="6" width="18" hidden="0" customWidth="1"/>
  </x:cols>
  <x:sheetData>
    <x:row r="1">
      <x:c r="A1" s="217" t="str">
        <x:v>PHASE 7 — FINAL ANALYTICS QUALITY GATE</x:v>
      </x:c>
    </x:row>
    <x:row r="3" ht="34" customHeight="1">
      <x:c r="A3" s="215" t="str">
        <x:v>Control</x:v>
      </x:c>
      <x:c r="B3" s="215" t="str">
        <x:v>Test</x:v>
      </x:c>
      <x:c r="C3" s="215" t="str">
        <x:v>Expected standard</x:v>
      </x:c>
      <x:c r="D3" s="215" t="str">
        <x:v>Current status</x:v>
      </x:c>
      <x:c r="E3" s="215" t="str">
        <x:v>Evidence / location</x:v>
      </x:c>
      <x:c r="F3" s="215" t="str">
        <x:v>Release decision</x:v>
      </x:c>
    </x:row>
    <x:row r="4" ht="34" customHeight="1">
      <x:c r="A4" s="222" t="str">
        <x:v>Data integrity</x:v>
      </x:c>
      <x:c r="B4" s="71" t="str">
        <x:v>540 records retained; no duplicate/missing/basic range errors</x:v>
      </x:c>
      <x:c r="C4" s="71" t="str">
        <x:v>Pass</x:v>
      </x:c>
      <x:c r="D4" s="224" t="str">
        <x:v>PASS</x:v>
      </x:c>
      <x:c r="E4" s="71" t="str">
        <x:v>Raw_Data / Analysis_Calc</x:v>
      </x:c>
      <x:c r="F4" s="71" t="str">
        <x:v>Release</x:v>
      </x:c>
    </x:row>
    <x:row r="5" ht="34" customHeight="1">
      <x:c r="A5" s="222" t="str">
        <x:v>Calculation integrity</x:v>
      </x:c>
      <x:c r="B5" s="71" t="str">
        <x:v>KPI formulas reproduce underlying totals</x:v>
      </x:c>
      <x:c r="C5" s="71" t="str">
        <x:v>Pass</x:v>
      </x:c>
      <x:c r="D5" s="224" t="str">
        <x:v>PASS</x:v>
      </x:c>
      <x:c r="E5" s="71" t="str">
        <x:v>Analysis_Calc / Phase6_Calculations</x:v>
      </x:c>
      <x:c r="F5" s="71" t="str">
        <x:v>Release</x:v>
      </x:c>
    </x:row>
    <x:row r="6" ht="34" customHeight="1">
      <x:c r="A6" s="222" t="str">
        <x:v>Formula errors</x:v>
      </x:c>
      <x:c r="B6" s="71" t="str">
        <x:v>No #REF!, #DIV/0!, #VALUE!, #NAME?, #N/A</x:v>
      </x:c>
      <x:c r="C6" s="71" t="str">
        <x:v>Zero</x:v>
      </x:c>
      <x:c r="D6" s="224" t="str">
        <x:v>PASS</x:v>
      </x:c>
      <x:c r="E6" s="71" t="str">
        <x:v>Final workbook scan</x:v>
      </x:c>
      <x:c r="F6" s="71" t="str">
        <x:v>Release</x:v>
      </x:c>
    </x:row>
    <x:row r="7" ht="34" customHeight="1">
      <x:c r="A7" s="222" t="str">
        <x:v>Finding traceability</x:v>
      </x:c>
      <x:c r="B7" s="71" t="str">
        <x:v>Every headline claim maps to a source table or analysis</x:v>
      </x:c>
      <x:c r="C7" s="71" t="str">
        <x:v>All claims traced</x:v>
      </x:c>
      <x:c r="D7" s="224" t="str">
        <x:v>PASS</x:v>
      </x:c>
      <x:c r="E7" s="71" t="str">
        <x:v>Phase7_Evidence_Log</x:v>
      </x:c>
      <x:c r="F7" s="71" t="str">
        <x:v>Release</x:v>
      </x:c>
    </x:row>
    <x:row r="8" ht="34" customHeight="1">
      <x:c r="A8" s="222" t="str">
        <x:v>Causality control</x:v>
      </x:c>
      <x:c r="B8" s="71" t="str">
        <x:v>No causal language without causal design</x:v>
      </x:c>
      <x:c r="C8" s="71" t="str">
        <x:v>No unsupported causality</x:v>
      </x:c>
      <x:c r="D8" s="224" t="str">
        <x:v>PASS</x:v>
      </x:c>
      <x:c r="E8" s="71" t="str">
        <x:v>Case study + dashboards</x:v>
      </x:c>
      <x:c r="F8" s="71" t="str">
        <x:v>Release</x:v>
      </x:c>
    </x:row>
    <x:row r="9" ht="34" customHeight="1">
      <x:c r="A9" s="222" t="str">
        <x:v>Synthetic disclosure</x:v>
      </x:c>
      <x:c r="B9" s="71" t="str">
        <x:v>Public-facing assets clearly disclose simulation</x:v>
      </x:c>
      <x:c r="C9" s="71" t="str">
        <x:v>Mandatory</x:v>
      </x:c>
      <x:c r="D9" s="224" t="str">
        <x:v>PASS</x:v>
      </x:c>
      <x:c r="E9" s="71" t="str">
        <x:v>Dashboards + case study + README</x:v>
      </x:c>
      <x:c r="F9" s="71" t="str">
        <x:v>Release</x:v>
      </x:c>
    </x:row>
    <x:row r="10" ht="34" customHeight="1">
      <x:c r="A10" s="222" t="str">
        <x:v>Metric terminology</x:v>
      </x:c>
      <x:c r="B10" s="71" t="str">
        <x:v>OEE-like not labelled formal OEE</x:v>
      </x:c>
      <x:c r="C10" s="71" t="str">
        <x:v>Correct terminology</x:v>
      </x:c>
      <x:c r="D10" s="224" t="str">
        <x:v>PASS</x:v>
      </x:c>
      <x:c r="E10" s="71" t="str">
        <x:v>README / KPI sections</x:v>
      </x:c>
      <x:c r="F10" s="71" t="str">
        <x:v>Release</x:v>
      </x:c>
    </x:row>
    <x:row r="11" ht="34" customHeight="1">
      <x:c r="A11" s="222" t="str">
        <x:v>Dashboard QA</x:v>
      </x:c>
      <x:c r="B11" s="71" t="str">
        <x:v>Charts use compatible units/scales and labels are visible</x:v>
      </x:c>
      <x:c r="C11" s="71" t="str">
        <x:v>Pass</x:v>
      </x:c>
      <x:c r="D11" s="224" t="str">
        <x:v>PASS</x:v>
      </x:c>
      <x:c r="E11" s="71" t="str">
        <x:v>Dashboard_Executive / Operations / HSE</x:v>
      </x:c>
      <x:c r="F11" s="71" t="str">
        <x:v>Release</x:v>
      </x:c>
    </x:row>
    <x:row r="12" ht="34" customHeight="1">
      <x:c r="A12" s="222" t="str">
        <x:v>Portfolio honesty</x:v>
      </x:c>
      <x:c r="B12" s="71" t="str">
        <x:v>No claim of real employer improvement from synthetic data</x:v>
      </x:c>
      <x:c r="C12" s="71" t="str">
        <x:v>No overclaiming</x:v>
      </x:c>
      <x:c r="D12" s="224" t="str">
        <x:v>PASS</x:v>
      </x:c>
      <x:c r="E12" s="71" t="str">
        <x:v>Portfolio Pack</x:v>
      </x:c>
      <x:c r="F12" s="71" t="str">
        <x:v>Release</x:v>
      </x:c>
    </x:row>
  </x:sheetData>
  <x:mergeCells>
    <x:mergeCell ref="A1:F1"/>
  </x:mergeCells>
  <x:pageMargins left="0.7" right="0.7" top="0.75" bottom="0.75" header="0.3" footer="0.3"/>
</x:worksheet>
</file>